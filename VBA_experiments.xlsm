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achel/Dropbox/Edinburgh MSc/Lloyds/code/"/>
    </mc:Choice>
  </mc:AlternateContent>
  <xr:revisionPtr revIDLastSave="0" documentId="13_ncr:1_{43459435-6BA7-5D4C-9DC0-A62976D75B16}" xr6:coauthVersionLast="47" xr6:coauthVersionMax="47" xr10:uidLastSave="{00000000-0000-0000-0000-000000000000}"/>
  <bookViews>
    <workbookView xWindow="140" yWindow="500" windowWidth="23640" windowHeight="15120" activeTab="1" xr2:uid="{C065594B-2C7D-4F41-92CB-A560E5138498}"/>
  </bookViews>
  <sheets>
    <sheet name="test_area" sheetId="1" r:id="rId1"/>
    <sheet name="Model" sheetId="3" r:id="rId2"/>
  </sheets>
  <functionGroups builtInGroupCount="19"/>
  <definedNames>
    <definedName name="solver_adj" localSheetId="1" hidden="1">Model!$L$44:$O$44</definedName>
    <definedName name="solver_adj" localSheetId="0" hidden="1">test_area!$B$2:$B$4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Model!$L$44</definedName>
    <definedName name="solver_lhs1" localSheetId="0" hidden="1">test_area!$B$2</definedName>
    <definedName name="solver_lhs2" localSheetId="1" hidden="1">Model!$N$44</definedName>
    <definedName name="solver_lhs2" localSheetId="0" hidden="1">test_area!$B$3</definedName>
    <definedName name="solver_lhs3" localSheetId="1" hidden="1">Model!$O$44</definedName>
    <definedName name="solver_lhs3" localSheetId="0" hidden="1">test_area!$B$4</definedName>
    <definedName name="solver_lhs4" localSheetId="1" hidden="1">Model!$O$38</definedName>
    <definedName name="solver_lhs4" localSheetId="0" hidden="1">test_area!$D$2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4</definedName>
    <definedName name="solver_opt" localSheetId="1" hidden="1">Model!$L$41</definedName>
    <definedName name="solver_opt" localSheetId="0" hidden="1">test_area!$B$8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3</definedName>
    <definedName name="solver_rel1" localSheetId="0" hidden="1">1</definedName>
    <definedName name="solver_rel2" localSheetId="1" hidden="1">3</definedName>
    <definedName name="solver_rel2" localSheetId="0" hidden="1">1</definedName>
    <definedName name="solver_rel3" localSheetId="1" hidden="1">2</definedName>
    <definedName name="solver_rel3" localSheetId="0" hidden="1">2</definedName>
    <definedName name="solver_rel4" localSheetId="1" hidden="1">2</definedName>
    <definedName name="solver_rel4" localSheetId="0" hidden="1">1</definedName>
    <definedName name="solver_rhs1" localSheetId="1" hidden="1">0</definedName>
    <definedName name="solver_rhs1" localSheetId="0" hidden="1">15</definedName>
    <definedName name="solver_rhs2" localSheetId="1" hidden="1">0</definedName>
    <definedName name="solver_rhs2" localSheetId="0" hidden="1">10</definedName>
    <definedName name="solver_rhs3" localSheetId="1" hidden="1">0</definedName>
    <definedName name="solver_rhs3" localSheetId="0" hidden="1">10</definedName>
    <definedName name="solver_rhs4" localSheetId="1" hidden="1">1</definedName>
    <definedName name="solver_rhs4" localSheetId="0" hidden="1">15</definedName>
    <definedName name="solver_rlx" localSheetId="1" hidden="1">2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3" l="1"/>
  <c r="M6" i="3"/>
  <c r="A1005" i="3"/>
  <c r="B1005" i="3" s="1"/>
  <c r="A1004" i="3"/>
  <c r="B1004" i="3" s="1"/>
  <c r="A1003" i="3"/>
  <c r="B1003" i="3" s="1"/>
  <c r="D1003" i="3" s="1"/>
  <c r="A1002" i="3"/>
  <c r="B1002" i="3" s="1"/>
  <c r="D1002" i="3" s="1"/>
  <c r="A1001" i="3"/>
  <c r="B1001" i="3" s="1"/>
  <c r="A1000" i="3"/>
  <c r="B1000" i="3" s="1"/>
  <c r="A999" i="3"/>
  <c r="B999" i="3" s="1"/>
  <c r="D999" i="3" s="1"/>
  <c r="A998" i="3"/>
  <c r="B998" i="3" s="1"/>
  <c r="D998" i="3" s="1"/>
  <c r="A997" i="3"/>
  <c r="B997" i="3" s="1"/>
  <c r="A996" i="3"/>
  <c r="B996" i="3" s="1"/>
  <c r="A995" i="3"/>
  <c r="B995" i="3" s="1"/>
  <c r="D995" i="3" s="1"/>
  <c r="A994" i="3"/>
  <c r="B994" i="3" s="1"/>
  <c r="D994" i="3" s="1"/>
  <c r="A993" i="3"/>
  <c r="B993" i="3" s="1"/>
  <c r="A992" i="3"/>
  <c r="B992" i="3" s="1"/>
  <c r="A991" i="3"/>
  <c r="B991" i="3" s="1"/>
  <c r="D991" i="3" s="1"/>
  <c r="A990" i="3"/>
  <c r="B990" i="3" s="1"/>
  <c r="D990" i="3" s="1"/>
  <c r="A989" i="3"/>
  <c r="B989" i="3" s="1"/>
  <c r="A988" i="3"/>
  <c r="B988" i="3" s="1"/>
  <c r="A987" i="3"/>
  <c r="B987" i="3" s="1"/>
  <c r="D987" i="3" s="1"/>
  <c r="A986" i="3"/>
  <c r="B986" i="3" s="1"/>
  <c r="D986" i="3" s="1"/>
  <c r="A985" i="3"/>
  <c r="B985" i="3" s="1"/>
  <c r="A984" i="3"/>
  <c r="B984" i="3" s="1"/>
  <c r="A983" i="3"/>
  <c r="B983" i="3" s="1"/>
  <c r="D983" i="3" s="1"/>
  <c r="A982" i="3"/>
  <c r="B982" i="3" s="1"/>
  <c r="D982" i="3" s="1"/>
  <c r="A981" i="3"/>
  <c r="B981" i="3" s="1"/>
  <c r="A980" i="3"/>
  <c r="B980" i="3" s="1"/>
  <c r="A979" i="3"/>
  <c r="B979" i="3" s="1"/>
  <c r="D979" i="3" s="1"/>
  <c r="A978" i="3"/>
  <c r="B978" i="3" s="1"/>
  <c r="D978" i="3" s="1"/>
  <c r="A977" i="3"/>
  <c r="B977" i="3" s="1"/>
  <c r="A976" i="3"/>
  <c r="B976" i="3" s="1"/>
  <c r="A975" i="3"/>
  <c r="B975" i="3" s="1"/>
  <c r="D975" i="3" s="1"/>
  <c r="A974" i="3"/>
  <c r="B974" i="3" s="1"/>
  <c r="D974" i="3" s="1"/>
  <c r="A973" i="3"/>
  <c r="B973" i="3" s="1"/>
  <c r="A972" i="3"/>
  <c r="B972" i="3" s="1"/>
  <c r="A971" i="3"/>
  <c r="B971" i="3" s="1"/>
  <c r="D971" i="3" s="1"/>
  <c r="A970" i="3"/>
  <c r="B970" i="3" s="1"/>
  <c r="D970" i="3" s="1"/>
  <c r="A969" i="3"/>
  <c r="B969" i="3" s="1"/>
  <c r="D969" i="3" s="1"/>
  <c r="A968" i="3"/>
  <c r="B968" i="3" s="1"/>
  <c r="A967" i="3"/>
  <c r="B967" i="3" s="1"/>
  <c r="A966" i="3"/>
  <c r="B966" i="3" s="1"/>
  <c r="D966" i="3" s="1"/>
  <c r="A965" i="3"/>
  <c r="B965" i="3" s="1"/>
  <c r="D965" i="3" s="1"/>
  <c r="A964" i="3"/>
  <c r="B964" i="3" s="1"/>
  <c r="A963" i="3"/>
  <c r="B963" i="3" s="1"/>
  <c r="A962" i="3"/>
  <c r="B962" i="3" s="1"/>
  <c r="D962" i="3" s="1"/>
  <c r="A961" i="3"/>
  <c r="B961" i="3" s="1"/>
  <c r="D961" i="3" s="1"/>
  <c r="A960" i="3"/>
  <c r="B960" i="3" s="1"/>
  <c r="D960" i="3" s="1"/>
  <c r="A959" i="3"/>
  <c r="B959" i="3" s="1"/>
  <c r="A958" i="3"/>
  <c r="B958" i="3" s="1"/>
  <c r="A957" i="3"/>
  <c r="B957" i="3" s="1"/>
  <c r="D957" i="3" s="1"/>
  <c r="A956" i="3"/>
  <c r="B956" i="3" s="1"/>
  <c r="A955" i="3"/>
  <c r="B955" i="3" s="1"/>
  <c r="A954" i="3"/>
  <c r="B954" i="3" s="1"/>
  <c r="D954" i="3" s="1"/>
  <c r="A953" i="3"/>
  <c r="B953" i="3" s="1"/>
  <c r="D953" i="3" s="1"/>
  <c r="A952" i="3"/>
  <c r="B952" i="3" s="1"/>
  <c r="D952" i="3" s="1"/>
  <c r="A951" i="3"/>
  <c r="B951" i="3" s="1"/>
  <c r="A950" i="3"/>
  <c r="B950" i="3" s="1"/>
  <c r="A949" i="3"/>
  <c r="B949" i="3" s="1"/>
  <c r="D949" i="3" s="1"/>
  <c r="A948" i="3"/>
  <c r="B948" i="3" s="1"/>
  <c r="A947" i="3"/>
  <c r="B947" i="3" s="1"/>
  <c r="A946" i="3"/>
  <c r="B946" i="3" s="1"/>
  <c r="D946" i="3" s="1"/>
  <c r="A945" i="3"/>
  <c r="B945" i="3" s="1"/>
  <c r="D945" i="3" s="1"/>
  <c r="A944" i="3"/>
  <c r="B944" i="3" s="1"/>
  <c r="D944" i="3" s="1"/>
  <c r="A943" i="3"/>
  <c r="B943" i="3" s="1"/>
  <c r="A942" i="3"/>
  <c r="B942" i="3" s="1"/>
  <c r="A941" i="3"/>
  <c r="B941" i="3" s="1"/>
  <c r="D941" i="3" s="1"/>
  <c r="A940" i="3"/>
  <c r="B940" i="3" s="1"/>
  <c r="A939" i="3"/>
  <c r="B939" i="3" s="1"/>
  <c r="A938" i="3"/>
  <c r="B938" i="3" s="1"/>
  <c r="D938" i="3" s="1"/>
  <c r="A937" i="3"/>
  <c r="B937" i="3" s="1"/>
  <c r="D937" i="3" s="1"/>
  <c r="A936" i="3"/>
  <c r="B936" i="3" s="1"/>
  <c r="D936" i="3" s="1"/>
  <c r="A935" i="3"/>
  <c r="B935" i="3" s="1"/>
  <c r="A934" i="3"/>
  <c r="B934" i="3" s="1"/>
  <c r="A933" i="3"/>
  <c r="B933" i="3" s="1"/>
  <c r="A932" i="3"/>
  <c r="B932" i="3" s="1"/>
  <c r="D932" i="3" s="1"/>
  <c r="A931" i="3"/>
  <c r="B931" i="3" s="1"/>
  <c r="D931" i="3" s="1"/>
  <c r="A930" i="3"/>
  <c r="B930" i="3" s="1"/>
  <c r="D930" i="3" s="1"/>
  <c r="A929" i="3"/>
  <c r="B929" i="3" s="1"/>
  <c r="D929" i="3" s="1"/>
  <c r="A928" i="3"/>
  <c r="B928" i="3" s="1"/>
  <c r="D928" i="3" s="1"/>
  <c r="A927" i="3"/>
  <c r="B927" i="3" s="1"/>
  <c r="A926" i="3"/>
  <c r="B926" i="3" s="1"/>
  <c r="A925" i="3"/>
  <c r="B925" i="3" s="1"/>
  <c r="A924" i="3"/>
  <c r="B924" i="3" s="1"/>
  <c r="D924" i="3" s="1"/>
  <c r="A923" i="3"/>
  <c r="B923" i="3" s="1"/>
  <c r="D923" i="3" s="1"/>
  <c r="A922" i="3"/>
  <c r="B922" i="3" s="1"/>
  <c r="D922" i="3" s="1"/>
  <c r="A921" i="3"/>
  <c r="B921" i="3" s="1"/>
  <c r="A920" i="3"/>
  <c r="B920" i="3" s="1"/>
  <c r="A919" i="3"/>
  <c r="B919" i="3" s="1"/>
  <c r="D919" i="3" s="1"/>
  <c r="A918" i="3"/>
  <c r="B918" i="3" s="1"/>
  <c r="D918" i="3" s="1"/>
  <c r="A917" i="3"/>
  <c r="B917" i="3" s="1"/>
  <c r="A916" i="3"/>
  <c r="B916" i="3" s="1"/>
  <c r="D916" i="3" s="1"/>
  <c r="A915" i="3"/>
  <c r="B915" i="3" s="1"/>
  <c r="D915" i="3" s="1"/>
  <c r="A914" i="3"/>
  <c r="B914" i="3" s="1"/>
  <c r="D914" i="3" s="1"/>
  <c r="A913" i="3"/>
  <c r="B913" i="3" s="1"/>
  <c r="A912" i="3"/>
  <c r="B912" i="3" s="1"/>
  <c r="A911" i="3"/>
  <c r="B911" i="3" s="1"/>
  <c r="D911" i="3" s="1"/>
  <c r="A910" i="3"/>
  <c r="B910" i="3" s="1"/>
  <c r="D910" i="3" s="1"/>
  <c r="A909" i="3"/>
  <c r="B909" i="3" s="1"/>
  <c r="A908" i="3"/>
  <c r="B908" i="3" s="1"/>
  <c r="D908" i="3" s="1"/>
  <c r="A907" i="3"/>
  <c r="B907" i="3" s="1"/>
  <c r="D907" i="3" s="1"/>
  <c r="A906" i="3"/>
  <c r="B906" i="3" s="1"/>
  <c r="D906" i="3" s="1"/>
  <c r="A905" i="3"/>
  <c r="B905" i="3" s="1"/>
  <c r="D905" i="3" s="1"/>
  <c r="A904" i="3"/>
  <c r="B904" i="3" s="1"/>
  <c r="A903" i="3"/>
  <c r="B903" i="3" s="1"/>
  <c r="D903" i="3" s="1"/>
  <c r="A902" i="3"/>
  <c r="B902" i="3" s="1"/>
  <c r="D902" i="3" s="1"/>
  <c r="A901" i="3"/>
  <c r="B901" i="3" s="1"/>
  <c r="A900" i="3"/>
  <c r="B900" i="3" s="1"/>
  <c r="A899" i="3"/>
  <c r="B899" i="3" s="1"/>
  <c r="D899" i="3" s="1"/>
  <c r="A898" i="3"/>
  <c r="B898" i="3" s="1"/>
  <c r="D898" i="3" s="1"/>
  <c r="A897" i="3"/>
  <c r="B897" i="3" s="1"/>
  <c r="A896" i="3"/>
  <c r="B896" i="3" s="1"/>
  <c r="A895" i="3"/>
  <c r="B895" i="3" s="1"/>
  <c r="D895" i="3" s="1"/>
  <c r="A894" i="3"/>
  <c r="B894" i="3" s="1"/>
  <c r="D894" i="3" s="1"/>
  <c r="A893" i="3"/>
  <c r="B893" i="3" s="1"/>
  <c r="A892" i="3"/>
  <c r="B892" i="3" s="1"/>
  <c r="A891" i="3"/>
  <c r="B891" i="3" s="1"/>
  <c r="D891" i="3" s="1"/>
  <c r="A890" i="3"/>
  <c r="B890" i="3" s="1"/>
  <c r="D890" i="3" s="1"/>
  <c r="A889" i="3"/>
  <c r="B889" i="3" s="1"/>
  <c r="A888" i="3"/>
  <c r="B888" i="3" s="1"/>
  <c r="A887" i="3"/>
  <c r="B887" i="3" s="1"/>
  <c r="D887" i="3" s="1"/>
  <c r="A886" i="3"/>
  <c r="B886" i="3" s="1"/>
  <c r="D886" i="3" s="1"/>
  <c r="A885" i="3"/>
  <c r="B885" i="3" s="1"/>
  <c r="A884" i="3"/>
  <c r="B884" i="3" s="1"/>
  <c r="A883" i="3"/>
  <c r="B883" i="3" s="1"/>
  <c r="D883" i="3" s="1"/>
  <c r="A882" i="3"/>
  <c r="B882" i="3" s="1"/>
  <c r="D882" i="3" s="1"/>
  <c r="A881" i="3"/>
  <c r="B881" i="3" s="1"/>
  <c r="A880" i="3"/>
  <c r="B880" i="3" s="1"/>
  <c r="A879" i="3"/>
  <c r="B879" i="3" s="1"/>
  <c r="D879" i="3" s="1"/>
  <c r="A878" i="3"/>
  <c r="B878" i="3" s="1"/>
  <c r="D878" i="3" s="1"/>
  <c r="A877" i="3"/>
  <c r="B877" i="3" s="1"/>
  <c r="D877" i="3" s="1"/>
  <c r="A876" i="3"/>
  <c r="B876" i="3" s="1"/>
  <c r="D876" i="3" s="1"/>
  <c r="A875" i="3"/>
  <c r="B875" i="3" s="1"/>
  <c r="A874" i="3"/>
  <c r="B874" i="3" s="1"/>
  <c r="A873" i="3"/>
  <c r="B873" i="3" s="1"/>
  <c r="D873" i="3" s="1"/>
  <c r="A872" i="3"/>
  <c r="B872" i="3" s="1"/>
  <c r="D872" i="3" s="1"/>
  <c r="A871" i="3"/>
  <c r="B871" i="3" s="1"/>
  <c r="A870" i="3"/>
  <c r="B870" i="3" s="1"/>
  <c r="A869" i="3"/>
  <c r="B869" i="3" s="1"/>
  <c r="D869" i="3" s="1"/>
  <c r="A868" i="3"/>
  <c r="B868" i="3" s="1"/>
  <c r="D868" i="3" s="1"/>
  <c r="A867" i="3"/>
  <c r="B867" i="3" s="1"/>
  <c r="A866" i="3"/>
  <c r="B866" i="3" s="1"/>
  <c r="A865" i="3"/>
  <c r="B865" i="3" s="1"/>
  <c r="D865" i="3" s="1"/>
  <c r="A864" i="3"/>
  <c r="B864" i="3" s="1"/>
  <c r="D864" i="3" s="1"/>
  <c r="A863" i="3"/>
  <c r="B863" i="3" s="1"/>
  <c r="A862" i="3"/>
  <c r="B862" i="3" s="1"/>
  <c r="A861" i="3"/>
  <c r="B861" i="3" s="1"/>
  <c r="D861" i="3" s="1"/>
  <c r="A860" i="3"/>
  <c r="B860" i="3" s="1"/>
  <c r="D860" i="3" s="1"/>
  <c r="A859" i="3"/>
  <c r="B859" i="3" s="1"/>
  <c r="A858" i="3"/>
  <c r="B858" i="3" s="1"/>
  <c r="A857" i="3"/>
  <c r="B857" i="3" s="1"/>
  <c r="D857" i="3" s="1"/>
  <c r="A856" i="3"/>
  <c r="B856" i="3" s="1"/>
  <c r="D856" i="3" s="1"/>
  <c r="A855" i="3"/>
  <c r="B855" i="3" s="1"/>
  <c r="A854" i="3"/>
  <c r="B854" i="3" s="1"/>
  <c r="A853" i="3"/>
  <c r="B853" i="3" s="1"/>
  <c r="D853" i="3" s="1"/>
  <c r="A852" i="3"/>
  <c r="B852" i="3" s="1"/>
  <c r="D852" i="3" s="1"/>
  <c r="A851" i="3"/>
  <c r="B851" i="3" s="1"/>
  <c r="A850" i="3"/>
  <c r="B850" i="3" s="1"/>
  <c r="A849" i="3"/>
  <c r="B849" i="3" s="1"/>
  <c r="D849" i="3" s="1"/>
  <c r="A848" i="3"/>
  <c r="B848" i="3" s="1"/>
  <c r="D848" i="3" s="1"/>
  <c r="A847" i="3"/>
  <c r="B847" i="3" s="1"/>
  <c r="A846" i="3"/>
  <c r="B846" i="3" s="1"/>
  <c r="A845" i="3"/>
  <c r="B845" i="3" s="1"/>
  <c r="D845" i="3" s="1"/>
  <c r="A844" i="3"/>
  <c r="B844" i="3" s="1"/>
  <c r="D844" i="3" s="1"/>
  <c r="A843" i="3"/>
  <c r="B843" i="3" s="1"/>
  <c r="A842" i="3"/>
  <c r="B842" i="3" s="1"/>
  <c r="A841" i="3"/>
  <c r="B841" i="3" s="1"/>
  <c r="D841" i="3" s="1"/>
  <c r="A840" i="3"/>
  <c r="B840" i="3" s="1"/>
  <c r="D840" i="3" s="1"/>
  <c r="A839" i="3"/>
  <c r="B839" i="3" s="1"/>
  <c r="A838" i="3"/>
  <c r="B838" i="3" s="1"/>
  <c r="A837" i="3"/>
  <c r="B837" i="3" s="1"/>
  <c r="D837" i="3" s="1"/>
  <c r="A836" i="3"/>
  <c r="B836" i="3" s="1"/>
  <c r="D836" i="3" s="1"/>
  <c r="A835" i="3"/>
  <c r="B835" i="3" s="1"/>
  <c r="A834" i="3"/>
  <c r="B834" i="3" s="1"/>
  <c r="A833" i="3"/>
  <c r="B833" i="3" s="1"/>
  <c r="D833" i="3" s="1"/>
  <c r="A832" i="3"/>
  <c r="B832" i="3" s="1"/>
  <c r="D832" i="3" s="1"/>
  <c r="A831" i="3"/>
  <c r="B831" i="3" s="1"/>
  <c r="A830" i="3"/>
  <c r="B830" i="3" s="1"/>
  <c r="A829" i="3"/>
  <c r="B829" i="3" s="1"/>
  <c r="D829" i="3" s="1"/>
  <c r="A828" i="3"/>
  <c r="B828" i="3" s="1"/>
  <c r="D828" i="3" s="1"/>
  <c r="A827" i="3"/>
  <c r="B827" i="3" s="1"/>
  <c r="A826" i="3"/>
  <c r="B826" i="3" s="1"/>
  <c r="A825" i="3"/>
  <c r="B825" i="3" s="1"/>
  <c r="D825" i="3" s="1"/>
  <c r="A824" i="3"/>
  <c r="B824" i="3" s="1"/>
  <c r="D824" i="3" s="1"/>
  <c r="A823" i="3"/>
  <c r="B823" i="3" s="1"/>
  <c r="A822" i="3"/>
  <c r="B822" i="3" s="1"/>
  <c r="A821" i="3"/>
  <c r="B821" i="3" s="1"/>
  <c r="D821" i="3" s="1"/>
  <c r="A820" i="3"/>
  <c r="B820" i="3" s="1"/>
  <c r="D820" i="3" s="1"/>
  <c r="A819" i="3"/>
  <c r="B819" i="3" s="1"/>
  <c r="A818" i="3"/>
  <c r="B818" i="3" s="1"/>
  <c r="A817" i="3"/>
  <c r="B817" i="3" s="1"/>
  <c r="D817" i="3" s="1"/>
  <c r="A816" i="3"/>
  <c r="B816" i="3" s="1"/>
  <c r="D816" i="3" s="1"/>
  <c r="A815" i="3"/>
  <c r="B815" i="3" s="1"/>
  <c r="A814" i="3"/>
  <c r="B814" i="3" s="1"/>
  <c r="A813" i="3"/>
  <c r="B813" i="3" s="1"/>
  <c r="D813" i="3" s="1"/>
  <c r="A812" i="3"/>
  <c r="B812" i="3" s="1"/>
  <c r="D812" i="3" s="1"/>
  <c r="A811" i="3"/>
  <c r="B811" i="3" s="1"/>
  <c r="A810" i="3"/>
  <c r="B810" i="3" s="1"/>
  <c r="A809" i="3"/>
  <c r="B809" i="3" s="1"/>
  <c r="D809" i="3" s="1"/>
  <c r="A808" i="3"/>
  <c r="B808" i="3" s="1"/>
  <c r="D808" i="3" s="1"/>
  <c r="A807" i="3"/>
  <c r="B807" i="3" s="1"/>
  <c r="D807" i="3" s="1"/>
  <c r="A806" i="3"/>
  <c r="B806" i="3" s="1"/>
  <c r="A805" i="3"/>
  <c r="B805" i="3" s="1"/>
  <c r="D805" i="3" s="1"/>
  <c r="A804" i="3"/>
  <c r="B804" i="3" s="1"/>
  <c r="D804" i="3" s="1"/>
  <c r="A803" i="3"/>
  <c r="B803" i="3" s="1"/>
  <c r="D803" i="3" s="1"/>
  <c r="A802" i="3"/>
  <c r="B802" i="3" s="1"/>
  <c r="D802" i="3" s="1"/>
  <c r="A801" i="3"/>
  <c r="B801" i="3" s="1"/>
  <c r="A800" i="3"/>
  <c r="B800" i="3" s="1"/>
  <c r="D800" i="3" s="1"/>
  <c r="A799" i="3"/>
  <c r="B799" i="3" s="1"/>
  <c r="D799" i="3" s="1"/>
  <c r="A798" i="3"/>
  <c r="B798" i="3" s="1"/>
  <c r="A797" i="3"/>
  <c r="B797" i="3" s="1"/>
  <c r="D797" i="3" s="1"/>
  <c r="A796" i="3"/>
  <c r="B796" i="3" s="1"/>
  <c r="D796" i="3" s="1"/>
  <c r="A795" i="3"/>
  <c r="B795" i="3" s="1"/>
  <c r="D795" i="3" s="1"/>
  <c r="A794" i="3"/>
  <c r="B794" i="3" s="1"/>
  <c r="D794" i="3" s="1"/>
  <c r="A793" i="3"/>
  <c r="B793" i="3" s="1"/>
  <c r="D793" i="3" s="1"/>
  <c r="A792" i="3"/>
  <c r="B792" i="3" s="1"/>
  <c r="A791" i="3"/>
  <c r="B791" i="3" s="1"/>
  <c r="A790" i="3"/>
  <c r="B790" i="3" s="1"/>
  <c r="D790" i="3" s="1"/>
  <c r="A789" i="3"/>
  <c r="B789" i="3" s="1"/>
  <c r="D789" i="3" s="1"/>
  <c r="A788" i="3"/>
  <c r="B788" i="3" s="1"/>
  <c r="A787" i="3"/>
  <c r="B787" i="3" s="1"/>
  <c r="A786" i="3"/>
  <c r="B786" i="3" s="1"/>
  <c r="D786" i="3" s="1"/>
  <c r="A785" i="3"/>
  <c r="B785" i="3" s="1"/>
  <c r="D785" i="3" s="1"/>
  <c r="A784" i="3"/>
  <c r="B784" i="3" s="1"/>
  <c r="A783" i="3"/>
  <c r="B783" i="3" s="1"/>
  <c r="A782" i="3"/>
  <c r="B782" i="3" s="1"/>
  <c r="D782" i="3" s="1"/>
  <c r="A781" i="3"/>
  <c r="B781" i="3" s="1"/>
  <c r="D781" i="3" s="1"/>
  <c r="A780" i="3"/>
  <c r="B780" i="3" s="1"/>
  <c r="A779" i="3"/>
  <c r="B779" i="3" s="1"/>
  <c r="A778" i="3"/>
  <c r="B778" i="3" s="1"/>
  <c r="D778" i="3" s="1"/>
  <c r="A777" i="3"/>
  <c r="B777" i="3" s="1"/>
  <c r="D777" i="3" s="1"/>
  <c r="A776" i="3"/>
  <c r="B776" i="3" s="1"/>
  <c r="A775" i="3"/>
  <c r="B775" i="3" s="1"/>
  <c r="A774" i="3"/>
  <c r="B774" i="3" s="1"/>
  <c r="D774" i="3" s="1"/>
  <c r="A773" i="3"/>
  <c r="B773" i="3" s="1"/>
  <c r="D773" i="3" s="1"/>
  <c r="A772" i="3"/>
  <c r="B772" i="3" s="1"/>
  <c r="D772" i="3" s="1"/>
  <c r="A771" i="3"/>
  <c r="B771" i="3" s="1"/>
  <c r="A770" i="3"/>
  <c r="B770" i="3" s="1"/>
  <c r="D770" i="3" s="1"/>
  <c r="A769" i="3"/>
  <c r="B769" i="3" s="1"/>
  <c r="D769" i="3" s="1"/>
  <c r="A768" i="3"/>
  <c r="B768" i="3" s="1"/>
  <c r="A767" i="3"/>
  <c r="B767" i="3" s="1"/>
  <c r="A766" i="3"/>
  <c r="B766" i="3" s="1"/>
  <c r="D766" i="3" s="1"/>
  <c r="A765" i="3"/>
  <c r="B765" i="3" s="1"/>
  <c r="D765" i="3" s="1"/>
  <c r="A764" i="3"/>
  <c r="B764" i="3" s="1"/>
  <c r="D764" i="3" s="1"/>
  <c r="A763" i="3"/>
  <c r="B763" i="3" s="1"/>
  <c r="A762" i="3"/>
  <c r="B762" i="3" s="1"/>
  <c r="D762" i="3" s="1"/>
  <c r="A761" i="3"/>
  <c r="B761" i="3" s="1"/>
  <c r="D761" i="3" s="1"/>
  <c r="A760" i="3"/>
  <c r="B760" i="3" s="1"/>
  <c r="A759" i="3"/>
  <c r="B759" i="3" s="1"/>
  <c r="A758" i="3"/>
  <c r="B758" i="3" s="1"/>
  <c r="A757" i="3"/>
  <c r="B757" i="3" s="1"/>
  <c r="D757" i="3" s="1"/>
  <c r="A756" i="3"/>
  <c r="B756" i="3" s="1"/>
  <c r="D756" i="3" s="1"/>
  <c r="A755" i="3"/>
  <c r="B755" i="3" s="1"/>
  <c r="A754" i="3"/>
  <c r="B754" i="3" s="1"/>
  <c r="D754" i="3" s="1"/>
  <c r="A753" i="3"/>
  <c r="B753" i="3" s="1"/>
  <c r="D753" i="3" s="1"/>
  <c r="A752" i="3"/>
  <c r="B752" i="3" s="1"/>
  <c r="A751" i="3"/>
  <c r="B751" i="3" s="1"/>
  <c r="A750" i="3"/>
  <c r="B750" i="3" s="1"/>
  <c r="D750" i="3" s="1"/>
  <c r="A749" i="3"/>
  <c r="B749" i="3" s="1"/>
  <c r="D749" i="3" s="1"/>
  <c r="A748" i="3"/>
  <c r="B748" i="3" s="1"/>
  <c r="D748" i="3" s="1"/>
  <c r="A747" i="3"/>
  <c r="B747" i="3" s="1"/>
  <c r="A746" i="3"/>
  <c r="B746" i="3" s="1"/>
  <c r="D746" i="3" s="1"/>
  <c r="A745" i="3"/>
  <c r="B745" i="3" s="1"/>
  <c r="D745" i="3" s="1"/>
  <c r="A744" i="3"/>
  <c r="B744" i="3" s="1"/>
  <c r="A743" i="3"/>
  <c r="B743" i="3" s="1"/>
  <c r="A742" i="3"/>
  <c r="B742" i="3" s="1"/>
  <c r="A741" i="3"/>
  <c r="B741" i="3" s="1"/>
  <c r="D741" i="3" s="1"/>
  <c r="A740" i="3"/>
  <c r="B740" i="3" s="1"/>
  <c r="D740" i="3" s="1"/>
  <c r="A739" i="3"/>
  <c r="B739" i="3" s="1"/>
  <c r="A738" i="3"/>
  <c r="B738" i="3" s="1"/>
  <c r="D738" i="3" s="1"/>
  <c r="A737" i="3"/>
  <c r="B737" i="3" s="1"/>
  <c r="D737" i="3" s="1"/>
  <c r="A736" i="3"/>
  <c r="B736" i="3" s="1"/>
  <c r="A735" i="3"/>
  <c r="B735" i="3" s="1"/>
  <c r="A734" i="3"/>
  <c r="B734" i="3" s="1"/>
  <c r="D734" i="3" s="1"/>
  <c r="A733" i="3"/>
  <c r="B733" i="3" s="1"/>
  <c r="D733" i="3" s="1"/>
  <c r="A732" i="3"/>
  <c r="B732" i="3" s="1"/>
  <c r="D732" i="3" s="1"/>
  <c r="A731" i="3"/>
  <c r="B731" i="3" s="1"/>
  <c r="A730" i="3"/>
  <c r="B730" i="3" s="1"/>
  <c r="D730" i="3" s="1"/>
  <c r="A729" i="3"/>
  <c r="B729" i="3" s="1"/>
  <c r="D729" i="3" s="1"/>
  <c r="A728" i="3"/>
  <c r="B728" i="3" s="1"/>
  <c r="D728" i="3" s="1"/>
  <c r="A727" i="3"/>
  <c r="B727" i="3" s="1"/>
  <c r="A726" i="3"/>
  <c r="B726" i="3" s="1"/>
  <c r="A725" i="3"/>
  <c r="B725" i="3" s="1"/>
  <c r="A724" i="3"/>
  <c r="B724" i="3" s="1"/>
  <c r="A723" i="3"/>
  <c r="B723" i="3" s="1"/>
  <c r="A722" i="3"/>
  <c r="B722" i="3" s="1"/>
  <c r="D722" i="3" s="1"/>
  <c r="A721" i="3"/>
  <c r="B721" i="3" s="1"/>
  <c r="D721" i="3" s="1"/>
  <c r="A720" i="3"/>
  <c r="B720" i="3" s="1"/>
  <c r="D720" i="3" s="1"/>
  <c r="A719" i="3"/>
  <c r="B719" i="3" s="1"/>
  <c r="A718" i="3"/>
  <c r="B718" i="3" s="1"/>
  <c r="A717" i="3"/>
  <c r="B717" i="3" s="1"/>
  <c r="D717" i="3" s="1"/>
  <c r="A716" i="3"/>
  <c r="B716" i="3" s="1"/>
  <c r="D716" i="3" s="1"/>
  <c r="A715" i="3"/>
  <c r="B715" i="3" s="1"/>
  <c r="A714" i="3"/>
  <c r="B714" i="3" s="1"/>
  <c r="A713" i="3"/>
  <c r="B713" i="3" s="1"/>
  <c r="D713" i="3" s="1"/>
  <c r="A712" i="3"/>
  <c r="B712" i="3" s="1"/>
  <c r="D712" i="3" s="1"/>
  <c r="A711" i="3"/>
  <c r="B711" i="3" s="1"/>
  <c r="A710" i="3"/>
  <c r="B710" i="3" s="1"/>
  <c r="A709" i="3"/>
  <c r="B709" i="3" s="1"/>
  <c r="D709" i="3" s="1"/>
  <c r="A708" i="3"/>
  <c r="B708" i="3" s="1"/>
  <c r="D708" i="3" s="1"/>
  <c r="A707" i="3"/>
  <c r="B707" i="3" s="1"/>
  <c r="A706" i="3"/>
  <c r="B706" i="3" s="1"/>
  <c r="A705" i="3"/>
  <c r="B705" i="3" s="1"/>
  <c r="D705" i="3" s="1"/>
  <c r="A704" i="3"/>
  <c r="B704" i="3" s="1"/>
  <c r="D704" i="3" s="1"/>
  <c r="A703" i="3"/>
  <c r="B703" i="3" s="1"/>
  <c r="A702" i="3"/>
  <c r="B702" i="3" s="1"/>
  <c r="A701" i="3"/>
  <c r="B701" i="3" s="1"/>
  <c r="D701" i="3" s="1"/>
  <c r="A700" i="3"/>
  <c r="B700" i="3" s="1"/>
  <c r="D700" i="3" s="1"/>
  <c r="A699" i="3"/>
  <c r="B699" i="3" s="1"/>
  <c r="A698" i="3"/>
  <c r="B698" i="3" s="1"/>
  <c r="A697" i="3"/>
  <c r="B697" i="3" s="1"/>
  <c r="D697" i="3" s="1"/>
  <c r="A696" i="3"/>
  <c r="B696" i="3" s="1"/>
  <c r="D696" i="3" s="1"/>
  <c r="A695" i="3"/>
  <c r="B695" i="3" s="1"/>
  <c r="A694" i="3"/>
  <c r="B694" i="3" s="1"/>
  <c r="A693" i="3"/>
  <c r="B693" i="3" s="1"/>
  <c r="D693" i="3" s="1"/>
  <c r="A692" i="3"/>
  <c r="B692" i="3" s="1"/>
  <c r="D692" i="3" s="1"/>
  <c r="A691" i="3"/>
  <c r="B691" i="3" s="1"/>
  <c r="A690" i="3"/>
  <c r="B690" i="3" s="1"/>
  <c r="A689" i="3"/>
  <c r="B689" i="3" s="1"/>
  <c r="D689" i="3" s="1"/>
  <c r="A688" i="3"/>
  <c r="B688" i="3" s="1"/>
  <c r="D688" i="3" s="1"/>
  <c r="A687" i="3"/>
  <c r="B687" i="3" s="1"/>
  <c r="A686" i="3"/>
  <c r="B686" i="3" s="1"/>
  <c r="A685" i="3"/>
  <c r="B685" i="3" s="1"/>
  <c r="D685" i="3" s="1"/>
  <c r="A684" i="3"/>
  <c r="B684" i="3" s="1"/>
  <c r="D684" i="3" s="1"/>
  <c r="A683" i="3"/>
  <c r="B683" i="3" s="1"/>
  <c r="A682" i="3"/>
  <c r="B682" i="3" s="1"/>
  <c r="A681" i="3"/>
  <c r="B681" i="3" s="1"/>
  <c r="D681" i="3" s="1"/>
  <c r="A680" i="3"/>
  <c r="B680" i="3" s="1"/>
  <c r="D680" i="3" s="1"/>
  <c r="A679" i="3"/>
  <c r="B679" i="3" s="1"/>
  <c r="A678" i="3"/>
  <c r="B678" i="3" s="1"/>
  <c r="A677" i="3"/>
  <c r="B677" i="3" s="1"/>
  <c r="D677" i="3" s="1"/>
  <c r="A676" i="3"/>
  <c r="B676" i="3" s="1"/>
  <c r="D676" i="3" s="1"/>
  <c r="A675" i="3"/>
  <c r="B675" i="3" s="1"/>
  <c r="A674" i="3"/>
  <c r="B674" i="3" s="1"/>
  <c r="A673" i="3"/>
  <c r="B673" i="3" s="1"/>
  <c r="D673" i="3" s="1"/>
  <c r="A672" i="3"/>
  <c r="B672" i="3" s="1"/>
  <c r="D672" i="3" s="1"/>
  <c r="A671" i="3"/>
  <c r="B671" i="3" s="1"/>
  <c r="A670" i="3"/>
  <c r="B670" i="3" s="1"/>
  <c r="A669" i="3"/>
  <c r="B669" i="3" s="1"/>
  <c r="D669" i="3" s="1"/>
  <c r="A668" i="3"/>
  <c r="B668" i="3" s="1"/>
  <c r="D668" i="3" s="1"/>
  <c r="A667" i="3"/>
  <c r="B667" i="3" s="1"/>
  <c r="A666" i="3"/>
  <c r="B666" i="3" s="1"/>
  <c r="A665" i="3"/>
  <c r="B665" i="3" s="1"/>
  <c r="D665" i="3" s="1"/>
  <c r="A664" i="3"/>
  <c r="B664" i="3" s="1"/>
  <c r="D664" i="3" s="1"/>
  <c r="A663" i="3"/>
  <c r="B663" i="3" s="1"/>
  <c r="A662" i="3"/>
  <c r="B662" i="3" s="1"/>
  <c r="A661" i="3"/>
  <c r="B661" i="3" s="1"/>
  <c r="D661" i="3" s="1"/>
  <c r="A660" i="3"/>
  <c r="B660" i="3" s="1"/>
  <c r="D660" i="3" s="1"/>
  <c r="A659" i="3"/>
  <c r="B659" i="3" s="1"/>
  <c r="A658" i="3"/>
  <c r="B658" i="3" s="1"/>
  <c r="D658" i="3" s="1"/>
  <c r="A657" i="3"/>
  <c r="B657" i="3" s="1"/>
  <c r="D657" i="3" s="1"/>
  <c r="A656" i="3"/>
  <c r="B656" i="3" s="1"/>
  <c r="D656" i="3" s="1"/>
  <c r="A655" i="3"/>
  <c r="B655" i="3" s="1"/>
  <c r="D655" i="3" s="1"/>
  <c r="A654" i="3"/>
  <c r="B654" i="3" s="1"/>
  <c r="A653" i="3"/>
  <c r="B653" i="3" s="1"/>
  <c r="A652" i="3"/>
  <c r="B652" i="3" s="1"/>
  <c r="D652" i="3" s="1"/>
  <c r="A651" i="3"/>
  <c r="B651" i="3" s="1"/>
  <c r="D651" i="3" s="1"/>
  <c r="A650" i="3"/>
  <c r="B650" i="3" s="1"/>
  <c r="D650" i="3" s="1"/>
  <c r="A649" i="3"/>
  <c r="B649" i="3" s="1"/>
  <c r="A648" i="3"/>
  <c r="B648" i="3" s="1"/>
  <c r="D648" i="3" s="1"/>
  <c r="A647" i="3"/>
  <c r="B647" i="3" s="1"/>
  <c r="D647" i="3" s="1"/>
  <c r="A646" i="3"/>
  <c r="B646" i="3" s="1"/>
  <c r="A645" i="3"/>
  <c r="B645" i="3" s="1"/>
  <c r="A644" i="3"/>
  <c r="B644" i="3" s="1"/>
  <c r="A643" i="3"/>
  <c r="B643" i="3" s="1"/>
  <c r="D643" i="3" s="1"/>
  <c r="A642" i="3"/>
  <c r="B642" i="3" s="1"/>
  <c r="D642" i="3" s="1"/>
  <c r="A641" i="3"/>
  <c r="B641" i="3" s="1"/>
  <c r="A640" i="3"/>
  <c r="B640" i="3" s="1"/>
  <c r="D640" i="3" s="1"/>
  <c r="A639" i="3"/>
  <c r="B639" i="3" s="1"/>
  <c r="D639" i="3" s="1"/>
  <c r="A638" i="3"/>
  <c r="B638" i="3" s="1"/>
  <c r="A637" i="3"/>
  <c r="B637" i="3" s="1"/>
  <c r="A636" i="3"/>
  <c r="B636" i="3" s="1"/>
  <c r="D636" i="3" s="1"/>
  <c r="A635" i="3"/>
  <c r="B635" i="3" s="1"/>
  <c r="D635" i="3" s="1"/>
  <c r="A634" i="3"/>
  <c r="B634" i="3" s="1"/>
  <c r="D634" i="3" s="1"/>
  <c r="A633" i="3"/>
  <c r="B633" i="3" s="1"/>
  <c r="A632" i="3"/>
  <c r="B632" i="3" s="1"/>
  <c r="D632" i="3" s="1"/>
  <c r="A631" i="3"/>
  <c r="B631" i="3" s="1"/>
  <c r="A630" i="3"/>
  <c r="B630" i="3" s="1"/>
  <c r="D630" i="3" s="1"/>
  <c r="A629" i="3"/>
  <c r="B629" i="3" s="1"/>
  <c r="A628" i="3"/>
  <c r="B628" i="3" s="1"/>
  <c r="D628" i="3" s="1"/>
  <c r="A627" i="3"/>
  <c r="B627" i="3" s="1"/>
  <c r="D627" i="3" s="1"/>
  <c r="A626" i="3"/>
  <c r="B626" i="3" s="1"/>
  <c r="D626" i="3" s="1"/>
  <c r="A625" i="3"/>
  <c r="B625" i="3" s="1"/>
  <c r="A624" i="3"/>
  <c r="B624" i="3" s="1"/>
  <c r="D624" i="3" s="1"/>
  <c r="A623" i="3"/>
  <c r="B623" i="3" s="1"/>
  <c r="A622" i="3"/>
  <c r="B622" i="3" s="1"/>
  <c r="D622" i="3" s="1"/>
  <c r="A621" i="3"/>
  <c r="B621" i="3" s="1"/>
  <c r="A620" i="3"/>
  <c r="B620" i="3" s="1"/>
  <c r="D620" i="3" s="1"/>
  <c r="A619" i="3"/>
  <c r="B619" i="3" s="1"/>
  <c r="D619" i="3" s="1"/>
  <c r="A618" i="3"/>
  <c r="B618" i="3" s="1"/>
  <c r="D618" i="3" s="1"/>
  <c r="A617" i="3"/>
  <c r="B617" i="3" s="1"/>
  <c r="A616" i="3"/>
  <c r="B616" i="3" s="1"/>
  <c r="D616" i="3" s="1"/>
  <c r="A615" i="3"/>
  <c r="B615" i="3" s="1"/>
  <c r="D615" i="3" s="1"/>
  <c r="A614" i="3"/>
  <c r="B614" i="3" s="1"/>
  <c r="A613" i="3"/>
  <c r="B613" i="3" s="1"/>
  <c r="A612" i="3"/>
  <c r="B612" i="3" s="1"/>
  <c r="A611" i="3"/>
  <c r="B611" i="3" s="1"/>
  <c r="D611" i="3" s="1"/>
  <c r="A610" i="3"/>
  <c r="B610" i="3" s="1"/>
  <c r="D610" i="3" s="1"/>
  <c r="A609" i="3"/>
  <c r="B609" i="3" s="1"/>
  <c r="A608" i="3"/>
  <c r="B608" i="3" s="1"/>
  <c r="D608" i="3" s="1"/>
  <c r="A607" i="3"/>
  <c r="B607" i="3" s="1"/>
  <c r="D607" i="3" s="1"/>
  <c r="A606" i="3"/>
  <c r="B606" i="3" s="1"/>
  <c r="A605" i="3"/>
  <c r="B605" i="3" s="1"/>
  <c r="A604" i="3"/>
  <c r="B604" i="3" s="1"/>
  <c r="D604" i="3" s="1"/>
  <c r="A603" i="3"/>
  <c r="B603" i="3" s="1"/>
  <c r="D603" i="3" s="1"/>
  <c r="A602" i="3"/>
  <c r="B602" i="3" s="1"/>
  <c r="A601" i="3"/>
  <c r="B601" i="3" s="1"/>
  <c r="A600" i="3"/>
  <c r="B600" i="3" s="1"/>
  <c r="A599" i="3"/>
  <c r="B599" i="3" s="1"/>
  <c r="D599" i="3" s="1"/>
  <c r="A598" i="3"/>
  <c r="B598" i="3" s="1"/>
  <c r="A597" i="3"/>
  <c r="B597" i="3" s="1"/>
  <c r="A596" i="3"/>
  <c r="B596" i="3" s="1"/>
  <c r="D596" i="3" s="1"/>
  <c r="A595" i="3"/>
  <c r="B595" i="3" s="1"/>
  <c r="D595" i="3" s="1"/>
  <c r="A594" i="3"/>
  <c r="B594" i="3" s="1"/>
  <c r="A593" i="3"/>
  <c r="B593" i="3" s="1"/>
  <c r="A592" i="3"/>
  <c r="B592" i="3" s="1"/>
  <c r="A591" i="3"/>
  <c r="B591" i="3" s="1"/>
  <c r="D591" i="3" s="1"/>
  <c r="A590" i="3"/>
  <c r="B590" i="3" s="1"/>
  <c r="D590" i="3" s="1"/>
  <c r="A589" i="3"/>
  <c r="B589" i="3" s="1"/>
  <c r="D589" i="3" s="1"/>
  <c r="A588" i="3"/>
  <c r="B588" i="3" s="1"/>
  <c r="D588" i="3" s="1"/>
  <c r="A587" i="3"/>
  <c r="B587" i="3" s="1"/>
  <c r="A586" i="3"/>
  <c r="B586" i="3" s="1"/>
  <c r="A585" i="3"/>
  <c r="B585" i="3" s="1"/>
  <c r="D585" i="3" s="1"/>
  <c r="A584" i="3"/>
  <c r="B584" i="3" s="1"/>
  <c r="D584" i="3" s="1"/>
  <c r="A583" i="3"/>
  <c r="B583" i="3" s="1"/>
  <c r="A582" i="3"/>
  <c r="B582" i="3" s="1"/>
  <c r="A581" i="3"/>
  <c r="B581" i="3" s="1"/>
  <c r="D581" i="3" s="1"/>
  <c r="A580" i="3"/>
  <c r="B580" i="3" s="1"/>
  <c r="D580" i="3" s="1"/>
  <c r="A579" i="3"/>
  <c r="B579" i="3" s="1"/>
  <c r="A578" i="3"/>
  <c r="B578" i="3" s="1"/>
  <c r="A577" i="3"/>
  <c r="B577" i="3" s="1"/>
  <c r="D577" i="3" s="1"/>
  <c r="A576" i="3"/>
  <c r="B576" i="3" s="1"/>
  <c r="D576" i="3" s="1"/>
  <c r="A575" i="3"/>
  <c r="B575" i="3" s="1"/>
  <c r="A574" i="3"/>
  <c r="B574" i="3" s="1"/>
  <c r="A573" i="3"/>
  <c r="B573" i="3" s="1"/>
  <c r="D573" i="3" s="1"/>
  <c r="A572" i="3"/>
  <c r="B572" i="3" s="1"/>
  <c r="D572" i="3" s="1"/>
  <c r="A571" i="3"/>
  <c r="B571" i="3" s="1"/>
  <c r="A570" i="3"/>
  <c r="B570" i="3" s="1"/>
  <c r="A569" i="3"/>
  <c r="B569" i="3" s="1"/>
  <c r="D569" i="3" s="1"/>
  <c r="A568" i="3"/>
  <c r="B568" i="3" s="1"/>
  <c r="D568" i="3" s="1"/>
  <c r="A567" i="3"/>
  <c r="B567" i="3" s="1"/>
  <c r="A566" i="3"/>
  <c r="B566" i="3" s="1"/>
  <c r="A565" i="3"/>
  <c r="B565" i="3" s="1"/>
  <c r="D565" i="3" s="1"/>
  <c r="A564" i="3"/>
  <c r="B564" i="3" s="1"/>
  <c r="D564" i="3" s="1"/>
  <c r="A563" i="3"/>
  <c r="B563" i="3" s="1"/>
  <c r="A562" i="3"/>
  <c r="B562" i="3" s="1"/>
  <c r="A561" i="3"/>
  <c r="B561" i="3" s="1"/>
  <c r="D561" i="3" s="1"/>
  <c r="A560" i="3"/>
  <c r="B560" i="3" s="1"/>
  <c r="D560" i="3" s="1"/>
  <c r="A559" i="3"/>
  <c r="B559" i="3" s="1"/>
  <c r="A558" i="3"/>
  <c r="B558" i="3" s="1"/>
  <c r="A557" i="3"/>
  <c r="B557" i="3" s="1"/>
  <c r="D557" i="3" s="1"/>
  <c r="A556" i="3"/>
  <c r="B556" i="3" s="1"/>
  <c r="D556" i="3" s="1"/>
  <c r="A555" i="3"/>
  <c r="B555" i="3" s="1"/>
  <c r="A554" i="3"/>
  <c r="B554" i="3" s="1"/>
  <c r="A553" i="3"/>
  <c r="B553" i="3" s="1"/>
  <c r="D553" i="3" s="1"/>
  <c r="A552" i="3"/>
  <c r="B552" i="3" s="1"/>
  <c r="D552" i="3" s="1"/>
  <c r="A551" i="3"/>
  <c r="B551" i="3" s="1"/>
  <c r="A550" i="3"/>
  <c r="B550" i="3" s="1"/>
  <c r="A549" i="3"/>
  <c r="B549" i="3" s="1"/>
  <c r="D549" i="3" s="1"/>
  <c r="A548" i="3"/>
  <c r="B548" i="3" s="1"/>
  <c r="D548" i="3" s="1"/>
  <c r="A547" i="3"/>
  <c r="B547" i="3" s="1"/>
  <c r="A546" i="3"/>
  <c r="B546" i="3" s="1"/>
  <c r="A545" i="3"/>
  <c r="B545" i="3" s="1"/>
  <c r="D545" i="3" s="1"/>
  <c r="A544" i="3"/>
  <c r="B544" i="3" s="1"/>
  <c r="D544" i="3" s="1"/>
  <c r="A543" i="3"/>
  <c r="B543" i="3" s="1"/>
  <c r="A542" i="3"/>
  <c r="B542" i="3" s="1"/>
  <c r="A541" i="3"/>
  <c r="B541" i="3" s="1"/>
  <c r="D541" i="3" s="1"/>
  <c r="A540" i="3"/>
  <c r="B540" i="3" s="1"/>
  <c r="D540" i="3" s="1"/>
  <c r="A539" i="3"/>
  <c r="B539" i="3" s="1"/>
  <c r="A538" i="3"/>
  <c r="B538" i="3" s="1"/>
  <c r="A537" i="3"/>
  <c r="B537" i="3" s="1"/>
  <c r="D537" i="3" s="1"/>
  <c r="A536" i="3"/>
  <c r="B536" i="3" s="1"/>
  <c r="D536" i="3" s="1"/>
  <c r="A535" i="3"/>
  <c r="B535" i="3" s="1"/>
  <c r="A534" i="3"/>
  <c r="B534" i="3" s="1"/>
  <c r="A533" i="3"/>
  <c r="B533" i="3" s="1"/>
  <c r="D533" i="3" s="1"/>
  <c r="A532" i="3"/>
  <c r="B532" i="3" s="1"/>
  <c r="D532" i="3" s="1"/>
  <c r="A531" i="3"/>
  <c r="B531" i="3" s="1"/>
  <c r="A530" i="3"/>
  <c r="B530" i="3" s="1"/>
  <c r="A529" i="3"/>
  <c r="B529" i="3" s="1"/>
  <c r="D529" i="3" s="1"/>
  <c r="A528" i="3"/>
  <c r="B528" i="3" s="1"/>
  <c r="D528" i="3" s="1"/>
  <c r="A527" i="3"/>
  <c r="B527" i="3" s="1"/>
  <c r="A526" i="3"/>
  <c r="B526" i="3" s="1"/>
  <c r="A525" i="3"/>
  <c r="B525" i="3" s="1"/>
  <c r="D525" i="3" s="1"/>
  <c r="A524" i="3"/>
  <c r="B524" i="3" s="1"/>
  <c r="D524" i="3" s="1"/>
  <c r="A523" i="3"/>
  <c r="B523" i="3" s="1"/>
  <c r="A522" i="3"/>
  <c r="B522" i="3" s="1"/>
  <c r="A521" i="3"/>
  <c r="B521" i="3" s="1"/>
  <c r="D521" i="3" s="1"/>
  <c r="A520" i="3"/>
  <c r="B520" i="3" s="1"/>
  <c r="D520" i="3" s="1"/>
  <c r="A519" i="3"/>
  <c r="B519" i="3" s="1"/>
  <c r="A518" i="3"/>
  <c r="B518" i="3" s="1"/>
  <c r="A517" i="3"/>
  <c r="B517" i="3" s="1"/>
  <c r="D517" i="3" s="1"/>
  <c r="A516" i="3"/>
  <c r="B516" i="3" s="1"/>
  <c r="D516" i="3" s="1"/>
  <c r="A515" i="3"/>
  <c r="B515" i="3" s="1"/>
  <c r="A514" i="3"/>
  <c r="B514" i="3" s="1"/>
  <c r="A513" i="3"/>
  <c r="B513" i="3" s="1"/>
  <c r="D513" i="3" s="1"/>
  <c r="A512" i="3"/>
  <c r="B512" i="3" s="1"/>
  <c r="D512" i="3" s="1"/>
  <c r="A511" i="3"/>
  <c r="B511" i="3" s="1"/>
  <c r="A510" i="3"/>
  <c r="B510" i="3" s="1"/>
  <c r="A509" i="3"/>
  <c r="B509" i="3" s="1"/>
  <c r="D509" i="3" s="1"/>
  <c r="A508" i="3"/>
  <c r="B508" i="3" s="1"/>
  <c r="D508" i="3" s="1"/>
  <c r="A507" i="3"/>
  <c r="B507" i="3" s="1"/>
  <c r="A506" i="3"/>
  <c r="B506" i="3" s="1"/>
  <c r="A505" i="3"/>
  <c r="B505" i="3" s="1"/>
  <c r="D505" i="3" s="1"/>
  <c r="A504" i="3"/>
  <c r="B504" i="3" s="1"/>
  <c r="D504" i="3" s="1"/>
  <c r="A503" i="3"/>
  <c r="B503" i="3" s="1"/>
  <c r="A502" i="3"/>
  <c r="B502" i="3" s="1"/>
  <c r="A501" i="3"/>
  <c r="B501" i="3" s="1"/>
  <c r="D501" i="3" s="1"/>
  <c r="A500" i="3"/>
  <c r="B500" i="3" s="1"/>
  <c r="D500" i="3" s="1"/>
  <c r="A499" i="3"/>
  <c r="B499" i="3" s="1"/>
  <c r="A498" i="3"/>
  <c r="B498" i="3" s="1"/>
  <c r="A497" i="3"/>
  <c r="B497" i="3" s="1"/>
  <c r="D497" i="3" s="1"/>
  <c r="A496" i="3"/>
  <c r="B496" i="3" s="1"/>
  <c r="D496" i="3" s="1"/>
  <c r="A495" i="3"/>
  <c r="B495" i="3" s="1"/>
  <c r="A494" i="3"/>
  <c r="B494" i="3" s="1"/>
  <c r="A493" i="3"/>
  <c r="B493" i="3" s="1"/>
  <c r="D493" i="3" s="1"/>
  <c r="A492" i="3"/>
  <c r="B492" i="3" s="1"/>
  <c r="D492" i="3" s="1"/>
  <c r="A491" i="3"/>
  <c r="B491" i="3" s="1"/>
  <c r="A490" i="3"/>
  <c r="B490" i="3" s="1"/>
  <c r="A489" i="3"/>
  <c r="B489" i="3" s="1"/>
  <c r="D489" i="3" s="1"/>
  <c r="A488" i="3"/>
  <c r="B488" i="3" s="1"/>
  <c r="D488" i="3" s="1"/>
  <c r="A487" i="3"/>
  <c r="B487" i="3" s="1"/>
  <c r="A486" i="3"/>
  <c r="B486" i="3" s="1"/>
  <c r="A485" i="3"/>
  <c r="B485" i="3" s="1"/>
  <c r="D485" i="3" s="1"/>
  <c r="A484" i="3"/>
  <c r="B484" i="3" s="1"/>
  <c r="D484" i="3" s="1"/>
  <c r="A483" i="3"/>
  <c r="B483" i="3" s="1"/>
  <c r="A482" i="3"/>
  <c r="B482" i="3" s="1"/>
  <c r="A481" i="3"/>
  <c r="B481" i="3" s="1"/>
  <c r="D481" i="3" s="1"/>
  <c r="A480" i="3"/>
  <c r="B480" i="3" s="1"/>
  <c r="D480" i="3" s="1"/>
  <c r="A479" i="3"/>
  <c r="B479" i="3" s="1"/>
  <c r="A478" i="3"/>
  <c r="B478" i="3" s="1"/>
  <c r="A477" i="3"/>
  <c r="B477" i="3" s="1"/>
  <c r="D477" i="3" s="1"/>
  <c r="A476" i="3"/>
  <c r="B476" i="3" s="1"/>
  <c r="D476" i="3" s="1"/>
  <c r="A475" i="3"/>
  <c r="B475" i="3" s="1"/>
  <c r="A474" i="3"/>
  <c r="B474" i="3" s="1"/>
  <c r="A473" i="3"/>
  <c r="B473" i="3" s="1"/>
  <c r="D473" i="3" s="1"/>
  <c r="A472" i="3"/>
  <c r="B472" i="3" s="1"/>
  <c r="D472" i="3" s="1"/>
  <c r="A471" i="3"/>
  <c r="B471" i="3" s="1"/>
  <c r="A470" i="3"/>
  <c r="B470" i="3" s="1"/>
  <c r="A469" i="3"/>
  <c r="B469" i="3" s="1"/>
  <c r="D469" i="3" s="1"/>
  <c r="A468" i="3"/>
  <c r="B468" i="3" s="1"/>
  <c r="D468" i="3" s="1"/>
  <c r="A467" i="3"/>
  <c r="B467" i="3" s="1"/>
  <c r="A466" i="3"/>
  <c r="B466" i="3" s="1"/>
  <c r="A465" i="3"/>
  <c r="B465" i="3" s="1"/>
  <c r="D465" i="3" s="1"/>
  <c r="A464" i="3"/>
  <c r="B464" i="3" s="1"/>
  <c r="D464" i="3" s="1"/>
  <c r="A463" i="3"/>
  <c r="B463" i="3" s="1"/>
  <c r="A462" i="3"/>
  <c r="B462" i="3" s="1"/>
  <c r="A461" i="3"/>
  <c r="B461" i="3" s="1"/>
  <c r="D461" i="3" s="1"/>
  <c r="A460" i="3"/>
  <c r="B460" i="3" s="1"/>
  <c r="D460" i="3" s="1"/>
  <c r="A459" i="3"/>
  <c r="B459" i="3" s="1"/>
  <c r="A458" i="3"/>
  <c r="B458" i="3" s="1"/>
  <c r="A457" i="3"/>
  <c r="B457" i="3" s="1"/>
  <c r="D457" i="3" s="1"/>
  <c r="A456" i="3"/>
  <c r="B456" i="3" s="1"/>
  <c r="D456" i="3" s="1"/>
  <c r="A455" i="3"/>
  <c r="B455" i="3" s="1"/>
  <c r="A454" i="3"/>
  <c r="B454" i="3" s="1"/>
  <c r="A453" i="3"/>
  <c r="B453" i="3" s="1"/>
  <c r="D453" i="3" s="1"/>
  <c r="A452" i="3"/>
  <c r="B452" i="3" s="1"/>
  <c r="D452" i="3" s="1"/>
  <c r="A451" i="3"/>
  <c r="B451" i="3" s="1"/>
  <c r="A450" i="3"/>
  <c r="B450" i="3" s="1"/>
  <c r="A449" i="3"/>
  <c r="B449" i="3" s="1"/>
  <c r="D449" i="3" s="1"/>
  <c r="A448" i="3"/>
  <c r="B448" i="3" s="1"/>
  <c r="D448" i="3" s="1"/>
  <c r="A447" i="3"/>
  <c r="B447" i="3" s="1"/>
  <c r="A446" i="3"/>
  <c r="B446" i="3" s="1"/>
  <c r="A445" i="3"/>
  <c r="B445" i="3" s="1"/>
  <c r="D445" i="3" s="1"/>
  <c r="A444" i="3"/>
  <c r="B444" i="3" s="1"/>
  <c r="A443" i="3"/>
  <c r="B443" i="3" s="1"/>
  <c r="A442" i="3"/>
  <c r="B442" i="3" s="1"/>
  <c r="A441" i="3"/>
  <c r="B441" i="3" s="1"/>
  <c r="D441" i="3" s="1"/>
  <c r="A440" i="3"/>
  <c r="B440" i="3" s="1"/>
  <c r="D440" i="3" s="1"/>
  <c r="A439" i="3"/>
  <c r="B439" i="3" s="1"/>
  <c r="A438" i="3"/>
  <c r="B438" i="3" s="1"/>
  <c r="A437" i="3"/>
  <c r="B437" i="3" s="1"/>
  <c r="A436" i="3"/>
  <c r="B436" i="3" s="1"/>
  <c r="A435" i="3"/>
  <c r="B435" i="3" s="1"/>
  <c r="A434" i="3"/>
  <c r="B434" i="3" s="1"/>
  <c r="A433" i="3"/>
  <c r="B433" i="3" s="1"/>
  <c r="A432" i="3"/>
  <c r="B432" i="3" s="1"/>
  <c r="A431" i="3"/>
  <c r="B431" i="3" s="1"/>
  <c r="A430" i="3"/>
  <c r="B430" i="3" s="1"/>
  <c r="A429" i="3"/>
  <c r="B429" i="3" s="1"/>
  <c r="A428" i="3"/>
  <c r="B428" i="3" s="1"/>
  <c r="A427" i="3"/>
  <c r="B427" i="3" s="1"/>
  <c r="A426" i="3"/>
  <c r="B426" i="3" s="1"/>
  <c r="A425" i="3"/>
  <c r="B425" i="3" s="1"/>
  <c r="A424" i="3"/>
  <c r="B424" i="3" s="1"/>
  <c r="A423" i="3"/>
  <c r="B423" i="3" s="1"/>
  <c r="A422" i="3"/>
  <c r="B422" i="3" s="1"/>
  <c r="A421" i="3"/>
  <c r="B421" i="3" s="1"/>
  <c r="A420" i="3"/>
  <c r="B420" i="3" s="1"/>
  <c r="A419" i="3"/>
  <c r="B419" i="3" s="1"/>
  <c r="A418" i="3"/>
  <c r="B418" i="3" s="1"/>
  <c r="A417" i="3"/>
  <c r="B417" i="3" s="1"/>
  <c r="A416" i="3"/>
  <c r="B416" i="3" s="1"/>
  <c r="A415" i="3"/>
  <c r="B415" i="3" s="1"/>
  <c r="A414" i="3"/>
  <c r="B414" i="3" s="1"/>
  <c r="A413" i="3"/>
  <c r="B413" i="3" s="1"/>
  <c r="A412" i="3"/>
  <c r="B412" i="3" s="1"/>
  <c r="A411" i="3"/>
  <c r="B411" i="3" s="1"/>
  <c r="A410" i="3"/>
  <c r="B410" i="3" s="1"/>
  <c r="A409" i="3"/>
  <c r="B409" i="3" s="1"/>
  <c r="A408" i="3"/>
  <c r="B408" i="3" s="1"/>
  <c r="A407" i="3"/>
  <c r="B407" i="3" s="1"/>
  <c r="A406" i="3"/>
  <c r="B406" i="3" s="1"/>
  <c r="A405" i="3"/>
  <c r="B405" i="3" s="1"/>
  <c r="A404" i="3"/>
  <c r="B404" i="3" s="1"/>
  <c r="A403" i="3"/>
  <c r="B403" i="3" s="1"/>
  <c r="A402" i="3"/>
  <c r="B402" i="3" s="1"/>
  <c r="A401" i="3"/>
  <c r="B401" i="3" s="1"/>
  <c r="A400" i="3"/>
  <c r="B400" i="3" s="1"/>
  <c r="A399" i="3"/>
  <c r="B399" i="3" s="1"/>
  <c r="A398" i="3"/>
  <c r="B398" i="3" s="1"/>
  <c r="A397" i="3"/>
  <c r="B397" i="3" s="1"/>
  <c r="A396" i="3"/>
  <c r="B396" i="3" s="1"/>
  <c r="A395" i="3"/>
  <c r="B395" i="3" s="1"/>
  <c r="A394" i="3"/>
  <c r="B394" i="3" s="1"/>
  <c r="A393" i="3"/>
  <c r="B393" i="3" s="1"/>
  <c r="A392" i="3"/>
  <c r="B392" i="3" s="1"/>
  <c r="A391" i="3"/>
  <c r="B391" i="3" s="1"/>
  <c r="A390" i="3"/>
  <c r="B390" i="3" s="1"/>
  <c r="A389" i="3"/>
  <c r="B389" i="3" s="1"/>
  <c r="D389" i="3" s="1"/>
  <c r="A388" i="3"/>
  <c r="B388" i="3" s="1"/>
  <c r="D388" i="3" s="1"/>
  <c r="A387" i="3"/>
  <c r="B387" i="3" s="1"/>
  <c r="A386" i="3"/>
  <c r="B386" i="3" s="1"/>
  <c r="A385" i="3"/>
  <c r="B385" i="3" s="1"/>
  <c r="D385" i="3" s="1"/>
  <c r="A384" i="3"/>
  <c r="B384" i="3" s="1"/>
  <c r="A383" i="3"/>
  <c r="B383" i="3" s="1"/>
  <c r="A382" i="3"/>
  <c r="B382" i="3" s="1"/>
  <c r="A381" i="3"/>
  <c r="B381" i="3" s="1"/>
  <c r="D381" i="3" s="1"/>
  <c r="A380" i="3"/>
  <c r="B380" i="3" s="1"/>
  <c r="A379" i="3"/>
  <c r="B379" i="3" s="1"/>
  <c r="A378" i="3"/>
  <c r="B378" i="3" s="1"/>
  <c r="A377" i="3"/>
  <c r="B377" i="3" s="1"/>
  <c r="D377" i="3" s="1"/>
  <c r="A376" i="3"/>
  <c r="B376" i="3" s="1"/>
  <c r="A375" i="3"/>
  <c r="B375" i="3" s="1"/>
  <c r="A374" i="3"/>
  <c r="B374" i="3" s="1"/>
  <c r="A373" i="3"/>
  <c r="B373" i="3" s="1"/>
  <c r="D373" i="3" s="1"/>
  <c r="A372" i="3"/>
  <c r="B372" i="3" s="1"/>
  <c r="D372" i="3" s="1"/>
  <c r="A371" i="3"/>
  <c r="B371" i="3" s="1"/>
  <c r="A370" i="3"/>
  <c r="B370" i="3" s="1"/>
  <c r="A369" i="3"/>
  <c r="B369" i="3" s="1"/>
  <c r="D369" i="3" s="1"/>
  <c r="A368" i="3"/>
  <c r="B368" i="3" s="1"/>
  <c r="A367" i="3"/>
  <c r="B367" i="3" s="1"/>
  <c r="A366" i="3"/>
  <c r="B366" i="3" s="1"/>
  <c r="A365" i="3"/>
  <c r="B365" i="3" s="1"/>
  <c r="D365" i="3" s="1"/>
  <c r="A364" i="3"/>
  <c r="B364" i="3" s="1"/>
  <c r="A363" i="3"/>
  <c r="B363" i="3" s="1"/>
  <c r="A362" i="3"/>
  <c r="B362" i="3" s="1"/>
  <c r="A361" i="3"/>
  <c r="B361" i="3" s="1"/>
  <c r="D361" i="3" s="1"/>
  <c r="A360" i="3"/>
  <c r="B360" i="3" s="1"/>
  <c r="D360" i="3" s="1"/>
  <c r="A359" i="3"/>
  <c r="B359" i="3" s="1"/>
  <c r="A358" i="3"/>
  <c r="B358" i="3" s="1"/>
  <c r="A357" i="3"/>
  <c r="B357" i="3" s="1"/>
  <c r="D357" i="3" s="1"/>
  <c r="A356" i="3"/>
  <c r="B356" i="3" s="1"/>
  <c r="D356" i="3" s="1"/>
  <c r="A355" i="3"/>
  <c r="B355" i="3" s="1"/>
  <c r="A354" i="3"/>
  <c r="B354" i="3" s="1"/>
  <c r="A353" i="3"/>
  <c r="B353" i="3" s="1"/>
  <c r="D353" i="3" s="1"/>
  <c r="A352" i="3"/>
  <c r="B352" i="3" s="1"/>
  <c r="A351" i="3"/>
  <c r="B351" i="3" s="1"/>
  <c r="A350" i="3"/>
  <c r="B350" i="3" s="1"/>
  <c r="A349" i="3"/>
  <c r="B349" i="3" s="1"/>
  <c r="D349" i="3" s="1"/>
  <c r="A348" i="3"/>
  <c r="B348" i="3" s="1"/>
  <c r="A347" i="3"/>
  <c r="B347" i="3" s="1"/>
  <c r="A346" i="3"/>
  <c r="B346" i="3" s="1"/>
  <c r="A345" i="3"/>
  <c r="B345" i="3" s="1"/>
  <c r="D345" i="3" s="1"/>
  <c r="A344" i="3"/>
  <c r="B344" i="3" s="1"/>
  <c r="D344" i="3" s="1"/>
  <c r="A343" i="3"/>
  <c r="B343" i="3" s="1"/>
  <c r="A342" i="3"/>
  <c r="B342" i="3" s="1"/>
  <c r="A341" i="3"/>
  <c r="B341" i="3" s="1"/>
  <c r="D341" i="3" s="1"/>
  <c r="A340" i="3"/>
  <c r="B340" i="3" s="1"/>
  <c r="D340" i="3" s="1"/>
  <c r="A339" i="3"/>
  <c r="B339" i="3" s="1"/>
  <c r="A338" i="3"/>
  <c r="B338" i="3" s="1"/>
  <c r="A337" i="3"/>
  <c r="B337" i="3" s="1"/>
  <c r="D337" i="3" s="1"/>
  <c r="A336" i="3"/>
  <c r="B336" i="3" s="1"/>
  <c r="A335" i="3"/>
  <c r="B335" i="3" s="1"/>
  <c r="A334" i="3"/>
  <c r="B334" i="3" s="1"/>
  <c r="A333" i="3"/>
  <c r="B333" i="3" s="1"/>
  <c r="D333" i="3" s="1"/>
  <c r="A332" i="3"/>
  <c r="B332" i="3" s="1"/>
  <c r="A331" i="3"/>
  <c r="B331" i="3" s="1"/>
  <c r="A330" i="3"/>
  <c r="B330" i="3" s="1"/>
  <c r="A329" i="3"/>
  <c r="B329" i="3" s="1"/>
  <c r="D329" i="3" s="1"/>
  <c r="A328" i="3"/>
  <c r="B328" i="3" s="1"/>
  <c r="D328" i="3" s="1"/>
  <c r="A327" i="3"/>
  <c r="B327" i="3" s="1"/>
  <c r="A326" i="3"/>
  <c r="B326" i="3" s="1"/>
  <c r="A325" i="3"/>
  <c r="B325" i="3" s="1"/>
  <c r="D325" i="3" s="1"/>
  <c r="A324" i="3"/>
  <c r="B324" i="3" s="1"/>
  <c r="D324" i="3" s="1"/>
  <c r="A323" i="3"/>
  <c r="B323" i="3" s="1"/>
  <c r="A322" i="3"/>
  <c r="B322" i="3" s="1"/>
  <c r="A321" i="3"/>
  <c r="B321" i="3" s="1"/>
  <c r="D321" i="3" s="1"/>
  <c r="A320" i="3"/>
  <c r="B320" i="3" s="1"/>
  <c r="A319" i="3"/>
  <c r="B319" i="3" s="1"/>
  <c r="A318" i="3"/>
  <c r="B318" i="3" s="1"/>
  <c r="D318" i="3" s="1"/>
  <c r="A317" i="3"/>
  <c r="B317" i="3" s="1"/>
  <c r="D317" i="3" s="1"/>
  <c r="A316" i="3"/>
  <c r="B316" i="3" s="1"/>
  <c r="A315" i="3"/>
  <c r="B315" i="3" s="1"/>
  <c r="A314" i="3"/>
  <c r="B314" i="3" s="1"/>
  <c r="D314" i="3" s="1"/>
  <c r="A313" i="3"/>
  <c r="B313" i="3" s="1"/>
  <c r="D313" i="3" s="1"/>
  <c r="A312" i="3"/>
  <c r="B312" i="3" s="1"/>
  <c r="D312" i="3" s="1"/>
  <c r="A311" i="3"/>
  <c r="B311" i="3" s="1"/>
  <c r="A310" i="3"/>
  <c r="B310" i="3" s="1"/>
  <c r="D310" i="3" s="1"/>
  <c r="A309" i="3"/>
  <c r="B309" i="3" s="1"/>
  <c r="D309" i="3" s="1"/>
  <c r="A308" i="3"/>
  <c r="B308" i="3" s="1"/>
  <c r="A307" i="3"/>
  <c r="B307" i="3" s="1"/>
  <c r="A306" i="3"/>
  <c r="B306" i="3" s="1"/>
  <c r="D306" i="3" s="1"/>
  <c r="A305" i="3"/>
  <c r="B305" i="3" s="1"/>
  <c r="D305" i="3" s="1"/>
  <c r="A304" i="3"/>
  <c r="B304" i="3" s="1"/>
  <c r="A303" i="3"/>
  <c r="B303" i="3" s="1"/>
  <c r="A302" i="3"/>
  <c r="B302" i="3" s="1"/>
  <c r="D302" i="3" s="1"/>
  <c r="A301" i="3"/>
  <c r="B301" i="3" s="1"/>
  <c r="D301" i="3" s="1"/>
  <c r="A300" i="3"/>
  <c r="B300" i="3" s="1"/>
  <c r="D300" i="3" s="1"/>
  <c r="A299" i="3"/>
  <c r="B299" i="3" s="1"/>
  <c r="A298" i="3"/>
  <c r="B298" i="3" s="1"/>
  <c r="D298" i="3" s="1"/>
  <c r="A297" i="3"/>
  <c r="B297" i="3" s="1"/>
  <c r="D297" i="3" s="1"/>
  <c r="A296" i="3"/>
  <c r="B296" i="3" s="1"/>
  <c r="D296" i="3" s="1"/>
  <c r="A295" i="3"/>
  <c r="B295" i="3" s="1"/>
  <c r="A294" i="3"/>
  <c r="B294" i="3" s="1"/>
  <c r="D294" i="3" s="1"/>
  <c r="A293" i="3"/>
  <c r="B293" i="3" s="1"/>
  <c r="D293" i="3" s="1"/>
  <c r="A292" i="3"/>
  <c r="B292" i="3" s="1"/>
  <c r="A291" i="3"/>
  <c r="B291" i="3" s="1"/>
  <c r="A290" i="3"/>
  <c r="B290" i="3" s="1"/>
  <c r="D290" i="3" s="1"/>
  <c r="A289" i="3"/>
  <c r="B289" i="3" s="1"/>
  <c r="D289" i="3" s="1"/>
  <c r="A288" i="3"/>
  <c r="B288" i="3" s="1"/>
  <c r="A287" i="3"/>
  <c r="B287" i="3" s="1"/>
  <c r="A286" i="3"/>
  <c r="B286" i="3" s="1"/>
  <c r="D286" i="3" s="1"/>
  <c r="A285" i="3"/>
  <c r="B285" i="3" s="1"/>
  <c r="D285" i="3" s="1"/>
  <c r="A284" i="3"/>
  <c r="B284" i="3" s="1"/>
  <c r="D284" i="3" s="1"/>
  <c r="A283" i="3"/>
  <c r="B283" i="3" s="1"/>
  <c r="A282" i="3"/>
  <c r="B282" i="3" s="1"/>
  <c r="D282" i="3" s="1"/>
  <c r="A281" i="3"/>
  <c r="B281" i="3" s="1"/>
  <c r="D281" i="3" s="1"/>
  <c r="A280" i="3"/>
  <c r="B280" i="3" s="1"/>
  <c r="D280" i="3" s="1"/>
  <c r="A279" i="3"/>
  <c r="B279" i="3" s="1"/>
  <c r="A278" i="3"/>
  <c r="B278" i="3" s="1"/>
  <c r="D278" i="3" s="1"/>
  <c r="A277" i="3"/>
  <c r="B277" i="3" s="1"/>
  <c r="D277" i="3" s="1"/>
  <c r="A276" i="3"/>
  <c r="B276" i="3" s="1"/>
  <c r="D276" i="3" s="1"/>
  <c r="A275" i="3"/>
  <c r="B275" i="3" s="1"/>
  <c r="A274" i="3"/>
  <c r="B274" i="3" s="1"/>
  <c r="A273" i="3"/>
  <c r="B273" i="3" s="1"/>
  <c r="D273" i="3" s="1"/>
  <c r="A272" i="3"/>
  <c r="B272" i="3" s="1"/>
  <c r="D272" i="3" s="1"/>
  <c r="A271" i="3"/>
  <c r="B271" i="3" s="1"/>
  <c r="A270" i="3"/>
  <c r="B270" i="3" s="1"/>
  <c r="A269" i="3"/>
  <c r="B269" i="3" s="1"/>
  <c r="D269" i="3" s="1"/>
  <c r="A268" i="3"/>
  <c r="B268" i="3" s="1"/>
  <c r="D268" i="3" s="1"/>
  <c r="A267" i="3"/>
  <c r="B267" i="3" s="1"/>
  <c r="A266" i="3"/>
  <c r="B266" i="3" s="1"/>
  <c r="A265" i="3"/>
  <c r="B265" i="3" s="1"/>
  <c r="D265" i="3" s="1"/>
  <c r="A264" i="3"/>
  <c r="B264" i="3" s="1"/>
  <c r="D264" i="3" s="1"/>
  <c r="A263" i="3"/>
  <c r="B263" i="3" s="1"/>
  <c r="A262" i="3"/>
  <c r="B262" i="3" s="1"/>
  <c r="A261" i="3"/>
  <c r="B261" i="3" s="1"/>
  <c r="D261" i="3" s="1"/>
  <c r="A260" i="3"/>
  <c r="B260" i="3" s="1"/>
  <c r="D260" i="3" s="1"/>
  <c r="A259" i="3"/>
  <c r="B259" i="3" s="1"/>
  <c r="A258" i="3"/>
  <c r="B258" i="3" s="1"/>
  <c r="A257" i="3"/>
  <c r="B257" i="3" s="1"/>
  <c r="D257" i="3" s="1"/>
  <c r="A256" i="3"/>
  <c r="B256" i="3" s="1"/>
  <c r="D256" i="3" s="1"/>
  <c r="A255" i="3"/>
  <c r="B255" i="3" s="1"/>
  <c r="A254" i="3"/>
  <c r="B254" i="3" s="1"/>
  <c r="A253" i="3"/>
  <c r="B253" i="3" s="1"/>
  <c r="D253" i="3" s="1"/>
  <c r="A252" i="3"/>
  <c r="B252" i="3" s="1"/>
  <c r="D252" i="3" s="1"/>
  <c r="A251" i="3"/>
  <c r="B251" i="3" s="1"/>
  <c r="A250" i="3"/>
  <c r="B250" i="3" s="1"/>
  <c r="A249" i="3"/>
  <c r="B249" i="3" s="1"/>
  <c r="D249" i="3" s="1"/>
  <c r="A248" i="3"/>
  <c r="B248" i="3" s="1"/>
  <c r="D248" i="3" s="1"/>
  <c r="A247" i="3"/>
  <c r="B247" i="3" s="1"/>
  <c r="A246" i="3"/>
  <c r="B246" i="3" s="1"/>
  <c r="A245" i="3"/>
  <c r="B245" i="3" s="1"/>
  <c r="D245" i="3" s="1"/>
  <c r="A244" i="3"/>
  <c r="B244" i="3" s="1"/>
  <c r="D244" i="3" s="1"/>
  <c r="A243" i="3"/>
  <c r="B243" i="3" s="1"/>
  <c r="A242" i="3"/>
  <c r="B242" i="3" s="1"/>
  <c r="A241" i="3"/>
  <c r="B241" i="3" s="1"/>
  <c r="D241" i="3" s="1"/>
  <c r="A240" i="3"/>
  <c r="B240" i="3" s="1"/>
  <c r="D240" i="3" s="1"/>
  <c r="A239" i="3"/>
  <c r="B239" i="3" s="1"/>
  <c r="A238" i="3"/>
  <c r="B238" i="3" s="1"/>
  <c r="A237" i="3"/>
  <c r="B237" i="3" s="1"/>
  <c r="D237" i="3" s="1"/>
  <c r="A236" i="3"/>
  <c r="B236" i="3" s="1"/>
  <c r="D236" i="3" s="1"/>
  <c r="A235" i="3"/>
  <c r="B235" i="3" s="1"/>
  <c r="A234" i="3"/>
  <c r="B234" i="3" s="1"/>
  <c r="A233" i="3"/>
  <c r="B233" i="3" s="1"/>
  <c r="D233" i="3" s="1"/>
  <c r="A232" i="3"/>
  <c r="B232" i="3" s="1"/>
  <c r="D232" i="3" s="1"/>
  <c r="A231" i="3"/>
  <c r="B231" i="3" s="1"/>
  <c r="A230" i="3"/>
  <c r="B230" i="3" s="1"/>
  <c r="A229" i="3"/>
  <c r="B229" i="3" s="1"/>
  <c r="D229" i="3" s="1"/>
  <c r="A228" i="3"/>
  <c r="B228" i="3" s="1"/>
  <c r="D228" i="3" s="1"/>
  <c r="A227" i="3"/>
  <c r="B227" i="3" s="1"/>
  <c r="A226" i="3"/>
  <c r="B226" i="3" s="1"/>
  <c r="A225" i="3"/>
  <c r="B225" i="3" s="1"/>
  <c r="D225" i="3" s="1"/>
  <c r="A224" i="3"/>
  <c r="B224" i="3" s="1"/>
  <c r="A223" i="3"/>
  <c r="B223" i="3" s="1"/>
  <c r="A222" i="3"/>
  <c r="B222" i="3" s="1"/>
  <c r="A221" i="3"/>
  <c r="B221" i="3" s="1"/>
  <c r="D221" i="3" s="1"/>
  <c r="A220" i="3"/>
  <c r="B220" i="3" s="1"/>
  <c r="A219" i="3"/>
  <c r="B219" i="3" s="1"/>
  <c r="A218" i="3"/>
  <c r="B218" i="3" s="1"/>
  <c r="A217" i="3"/>
  <c r="B217" i="3" s="1"/>
  <c r="D217" i="3" s="1"/>
  <c r="A216" i="3"/>
  <c r="B216" i="3" s="1"/>
  <c r="A215" i="3"/>
  <c r="B215" i="3" s="1"/>
  <c r="A214" i="3"/>
  <c r="B214" i="3" s="1"/>
  <c r="A213" i="3"/>
  <c r="B213" i="3" s="1"/>
  <c r="D213" i="3" s="1"/>
  <c r="A212" i="3"/>
  <c r="B212" i="3" s="1"/>
  <c r="A211" i="3"/>
  <c r="B211" i="3" s="1"/>
  <c r="A210" i="3"/>
  <c r="B210" i="3" s="1"/>
  <c r="A209" i="3"/>
  <c r="B209" i="3" s="1"/>
  <c r="D209" i="3" s="1"/>
  <c r="A208" i="3"/>
  <c r="B208" i="3" s="1"/>
  <c r="D208" i="3" s="1"/>
  <c r="A207" i="3"/>
  <c r="B207" i="3" s="1"/>
  <c r="A206" i="3"/>
  <c r="B206" i="3" s="1"/>
  <c r="A205" i="3"/>
  <c r="B205" i="3" s="1"/>
  <c r="D205" i="3" s="1"/>
  <c r="A204" i="3"/>
  <c r="B204" i="3" s="1"/>
  <c r="A203" i="3"/>
  <c r="B203" i="3" s="1"/>
  <c r="A202" i="3"/>
  <c r="B202" i="3" s="1"/>
  <c r="A201" i="3"/>
  <c r="B201" i="3" s="1"/>
  <c r="D201" i="3" s="1"/>
  <c r="A200" i="3"/>
  <c r="B200" i="3" s="1"/>
  <c r="A199" i="3"/>
  <c r="B199" i="3" s="1"/>
  <c r="A198" i="3"/>
  <c r="B198" i="3" s="1"/>
  <c r="A197" i="3"/>
  <c r="B197" i="3" s="1"/>
  <c r="D197" i="3" s="1"/>
  <c r="A196" i="3"/>
  <c r="B196" i="3" s="1"/>
  <c r="D196" i="3" s="1"/>
  <c r="A195" i="3"/>
  <c r="B195" i="3" s="1"/>
  <c r="A194" i="3"/>
  <c r="B194" i="3" s="1"/>
  <c r="A193" i="3"/>
  <c r="B193" i="3" s="1"/>
  <c r="D193" i="3" s="1"/>
  <c r="A192" i="3"/>
  <c r="B192" i="3" s="1"/>
  <c r="D192" i="3" s="1"/>
  <c r="A191" i="3"/>
  <c r="B191" i="3" s="1"/>
  <c r="A190" i="3"/>
  <c r="B190" i="3" s="1"/>
  <c r="A189" i="3"/>
  <c r="B189" i="3" s="1"/>
  <c r="D189" i="3" s="1"/>
  <c r="A188" i="3"/>
  <c r="B188" i="3" s="1"/>
  <c r="A187" i="3"/>
  <c r="B187" i="3" s="1"/>
  <c r="A186" i="3"/>
  <c r="B186" i="3" s="1"/>
  <c r="A185" i="3"/>
  <c r="B185" i="3" s="1"/>
  <c r="D185" i="3" s="1"/>
  <c r="A184" i="3"/>
  <c r="B184" i="3" s="1"/>
  <c r="A183" i="3"/>
  <c r="B183" i="3" s="1"/>
  <c r="A182" i="3"/>
  <c r="B182" i="3" s="1"/>
  <c r="A181" i="3"/>
  <c r="B181" i="3" s="1"/>
  <c r="D181" i="3" s="1"/>
  <c r="A180" i="3"/>
  <c r="B180" i="3" s="1"/>
  <c r="A179" i="3"/>
  <c r="B179" i="3" s="1"/>
  <c r="A178" i="3"/>
  <c r="B178" i="3" s="1"/>
  <c r="A177" i="3"/>
  <c r="B177" i="3" s="1"/>
  <c r="D177" i="3" s="1"/>
  <c r="A176" i="3"/>
  <c r="B176" i="3" s="1"/>
  <c r="A175" i="3"/>
  <c r="B175" i="3" s="1"/>
  <c r="A174" i="3"/>
  <c r="B174" i="3" s="1"/>
  <c r="A173" i="3"/>
  <c r="B173" i="3" s="1"/>
  <c r="D173" i="3" s="1"/>
  <c r="A172" i="3"/>
  <c r="B172" i="3" s="1"/>
  <c r="D172" i="3" s="1"/>
  <c r="A171" i="3"/>
  <c r="B171" i="3" s="1"/>
  <c r="D171" i="3" s="1"/>
  <c r="A170" i="3"/>
  <c r="B170" i="3" s="1"/>
  <c r="A169" i="3"/>
  <c r="B169" i="3" s="1"/>
  <c r="A168" i="3"/>
  <c r="B168" i="3" s="1"/>
  <c r="D168" i="3" s="1"/>
  <c r="A167" i="3"/>
  <c r="B167" i="3" s="1"/>
  <c r="A166" i="3"/>
  <c r="B166" i="3" s="1"/>
  <c r="A165" i="3"/>
  <c r="B165" i="3" s="1"/>
  <c r="A164" i="3"/>
  <c r="B164" i="3" s="1"/>
  <c r="D164" i="3" s="1"/>
  <c r="A163" i="3"/>
  <c r="B163" i="3" s="1"/>
  <c r="D163" i="3" s="1"/>
  <c r="A162" i="3"/>
  <c r="B162" i="3" s="1"/>
  <c r="A161" i="3"/>
  <c r="B161" i="3" s="1"/>
  <c r="A160" i="3"/>
  <c r="B160" i="3" s="1"/>
  <c r="D160" i="3" s="1"/>
  <c r="A159" i="3"/>
  <c r="B159" i="3" s="1"/>
  <c r="A158" i="3"/>
  <c r="B158" i="3" s="1"/>
  <c r="A157" i="3"/>
  <c r="B157" i="3" s="1"/>
  <c r="A156" i="3"/>
  <c r="B156" i="3" s="1"/>
  <c r="D156" i="3" s="1"/>
  <c r="A155" i="3"/>
  <c r="B155" i="3" s="1"/>
  <c r="D155" i="3" s="1"/>
  <c r="A154" i="3"/>
  <c r="B154" i="3" s="1"/>
  <c r="A153" i="3"/>
  <c r="B153" i="3" s="1"/>
  <c r="A152" i="3"/>
  <c r="B152" i="3" s="1"/>
  <c r="D152" i="3" s="1"/>
  <c r="A151" i="3"/>
  <c r="B151" i="3" s="1"/>
  <c r="A150" i="3"/>
  <c r="B150" i="3" s="1"/>
  <c r="A149" i="3"/>
  <c r="B149" i="3" s="1"/>
  <c r="D149" i="3" s="1"/>
  <c r="A148" i="3"/>
  <c r="B148" i="3" s="1"/>
  <c r="D148" i="3" s="1"/>
  <c r="A147" i="3"/>
  <c r="B147" i="3" s="1"/>
  <c r="D147" i="3" s="1"/>
  <c r="A146" i="3"/>
  <c r="B146" i="3" s="1"/>
  <c r="A145" i="3"/>
  <c r="B145" i="3" s="1"/>
  <c r="D145" i="3" s="1"/>
  <c r="A144" i="3"/>
  <c r="B144" i="3" s="1"/>
  <c r="D144" i="3" s="1"/>
  <c r="A143" i="3"/>
  <c r="B143" i="3" s="1"/>
  <c r="D143" i="3" s="1"/>
  <c r="A142" i="3"/>
  <c r="B142" i="3" s="1"/>
  <c r="A141" i="3"/>
  <c r="B141" i="3" s="1"/>
  <c r="D141" i="3" s="1"/>
  <c r="A140" i="3"/>
  <c r="B140" i="3" s="1"/>
  <c r="D140" i="3" s="1"/>
  <c r="A139" i="3"/>
  <c r="B139" i="3" s="1"/>
  <c r="A138" i="3"/>
  <c r="B138" i="3" s="1"/>
  <c r="A137" i="3"/>
  <c r="B137" i="3" s="1"/>
  <c r="D137" i="3" s="1"/>
  <c r="A136" i="3"/>
  <c r="B136" i="3" s="1"/>
  <c r="D136" i="3" s="1"/>
  <c r="A135" i="3"/>
  <c r="B135" i="3" s="1"/>
  <c r="D135" i="3" s="1"/>
  <c r="A134" i="3"/>
  <c r="B134" i="3" s="1"/>
  <c r="A133" i="3"/>
  <c r="B133" i="3" s="1"/>
  <c r="D133" i="3" s="1"/>
  <c r="A132" i="3"/>
  <c r="B132" i="3" s="1"/>
  <c r="D132" i="3" s="1"/>
  <c r="A131" i="3"/>
  <c r="B131" i="3" s="1"/>
  <c r="A130" i="3"/>
  <c r="B130" i="3" s="1"/>
  <c r="A129" i="3"/>
  <c r="B129" i="3" s="1"/>
  <c r="D129" i="3" s="1"/>
  <c r="A128" i="3"/>
  <c r="B128" i="3" s="1"/>
  <c r="D128" i="3" s="1"/>
  <c r="A127" i="3"/>
  <c r="B127" i="3" s="1"/>
  <c r="A126" i="3"/>
  <c r="B126" i="3" s="1"/>
  <c r="A125" i="3"/>
  <c r="B125" i="3" s="1"/>
  <c r="D125" i="3" s="1"/>
  <c r="A124" i="3"/>
  <c r="B124" i="3" s="1"/>
  <c r="D124" i="3" s="1"/>
  <c r="A123" i="3"/>
  <c r="B123" i="3" s="1"/>
  <c r="D123" i="3" s="1"/>
  <c r="A122" i="3"/>
  <c r="B122" i="3" s="1"/>
  <c r="D122" i="3" s="1"/>
  <c r="A121" i="3"/>
  <c r="B121" i="3" s="1"/>
  <c r="D121" i="3" s="1"/>
  <c r="A120" i="3"/>
  <c r="B120" i="3" s="1"/>
  <c r="A119" i="3"/>
  <c r="B119" i="3" s="1"/>
  <c r="A118" i="3"/>
  <c r="B118" i="3" s="1"/>
  <c r="D118" i="3" s="1"/>
  <c r="A117" i="3"/>
  <c r="B117" i="3" s="1"/>
  <c r="D117" i="3" s="1"/>
  <c r="A116" i="3"/>
  <c r="B116" i="3" s="1"/>
  <c r="A115" i="3"/>
  <c r="B115" i="3" s="1"/>
  <c r="A114" i="3"/>
  <c r="B114" i="3" s="1"/>
  <c r="D114" i="3" s="1"/>
  <c r="A113" i="3"/>
  <c r="B113" i="3" s="1"/>
  <c r="D113" i="3" s="1"/>
  <c r="A112" i="3"/>
  <c r="B112" i="3" s="1"/>
  <c r="A111" i="3"/>
  <c r="B111" i="3" s="1"/>
  <c r="A110" i="3"/>
  <c r="B110" i="3" s="1"/>
  <c r="D110" i="3" s="1"/>
  <c r="A109" i="3"/>
  <c r="B109" i="3" s="1"/>
  <c r="D109" i="3" s="1"/>
  <c r="A108" i="3"/>
  <c r="B108" i="3" s="1"/>
  <c r="A107" i="3"/>
  <c r="B107" i="3" s="1"/>
  <c r="A106" i="3"/>
  <c r="B106" i="3" s="1"/>
  <c r="D106" i="3" s="1"/>
  <c r="A105" i="3"/>
  <c r="B105" i="3" s="1"/>
  <c r="D105" i="3" s="1"/>
  <c r="A104" i="3"/>
  <c r="B104" i="3" s="1"/>
  <c r="A103" i="3"/>
  <c r="B103" i="3" s="1"/>
  <c r="A102" i="3"/>
  <c r="B102" i="3" s="1"/>
  <c r="D102" i="3" s="1"/>
  <c r="A101" i="3"/>
  <c r="B101" i="3" s="1"/>
  <c r="D101" i="3" s="1"/>
  <c r="A100" i="3"/>
  <c r="B100" i="3" s="1"/>
  <c r="A99" i="3"/>
  <c r="B99" i="3" s="1"/>
  <c r="A98" i="3"/>
  <c r="B98" i="3" s="1"/>
  <c r="D98" i="3" s="1"/>
  <c r="A97" i="3"/>
  <c r="B97" i="3" s="1"/>
  <c r="D97" i="3" s="1"/>
  <c r="A96" i="3"/>
  <c r="B96" i="3" s="1"/>
  <c r="D96" i="3" s="1"/>
  <c r="A95" i="3"/>
  <c r="B95" i="3" s="1"/>
  <c r="A94" i="3"/>
  <c r="B94" i="3" s="1"/>
  <c r="D94" i="3" s="1"/>
  <c r="A93" i="3"/>
  <c r="B93" i="3" s="1"/>
  <c r="D93" i="3" s="1"/>
  <c r="A92" i="3"/>
  <c r="B92" i="3" s="1"/>
  <c r="D92" i="3" s="1"/>
  <c r="A91" i="3"/>
  <c r="B91" i="3" s="1"/>
  <c r="A90" i="3"/>
  <c r="B90" i="3" s="1"/>
  <c r="D90" i="3" s="1"/>
  <c r="A89" i="3"/>
  <c r="B89" i="3" s="1"/>
  <c r="D89" i="3" s="1"/>
  <c r="A88" i="3"/>
  <c r="B88" i="3" s="1"/>
  <c r="D88" i="3" s="1"/>
  <c r="A87" i="3"/>
  <c r="B87" i="3" s="1"/>
  <c r="A86" i="3"/>
  <c r="B86" i="3" s="1"/>
  <c r="D86" i="3" s="1"/>
  <c r="A85" i="3"/>
  <c r="B85" i="3" s="1"/>
  <c r="D85" i="3" s="1"/>
  <c r="A84" i="3"/>
  <c r="B84" i="3" s="1"/>
  <c r="D84" i="3" s="1"/>
  <c r="A83" i="3"/>
  <c r="B83" i="3" s="1"/>
  <c r="A82" i="3"/>
  <c r="B82" i="3" s="1"/>
  <c r="D82" i="3" s="1"/>
  <c r="A81" i="3"/>
  <c r="B81" i="3" s="1"/>
  <c r="D81" i="3" s="1"/>
  <c r="A80" i="3"/>
  <c r="B80" i="3" s="1"/>
  <c r="D80" i="3" s="1"/>
  <c r="A79" i="3"/>
  <c r="B79" i="3" s="1"/>
  <c r="A78" i="3"/>
  <c r="B78" i="3" s="1"/>
  <c r="D78" i="3" s="1"/>
  <c r="A77" i="3"/>
  <c r="B77" i="3" s="1"/>
  <c r="D77" i="3" s="1"/>
  <c r="A76" i="3"/>
  <c r="B76" i="3" s="1"/>
  <c r="D76" i="3" s="1"/>
  <c r="A75" i="3"/>
  <c r="B75" i="3" s="1"/>
  <c r="A74" i="3"/>
  <c r="B74" i="3" s="1"/>
  <c r="D74" i="3" s="1"/>
  <c r="A73" i="3"/>
  <c r="B73" i="3" s="1"/>
  <c r="D73" i="3" s="1"/>
  <c r="A72" i="3"/>
  <c r="B72" i="3" s="1"/>
  <c r="D72" i="3" s="1"/>
  <c r="A71" i="3"/>
  <c r="B71" i="3" s="1"/>
  <c r="A70" i="3"/>
  <c r="B70" i="3" s="1"/>
  <c r="D70" i="3" s="1"/>
  <c r="A69" i="3"/>
  <c r="B69" i="3" s="1"/>
  <c r="D69" i="3" s="1"/>
  <c r="A68" i="3"/>
  <c r="B68" i="3" s="1"/>
  <c r="D68" i="3" s="1"/>
  <c r="A67" i="3"/>
  <c r="B67" i="3" s="1"/>
  <c r="A66" i="3"/>
  <c r="B66" i="3" s="1"/>
  <c r="D66" i="3" s="1"/>
  <c r="A65" i="3"/>
  <c r="B65" i="3" s="1"/>
  <c r="D65" i="3" s="1"/>
  <c r="A64" i="3"/>
  <c r="B64" i="3" s="1"/>
  <c r="D64" i="3" s="1"/>
  <c r="A63" i="3"/>
  <c r="B63" i="3" s="1"/>
  <c r="A62" i="3"/>
  <c r="B62" i="3" s="1"/>
  <c r="D62" i="3" s="1"/>
  <c r="A61" i="3"/>
  <c r="B61" i="3" s="1"/>
  <c r="D61" i="3" s="1"/>
  <c r="A60" i="3"/>
  <c r="B60" i="3" s="1"/>
  <c r="D60" i="3" s="1"/>
  <c r="A59" i="3"/>
  <c r="B59" i="3" s="1"/>
  <c r="A58" i="3"/>
  <c r="B58" i="3" s="1"/>
  <c r="D58" i="3" s="1"/>
  <c r="A57" i="3"/>
  <c r="B57" i="3" s="1"/>
  <c r="D57" i="3" s="1"/>
  <c r="A56" i="3"/>
  <c r="B56" i="3" s="1"/>
  <c r="D56" i="3" s="1"/>
  <c r="A55" i="3"/>
  <c r="B55" i="3" s="1"/>
  <c r="A54" i="3"/>
  <c r="B54" i="3" s="1"/>
  <c r="D54" i="3" s="1"/>
  <c r="A53" i="3"/>
  <c r="B53" i="3" s="1"/>
  <c r="D53" i="3" s="1"/>
  <c r="A52" i="3"/>
  <c r="B52" i="3" s="1"/>
  <c r="D52" i="3" s="1"/>
  <c r="A51" i="3"/>
  <c r="B51" i="3" s="1"/>
  <c r="A50" i="3"/>
  <c r="B50" i="3" s="1"/>
  <c r="D50" i="3" s="1"/>
  <c r="A49" i="3"/>
  <c r="B49" i="3" s="1"/>
  <c r="D49" i="3" s="1"/>
  <c r="A48" i="3"/>
  <c r="B48" i="3" s="1"/>
  <c r="D48" i="3" s="1"/>
  <c r="A47" i="3"/>
  <c r="B47" i="3" s="1"/>
  <c r="A46" i="3"/>
  <c r="B46" i="3" s="1"/>
  <c r="D46" i="3" s="1"/>
  <c r="A45" i="3"/>
  <c r="B45" i="3" s="1"/>
  <c r="D45" i="3" s="1"/>
  <c r="A44" i="3"/>
  <c r="B44" i="3" s="1"/>
  <c r="D44" i="3" s="1"/>
  <c r="A43" i="3"/>
  <c r="B43" i="3" s="1"/>
  <c r="A42" i="3"/>
  <c r="B42" i="3" s="1"/>
  <c r="D42" i="3" s="1"/>
  <c r="A41" i="3"/>
  <c r="B41" i="3" s="1"/>
  <c r="D41" i="3" s="1"/>
  <c r="A40" i="3"/>
  <c r="B40" i="3" s="1"/>
  <c r="D40" i="3" s="1"/>
  <c r="A39" i="3"/>
  <c r="B39" i="3" s="1"/>
  <c r="A38" i="3"/>
  <c r="B38" i="3" s="1"/>
  <c r="D38" i="3" s="1"/>
  <c r="A37" i="3"/>
  <c r="B37" i="3" s="1"/>
  <c r="D37" i="3" s="1"/>
  <c r="A36" i="3"/>
  <c r="B36" i="3" s="1"/>
  <c r="A35" i="3"/>
  <c r="B35" i="3" s="1"/>
  <c r="D35" i="3" s="1"/>
  <c r="A34" i="3"/>
  <c r="B34" i="3" s="1"/>
  <c r="D34" i="3" s="1"/>
  <c r="A33" i="3"/>
  <c r="B33" i="3" s="1"/>
  <c r="D33" i="3" s="1"/>
  <c r="A32" i="3"/>
  <c r="B32" i="3" s="1"/>
  <c r="A31" i="3"/>
  <c r="B31" i="3" s="1"/>
  <c r="D31" i="3" s="1"/>
  <c r="A30" i="3"/>
  <c r="B30" i="3" s="1"/>
  <c r="D30" i="3" s="1"/>
  <c r="A29" i="3"/>
  <c r="B29" i="3" s="1"/>
  <c r="D29" i="3" s="1"/>
  <c r="A28" i="3"/>
  <c r="B28" i="3" s="1"/>
  <c r="A27" i="3"/>
  <c r="B27" i="3" s="1"/>
  <c r="D27" i="3" s="1"/>
  <c r="A26" i="3"/>
  <c r="B26" i="3" s="1"/>
  <c r="D26" i="3" s="1"/>
  <c r="A25" i="3"/>
  <c r="B25" i="3" s="1"/>
  <c r="D25" i="3" s="1"/>
  <c r="A24" i="3"/>
  <c r="B24" i="3" s="1"/>
  <c r="A23" i="3"/>
  <c r="B23" i="3" s="1"/>
  <c r="D23" i="3" s="1"/>
  <c r="A22" i="3"/>
  <c r="B22" i="3" s="1"/>
  <c r="D22" i="3" s="1"/>
  <c r="A21" i="3"/>
  <c r="B21" i="3" s="1"/>
  <c r="D21" i="3" s="1"/>
  <c r="A20" i="3"/>
  <c r="B20" i="3" s="1"/>
  <c r="A19" i="3"/>
  <c r="B19" i="3" s="1"/>
  <c r="D19" i="3" s="1"/>
  <c r="A18" i="3"/>
  <c r="B18" i="3" s="1"/>
  <c r="D18" i="3" s="1"/>
  <c r="A17" i="3"/>
  <c r="B17" i="3" s="1"/>
  <c r="D17" i="3" s="1"/>
  <c r="A16" i="3"/>
  <c r="B16" i="3" s="1"/>
  <c r="A15" i="3"/>
  <c r="B15" i="3" s="1"/>
  <c r="D15" i="3" s="1"/>
  <c r="A14" i="3"/>
  <c r="B14" i="3" s="1"/>
  <c r="D14" i="3" s="1"/>
  <c r="A13" i="3"/>
  <c r="B13" i="3" s="1"/>
  <c r="D13" i="3" s="1"/>
  <c r="A12" i="3"/>
  <c r="B12" i="3" s="1"/>
  <c r="A11" i="3"/>
  <c r="B11" i="3" s="1"/>
  <c r="A10" i="3"/>
  <c r="B10" i="3" s="1"/>
  <c r="D10" i="3" s="1"/>
  <c r="A9" i="3"/>
  <c r="B9" i="3" s="1"/>
  <c r="D9" i="3" s="1"/>
  <c r="N8" i="3"/>
  <c r="A8" i="3"/>
  <c r="B8" i="3" s="1"/>
  <c r="D8" i="3" s="1"/>
  <c r="F7" i="3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  <c r="F195" i="3" s="1"/>
  <c r="F196" i="3" s="1"/>
  <c r="F197" i="3" s="1"/>
  <c r="F198" i="3" s="1"/>
  <c r="F199" i="3" s="1"/>
  <c r="F200" i="3" s="1"/>
  <c r="F201" i="3" s="1"/>
  <c r="F202" i="3" s="1"/>
  <c r="F203" i="3" s="1"/>
  <c r="F204" i="3" s="1"/>
  <c r="F205" i="3" s="1"/>
  <c r="F206" i="3" s="1"/>
  <c r="F207" i="3" s="1"/>
  <c r="F208" i="3" s="1"/>
  <c r="F209" i="3" s="1"/>
  <c r="F210" i="3" s="1"/>
  <c r="F211" i="3" s="1"/>
  <c r="F212" i="3" s="1"/>
  <c r="F213" i="3" s="1"/>
  <c r="F214" i="3" s="1"/>
  <c r="F215" i="3" s="1"/>
  <c r="F216" i="3" s="1"/>
  <c r="F217" i="3" s="1"/>
  <c r="F218" i="3" s="1"/>
  <c r="F219" i="3" s="1"/>
  <c r="F220" i="3" s="1"/>
  <c r="F221" i="3" s="1"/>
  <c r="F222" i="3" s="1"/>
  <c r="F223" i="3" s="1"/>
  <c r="F224" i="3" s="1"/>
  <c r="F225" i="3" s="1"/>
  <c r="F226" i="3" s="1"/>
  <c r="F227" i="3" s="1"/>
  <c r="F228" i="3" s="1"/>
  <c r="F229" i="3" s="1"/>
  <c r="F230" i="3" s="1"/>
  <c r="F231" i="3" s="1"/>
  <c r="F232" i="3" s="1"/>
  <c r="F233" i="3" s="1"/>
  <c r="F234" i="3" s="1"/>
  <c r="F235" i="3" s="1"/>
  <c r="F236" i="3" s="1"/>
  <c r="F237" i="3" s="1"/>
  <c r="F238" i="3" s="1"/>
  <c r="F239" i="3" s="1"/>
  <c r="F240" i="3" s="1"/>
  <c r="F241" i="3" s="1"/>
  <c r="F242" i="3" s="1"/>
  <c r="F243" i="3" s="1"/>
  <c r="F244" i="3" s="1"/>
  <c r="F245" i="3" s="1"/>
  <c r="F246" i="3" s="1"/>
  <c r="F247" i="3" s="1"/>
  <c r="F248" i="3" s="1"/>
  <c r="F249" i="3" s="1"/>
  <c r="F250" i="3" s="1"/>
  <c r="F251" i="3" s="1"/>
  <c r="F252" i="3" s="1"/>
  <c r="F253" i="3" s="1"/>
  <c r="F254" i="3" s="1"/>
  <c r="F255" i="3" s="1"/>
  <c r="F256" i="3" s="1"/>
  <c r="F257" i="3" s="1"/>
  <c r="F258" i="3" s="1"/>
  <c r="F259" i="3" s="1"/>
  <c r="F260" i="3" s="1"/>
  <c r="F261" i="3" s="1"/>
  <c r="F262" i="3" s="1"/>
  <c r="F263" i="3" s="1"/>
  <c r="F264" i="3" s="1"/>
  <c r="F265" i="3" s="1"/>
  <c r="F266" i="3" s="1"/>
  <c r="F267" i="3" s="1"/>
  <c r="F268" i="3" s="1"/>
  <c r="F269" i="3" s="1"/>
  <c r="F270" i="3" s="1"/>
  <c r="F271" i="3" s="1"/>
  <c r="F272" i="3" s="1"/>
  <c r="F273" i="3" s="1"/>
  <c r="F274" i="3" s="1"/>
  <c r="F275" i="3" s="1"/>
  <c r="F276" i="3" s="1"/>
  <c r="F277" i="3" s="1"/>
  <c r="F278" i="3" s="1"/>
  <c r="F279" i="3" s="1"/>
  <c r="F280" i="3" s="1"/>
  <c r="F281" i="3" s="1"/>
  <c r="F282" i="3" s="1"/>
  <c r="F283" i="3" s="1"/>
  <c r="F284" i="3" s="1"/>
  <c r="F285" i="3" s="1"/>
  <c r="F286" i="3" s="1"/>
  <c r="F287" i="3" s="1"/>
  <c r="F288" i="3" s="1"/>
  <c r="F289" i="3" s="1"/>
  <c r="F290" i="3" s="1"/>
  <c r="F291" i="3" s="1"/>
  <c r="F292" i="3" s="1"/>
  <c r="F293" i="3" s="1"/>
  <c r="F294" i="3" s="1"/>
  <c r="F295" i="3" s="1"/>
  <c r="F296" i="3" s="1"/>
  <c r="F297" i="3" s="1"/>
  <c r="F298" i="3" s="1"/>
  <c r="F299" i="3" s="1"/>
  <c r="F300" i="3" s="1"/>
  <c r="F301" i="3" s="1"/>
  <c r="F302" i="3" s="1"/>
  <c r="F303" i="3" s="1"/>
  <c r="F304" i="3" s="1"/>
  <c r="F305" i="3" s="1"/>
  <c r="F306" i="3" s="1"/>
  <c r="F307" i="3" s="1"/>
  <c r="F308" i="3" s="1"/>
  <c r="F309" i="3" s="1"/>
  <c r="F310" i="3" s="1"/>
  <c r="F311" i="3" s="1"/>
  <c r="F312" i="3" s="1"/>
  <c r="F313" i="3" s="1"/>
  <c r="F314" i="3" s="1"/>
  <c r="F315" i="3" s="1"/>
  <c r="F316" i="3" s="1"/>
  <c r="F317" i="3" s="1"/>
  <c r="F318" i="3" s="1"/>
  <c r="F319" i="3" s="1"/>
  <c r="F320" i="3" s="1"/>
  <c r="F321" i="3" s="1"/>
  <c r="F322" i="3" s="1"/>
  <c r="F323" i="3" s="1"/>
  <c r="F324" i="3" s="1"/>
  <c r="F325" i="3" s="1"/>
  <c r="F326" i="3" s="1"/>
  <c r="F327" i="3" s="1"/>
  <c r="F328" i="3" s="1"/>
  <c r="F329" i="3" s="1"/>
  <c r="F330" i="3" s="1"/>
  <c r="F331" i="3" s="1"/>
  <c r="F332" i="3" s="1"/>
  <c r="F333" i="3" s="1"/>
  <c r="F334" i="3" s="1"/>
  <c r="F335" i="3" s="1"/>
  <c r="F336" i="3" s="1"/>
  <c r="F337" i="3" s="1"/>
  <c r="F338" i="3" s="1"/>
  <c r="F339" i="3" s="1"/>
  <c r="F340" i="3" s="1"/>
  <c r="F341" i="3" s="1"/>
  <c r="F342" i="3" s="1"/>
  <c r="F343" i="3" s="1"/>
  <c r="F344" i="3" s="1"/>
  <c r="F345" i="3" s="1"/>
  <c r="F346" i="3" s="1"/>
  <c r="F347" i="3" s="1"/>
  <c r="F348" i="3" s="1"/>
  <c r="F349" i="3" s="1"/>
  <c r="F350" i="3" s="1"/>
  <c r="F351" i="3" s="1"/>
  <c r="F352" i="3" s="1"/>
  <c r="F353" i="3" s="1"/>
  <c r="F354" i="3" s="1"/>
  <c r="F355" i="3" s="1"/>
  <c r="F356" i="3" s="1"/>
  <c r="F357" i="3" s="1"/>
  <c r="F358" i="3" s="1"/>
  <c r="F359" i="3" s="1"/>
  <c r="F360" i="3" s="1"/>
  <c r="F361" i="3" s="1"/>
  <c r="F362" i="3" s="1"/>
  <c r="F363" i="3" s="1"/>
  <c r="F364" i="3" s="1"/>
  <c r="F365" i="3" s="1"/>
  <c r="F366" i="3" s="1"/>
  <c r="F367" i="3" s="1"/>
  <c r="F368" i="3" s="1"/>
  <c r="F369" i="3" s="1"/>
  <c r="F370" i="3" s="1"/>
  <c r="F371" i="3" s="1"/>
  <c r="F372" i="3" s="1"/>
  <c r="F373" i="3" s="1"/>
  <c r="F374" i="3" s="1"/>
  <c r="F375" i="3" s="1"/>
  <c r="F376" i="3" s="1"/>
  <c r="F377" i="3" s="1"/>
  <c r="F378" i="3" s="1"/>
  <c r="F379" i="3" s="1"/>
  <c r="F380" i="3" s="1"/>
  <c r="F381" i="3" s="1"/>
  <c r="F382" i="3" s="1"/>
  <c r="F383" i="3" s="1"/>
  <c r="F384" i="3" s="1"/>
  <c r="F385" i="3" s="1"/>
  <c r="F386" i="3" s="1"/>
  <c r="F387" i="3" s="1"/>
  <c r="F388" i="3" s="1"/>
  <c r="F389" i="3" s="1"/>
  <c r="F390" i="3" s="1"/>
  <c r="F391" i="3" s="1"/>
  <c r="F392" i="3" s="1"/>
  <c r="F393" i="3" s="1"/>
  <c r="F394" i="3" s="1"/>
  <c r="F395" i="3" s="1"/>
  <c r="F396" i="3" s="1"/>
  <c r="F397" i="3" s="1"/>
  <c r="F398" i="3" s="1"/>
  <c r="F399" i="3" s="1"/>
  <c r="F400" i="3" s="1"/>
  <c r="F401" i="3" s="1"/>
  <c r="F402" i="3" s="1"/>
  <c r="F403" i="3" s="1"/>
  <c r="F404" i="3" s="1"/>
  <c r="F405" i="3" s="1"/>
  <c r="F406" i="3" s="1"/>
  <c r="F407" i="3" s="1"/>
  <c r="F408" i="3" s="1"/>
  <c r="F409" i="3" s="1"/>
  <c r="F410" i="3" s="1"/>
  <c r="F411" i="3" s="1"/>
  <c r="F412" i="3" s="1"/>
  <c r="F413" i="3" s="1"/>
  <c r="F414" i="3" s="1"/>
  <c r="F415" i="3" s="1"/>
  <c r="F416" i="3" s="1"/>
  <c r="F417" i="3" s="1"/>
  <c r="F418" i="3" s="1"/>
  <c r="F419" i="3" s="1"/>
  <c r="F420" i="3" s="1"/>
  <c r="F421" i="3" s="1"/>
  <c r="F422" i="3" s="1"/>
  <c r="F423" i="3" s="1"/>
  <c r="F424" i="3" s="1"/>
  <c r="F425" i="3" s="1"/>
  <c r="F426" i="3" s="1"/>
  <c r="F427" i="3" s="1"/>
  <c r="F428" i="3" s="1"/>
  <c r="F429" i="3" s="1"/>
  <c r="F430" i="3" s="1"/>
  <c r="F431" i="3" s="1"/>
  <c r="F432" i="3" s="1"/>
  <c r="F433" i="3" s="1"/>
  <c r="F434" i="3" s="1"/>
  <c r="F435" i="3" s="1"/>
  <c r="F436" i="3" s="1"/>
  <c r="F437" i="3" s="1"/>
  <c r="F438" i="3" s="1"/>
  <c r="F439" i="3" s="1"/>
  <c r="F440" i="3" s="1"/>
  <c r="F441" i="3" s="1"/>
  <c r="F442" i="3" s="1"/>
  <c r="F443" i="3" s="1"/>
  <c r="F444" i="3" s="1"/>
  <c r="F445" i="3" s="1"/>
  <c r="F446" i="3" s="1"/>
  <c r="F447" i="3" s="1"/>
  <c r="F448" i="3" s="1"/>
  <c r="F449" i="3" s="1"/>
  <c r="F450" i="3" s="1"/>
  <c r="F451" i="3" s="1"/>
  <c r="F452" i="3" s="1"/>
  <c r="F453" i="3" s="1"/>
  <c r="F454" i="3" s="1"/>
  <c r="F455" i="3" s="1"/>
  <c r="F456" i="3" s="1"/>
  <c r="F457" i="3" s="1"/>
  <c r="F458" i="3" s="1"/>
  <c r="F459" i="3" s="1"/>
  <c r="F460" i="3" s="1"/>
  <c r="F461" i="3" s="1"/>
  <c r="F462" i="3" s="1"/>
  <c r="F463" i="3" s="1"/>
  <c r="F464" i="3" s="1"/>
  <c r="F465" i="3" s="1"/>
  <c r="F466" i="3" s="1"/>
  <c r="F467" i="3" s="1"/>
  <c r="F468" i="3" s="1"/>
  <c r="F469" i="3" s="1"/>
  <c r="F470" i="3" s="1"/>
  <c r="F471" i="3" s="1"/>
  <c r="F472" i="3" s="1"/>
  <c r="F473" i="3" s="1"/>
  <c r="F474" i="3" s="1"/>
  <c r="F475" i="3" s="1"/>
  <c r="F476" i="3" s="1"/>
  <c r="F477" i="3" s="1"/>
  <c r="F478" i="3" s="1"/>
  <c r="F479" i="3" s="1"/>
  <c r="F480" i="3" s="1"/>
  <c r="F481" i="3" s="1"/>
  <c r="F482" i="3" s="1"/>
  <c r="F483" i="3" s="1"/>
  <c r="F484" i="3" s="1"/>
  <c r="F485" i="3" s="1"/>
  <c r="F486" i="3" s="1"/>
  <c r="F487" i="3" s="1"/>
  <c r="F488" i="3" s="1"/>
  <c r="F489" i="3" s="1"/>
  <c r="F490" i="3" s="1"/>
  <c r="F491" i="3" s="1"/>
  <c r="F492" i="3" s="1"/>
  <c r="F493" i="3" s="1"/>
  <c r="F494" i="3" s="1"/>
  <c r="F495" i="3" s="1"/>
  <c r="F496" i="3" s="1"/>
  <c r="F497" i="3" s="1"/>
  <c r="F498" i="3" s="1"/>
  <c r="F499" i="3" s="1"/>
  <c r="F500" i="3" s="1"/>
  <c r="F501" i="3" s="1"/>
  <c r="F502" i="3" s="1"/>
  <c r="F503" i="3" s="1"/>
  <c r="F504" i="3" s="1"/>
  <c r="F505" i="3" s="1"/>
  <c r="F506" i="3" s="1"/>
  <c r="F507" i="3" s="1"/>
  <c r="F508" i="3" s="1"/>
  <c r="F509" i="3" s="1"/>
  <c r="F510" i="3" s="1"/>
  <c r="F511" i="3" s="1"/>
  <c r="F512" i="3" s="1"/>
  <c r="F513" i="3" s="1"/>
  <c r="F514" i="3" s="1"/>
  <c r="F515" i="3" s="1"/>
  <c r="F516" i="3" s="1"/>
  <c r="F517" i="3" s="1"/>
  <c r="F518" i="3" s="1"/>
  <c r="F519" i="3" s="1"/>
  <c r="F520" i="3" s="1"/>
  <c r="F521" i="3" s="1"/>
  <c r="F522" i="3" s="1"/>
  <c r="F523" i="3" s="1"/>
  <c r="F524" i="3" s="1"/>
  <c r="F525" i="3" s="1"/>
  <c r="F526" i="3" s="1"/>
  <c r="F527" i="3" s="1"/>
  <c r="F528" i="3" s="1"/>
  <c r="F529" i="3" s="1"/>
  <c r="F530" i="3" s="1"/>
  <c r="F531" i="3" s="1"/>
  <c r="F532" i="3" s="1"/>
  <c r="F533" i="3" s="1"/>
  <c r="F534" i="3" s="1"/>
  <c r="F535" i="3" s="1"/>
  <c r="F536" i="3" s="1"/>
  <c r="F537" i="3" s="1"/>
  <c r="F538" i="3" s="1"/>
  <c r="F539" i="3" s="1"/>
  <c r="F540" i="3" s="1"/>
  <c r="F541" i="3" s="1"/>
  <c r="F542" i="3" s="1"/>
  <c r="F543" i="3" s="1"/>
  <c r="F544" i="3" s="1"/>
  <c r="F545" i="3" s="1"/>
  <c r="F546" i="3" s="1"/>
  <c r="F547" i="3" s="1"/>
  <c r="F548" i="3" s="1"/>
  <c r="F549" i="3" s="1"/>
  <c r="F550" i="3" s="1"/>
  <c r="F551" i="3" s="1"/>
  <c r="F552" i="3" s="1"/>
  <c r="F553" i="3" s="1"/>
  <c r="F554" i="3" s="1"/>
  <c r="F555" i="3" s="1"/>
  <c r="F556" i="3" s="1"/>
  <c r="F557" i="3" s="1"/>
  <c r="F558" i="3" s="1"/>
  <c r="F559" i="3" s="1"/>
  <c r="F560" i="3" s="1"/>
  <c r="F561" i="3" s="1"/>
  <c r="F562" i="3" s="1"/>
  <c r="F563" i="3" s="1"/>
  <c r="F564" i="3" s="1"/>
  <c r="F565" i="3" s="1"/>
  <c r="F566" i="3" s="1"/>
  <c r="F567" i="3" s="1"/>
  <c r="F568" i="3" s="1"/>
  <c r="F569" i="3" s="1"/>
  <c r="F570" i="3" s="1"/>
  <c r="F571" i="3" s="1"/>
  <c r="F572" i="3" s="1"/>
  <c r="F573" i="3" s="1"/>
  <c r="F574" i="3" s="1"/>
  <c r="F575" i="3" s="1"/>
  <c r="F576" i="3" s="1"/>
  <c r="F577" i="3" s="1"/>
  <c r="F578" i="3" s="1"/>
  <c r="F579" i="3" s="1"/>
  <c r="F580" i="3" s="1"/>
  <c r="F581" i="3" s="1"/>
  <c r="F582" i="3" s="1"/>
  <c r="F583" i="3" s="1"/>
  <c r="F584" i="3" s="1"/>
  <c r="F585" i="3" s="1"/>
  <c r="F586" i="3" s="1"/>
  <c r="F587" i="3" s="1"/>
  <c r="F588" i="3" s="1"/>
  <c r="F589" i="3" s="1"/>
  <c r="F590" i="3" s="1"/>
  <c r="F591" i="3" s="1"/>
  <c r="F592" i="3" s="1"/>
  <c r="F593" i="3" s="1"/>
  <c r="F594" i="3" s="1"/>
  <c r="F595" i="3" s="1"/>
  <c r="F596" i="3" s="1"/>
  <c r="F597" i="3" s="1"/>
  <c r="F598" i="3" s="1"/>
  <c r="F599" i="3" s="1"/>
  <c r="F600" i="3" s="1"/>
  <c r="F601" i="3" s="1"/>
  <c r="F602" i="3" s="1"/>
  <c r="F603" i="3" s="1"/>
  <c r="F604" i="3" s="1"/>
  <c r="F605" i="3" s="1"/>
  <c r="F606" i="3" s="1"/>
  <c r="F607" i="3" s="1"/>
  <c r="F608" i="3" s="1"/>
  <c r="F609" i="3" s="1"/>
  <c r="F610" i="3" s="1"/>
  <c r="F611" i="3" s="1"/>
  <c r="F612" i="3" s="1"/>
  <c r="F613" i="3" s="1"/>
  <c r="F614" i="3" s="1"/>
  <c r="F615" i="3" s="1"/>
  <c r="F616" i="3" s="1"/>
  <c r="F617" i="3" s="1"/>
  <c r="F618" i="3" s="1"/>
  <c r="F619" i="3" s="1"/>
  <c r="F620" i="3" s="1"/>
  <c r="F621" i="3" s="1"/>
  <c r="F622" i="3" s="1"/>
  <c r="F623" i="3" s="1"/>
  <c r="F624" i="3" s="1"/>
  <c r="F625" i="3" s="1"/>
  <c r="F626" i="3" s="1"/>
  <c r="F627" i="3" s="1"/>
  <c r="F628" i="3" s="1"/>
  <c r="F629" i="3" s="1"/>
  <c r="F630" i="3" s="1"/>
  <c r="F631" i="3" s="1"/>
  <c r="F632" i="3" s="1"/>
  <c r="F633" i="3" s="1"/>
  <c r="F634" i="3" s="1"/>
  <c r="F635" i="3" s="1"/>
  <c r="F636" i="3" s="1"/>
  <c r="F637" i="3" s="1"/>
  <c r="F638" i="3" s="1"/>
  <c r="F639" i="3" s="1"/>
  <c r="F640" i="3" s="1"/>
  <c r="F641" i="3" s="1"/>
  <c r="F642" i="3" s="1"/>
  <c r="F643" i="3" s="1"/>
  <c r="F644" i="3" s="1"/>
  <c r="F645" i="3" s="1"/>
  <c r="F646" i="3" s="1"/>
  <c r="F647" i="3" s="1"/>
  <c r="F648" i="3" s="1"/>
  <c r="F649" i="3" s="1"/>
  <c r="F650" i="3" s="1"/>
  <c r="F651" i="3" s="1"/>
  <c r="F652" i="3" s="1"/>
  <c r="F653" i="3" s="1"/>
  <c r="F654" i="3" s="1"/>
  <c r="F655" i="3" s="1"/>
  <c r="F656" i="3" s="1"/>
  <c r="F657" i="3" s="1"/>
  <c r="F658" i="3" s="1"/>
  <c r="F659" i="3" s="1"/>
  <c r="F660" i="3" s="1"/>
  <c r="F661" i="3" s="1"/>
  <c r="F662" i="3" s="1"/>
  <c r="F663" i="3" s="1"/>
  <c r="F664" i="3" s="1"/>
  <c r="F665" i="3" s="1"/>
  <c r="F666" i="3" s="1"/>
  <c r="F667" i="3" s="1"/>
  <c r="F668" i="3" s="1"/>
  <c r="F669" i="3" s="1"/>
  <c r="F670" i="3" s="1"/>
  <c r="F671" i="3" s="1"/>
  <c r="F672" i="3" s="1"/>
  <c r="F673" i="3" s="1"/>
  <c r="F674" i="3" s="1"/>
  <c r="F675" i="3" s="1"/>
  <c r="F676" i="3" s="1"/>
  <c r="F677" i="3" s="1"/>
  <c r="F678" i="3" s="1"/>
  <c r="F679" i="3" s="1"/>
  <c r="F680" i="3" s="1"/>
  <c r="F681" i="3" s="1"/>
  <c r="F682" i="3" s="1"/>
  <c r="F683" i="3" s="1"/>
  <c r="F684" i="3" s="1"/>
  <c r="F685" i="3" s="1"/>
  <c r="F686" i="3" s="1"/>
  <c r="F687" i="3" s="1"/>
  <c r="F688" i="3" s="1"/>
  <c r="F689" i="3" s="1"/>
  <c r="F690" i="3" s="1"/>
  <c r="F691" i="3" s="1"/>
  <c r="F692" i="3" s="1"/>
  <c r="F693" i="3" s="1"/>
  <c r="F694" i="3" s="1"/>
  <c r="F695" i="3" s="1"/>
  <c r="F696" i="3" s="1"/>
  <c r="F697" i="3" s="1"/>
  <c r="F698" i="3" s="1"/>
  <c r="F699" i="3" s="1"/>
  <c r="F700" i="3" s="1"/>
  <c r="F701" i="3" s="1"/>
  <c r="F702" i="3" s="1"/>
  <c r="F703" i="3" s="1"/>
  <c r="F704" i="3" s="1"/>
  <c r="F705" i="3" s="1"/>
  <c r="F706" i="3" s="1"/>
  <c r="F707" i="3" s="1"/>
  <c r="F708" i="3" s="1"/>
  <c r="F709" i="3" s="1"/>
  <c r="F710" i="3" s="1"/>
  <c r="F711" i="3" s="1"/>
  <c r="F712" i="3" s="1"/>
  <c r="F713" i="3" s="1"/>
  <c r="F714" i="3" s="1"/>
  <c r="F715" i="3" s="1"/>
  <c r="F716" i="3" s="1"/>
  <c r="F717" i="3" s="1"/>
  <c r="F718" i="3" s="1"/>
  <c r="F719" i="3" s="1"/>
  <c r="F720" i="3" s="1"/>
  <c r="F721" i="3" s="1"/>
  <c r="F722" i="3" s="1"/>
  <c r="F723" i="3" s="1"/>
  <c r="F724" i="3" s="1"/>
  <c r="F725" i="3" s="1"/>
  <c r="F726" i="3" s="1"/>
  <c r="F727" i="3" s="1"/>
  <c r="F728" i="3" s="1"/>
  <c r="F729" i="3" s="1"/>
  <c r="F730" i="3" s="1"/>
  <c r="F731" i="3" s="1"/>
  <c r="F732" i="3" s="1"/>
  <c r="F733" i="3" s="1"/>
  <c r="F734" i="3" s="1"/>
  <c r="F735" i="3" s="1"/>
  <c r="F736" i="3" s="1"/>
  <c r="F737" i="3" s="1"/>
  <c r="F738" i="3" s="1"/>
  <c r="F739" i="3" s="1"/>
  <c r="F740" i="3" s="1"/>
  <c r="F741" i="3" s="1"/>
  <c r="F742" i="3" s="1"/>
  <c r="F743" i="3" s="1"/>
  <c r="F744" i="3" s="1"/>
  <c r="F745" i="3" s="1"/>
  <c r="F746" i="3" s="1"/>
  <c r="F747" i="3" s="1"/>
  <c r="F748" i="3" s="1"/>
  <c r="F749" i="3" s="1"/>
  <c r="F750" i="3" s="1"/>
  <c r="F751" i="3" s="1"/>
  <c r="F752" i="3" s="1"/>
  <c r="F753" i="3" s="1"/>
  <c r="F754" i="3" s="1"/>
  <c r="F755" i="3" s="1"/>
  <c r="F756" i="3" s="1"/>
  <c r="F757" i="3" s="1"/>
  <c r="F758" i="3" s="1"/>
  <c r="F759" i="3" s="1"/>
  <c r="F760" i="3" s="1"/>
  <c r="F761" i="3" s="1"/>
  <c r="F762" i="3" s="1"/>
  <c r="F763" i="3" s="1"/>
  <c r="F764" i="3" s="1"/>
  <c r="F765" i="3" s="1"/>
  <c r="F766" i="3" s="1"/>
  <c r="F767" i="3" s="1"/>
  <c r="F768" i="3" s="1"/>
  <c r="F769" i="3" s="1"/>
  <c r="F770" i="3" s="1"/>
  <c r="F771" i="3" s="1"/>
  <c r="F772" i="3" s="1"/>
  <c r="F773" i="3" s="1"/>
  <c r="F774" i="3" s="1"/>
  <c r="F775" i="3" s="1"/>
  <c r="F776" i="3" s="1"/>
  <c r="F777" i="3" s="1"/>
  <c r="F778" i="3" s="1"/>
  <c r="F779" i="3" s="1"/>
  <c r="F780" i="3" s="1"/>
  <c r="F781" i="3" s="1"/>
  <c r="F782" i="3" s="1"/>
  <c r="F783" i="3" s="1"/>
  <c r="F784" i="3" s="1"/>
  <c r="F785" i="3" s="1"/>
  <c r="F786" i="3" s="1"/>
  <c r="F787" i="3" s="1"/>
  <c r="F788" i="3" s="1"/>
  <c r="F789" i="3" s="1"/>
  <c r="F790" i="3" s="1"/>
  <c r="F791" i="3" s="1"/>
  <c r="F792" i="3" s="1"/>
  <c r="F793" i="3" s="1"/>
  <c r="F794" i="3" s="1"/>
  <c r="F795" i="3" s="1"/>
  <c r="F796" i="3" s="1"/>
  <c r="F797" i="3" s="1"/>
  <c r="F798" i="3" s="1"/>
  <c r="F799" i="3" s="1"/>
  <c r="F800" i="3" s="1"/>
  <c r="F801" i="3" s="1"/>
  <c r="F802" i="3" s="1"/>
  <c r="F803" i="3" s="1"/>
  <c r="F804" i="3" s="1"/>
  <c r="F805" i="3" s="1"/>
  <c r="F806" i="3" s="1"/>
  <c r="F807" i="3" s="1"/>
  <c r="F808" i="3" s="1"/>
  <c r="F809" i="3" s="1"/>
  <c r="F810" i="3" s="1"/>
  <c r="F811" i="3" s="1"/>
  <c r="F812" i="3" s="1"/>
  <c r="F813" i="3" s="1"/>
  <c r="F814" i="3" s="1"/>
  <c r="F815" i="3" s="1"/>
  <c r="F816" i="3" s="1"/>
  <c r="F817" i="3" s="1"/>
  <c r="F818" i="3" s="1"/>
  <c r="F819" i="3" s="1"/>
  <c r="F820" i="3" s="1"/>
  <c r="F821" i="3" s="1"/>
  <c r="F822" i="3" s="1"/>
  <c r="F823" i="3" s="1"/>
  <c r="F824" i="3" s="1"/>
  <c r="F825" i="3" s="1"/>
  <c r="F826" i="3" s="1"/>
  <c r="F827" i="3" s="1"/>
  <c r="F828" i="3" s="1"/>
  <c r="F829" i="3" s="1"/>
  <c r="F830" i="3" s="1"/>
  <c r="F831" i="3" s="1"/>
  <c r="F832" i="3" s="1"/>
  <c r="F833" i="3" s="1"/>
  <c r="F834" i="3" s="1"/>
  <c r="F835" i="3" s="1"/>
  <c r="F836" i="3" s="1"/>
  <c r="F837" i="3" s="1"/>
  <c r="F838" i="3" s="1"/>
  <c r="F839" i="3" s="1"/>
  <c r="F840" i="3" s="1"/>
  <c r="F841" i="3" s="1"/>
  <c r="F842" i="3" s="1"/>
  <c r="F843" i="3" s="1"/>
  <c r="F844" i="3" s="1"/>
  <c r="F845" i="3" s="1"/>
  <c r="F846" i="3" s="1"/>
  <c r="F847" i="3" s="1"/>
  <c r="F848" i="3" s="1"/>
  <c r="F849" i="3" s="1"/>
  <c r="F850" i="3" s="1"/>
  <c r="F851" i="3" s="1"/>
  <c r="F852" i="3" s="1"/>
  <c r="F853" i="3" s="1"/>
  <c r="F854" i="3" s="1"/>
  <c r="F855" i="3" s="1"/>
  <c r="F856" i="3" s="1"/>
  <c r="F857" i="3" s="1"/>
  <c r="F858" i="3" s="1"/>
  <c r="F859" i="3" s="1"/>
  <c r="F860" i="3" s="1"/>
  <c r="F861" i="3" s="1"/>
  <c r="F862" i="3" s="1"/>
  <c r="F863" i="3" s="1"/>
  <c r="F864" i="3" s="1"/>
  <c r="F865" i="3" s="1"/>
  <c r="F866" i="3" s="1"/>
  <c r="F867" i="3" s="1"/>
  <c r="F868" i="3" s="1"/>
  <c r="F869" i="3" s="1"/>
  <c r="F870" i="3" s="1"/>
  <c r="F871" i="3" s="1"/>
  <c r="F872" i="3" s="1"/>
  <c r="F873" i="3" s="1"/>
  <c r="F874" i="3" s="1"/>
  <c r="F875" i="3" s="1"/>
  <c r="F876" i="3" s="1"/>
  <c r="F877" i="3" s="1"/>
  <c r="F878" i="3" s="1"/>
  <c r="F879" i="3" s="1"/>
  <c r="F880" i="3" s="1"/>
  <c r="F881" i="3" s="1"/>
  <c r="F882" i="3" s="1"/>
  <c r="F883" i="3" s="1"/>
  <c r="F884" i="3" s="1"/>
  <c r="F885" i="3" s="1"/>
  <c r="F886" i="3" s="1"/>
  <c r="F887" i="3" s="1"/>
  <c r="F888" i="3" s="1"/>
  <c r="F889" i="3" s="1"/>
  <c r="F890" i="3" s="1"/>
  <c r="F891" i="3" s="1"/>
  <c r="F892" i="3" s="1"/>
  <c r="F893" i="3" s="1"/>
  <c r="F894" i="3" s="1"/>
  <c r="F895" i="3" s="1"/>
  <c r="F896" i="3" s="1"/>
  <c r="F897" i="3" s="1"/>
  <c r="F898" i="3" s="1"/>
  <c r="F899" i="3" s="1"/>
  <c r="F900" i="3" s="1"/>
  <c r="F901" i="3" s="1"/>
  <c r="F902" i="3" s="1"/>
  <c r="F903" i="3" s="1"/>
  <c r="F904" i="3" s="1"/>
  <c r="F905" i="3" s="1"/>
  <c r="F906" i="3" s="1"/>
  <c r="F907" i="3" s="1"/>
  <c r="F908" i="3" s="1"/>
  <c r="F909" i="3" s="1"/>
  <c r="F910" i="3" s="1"/>
  <c r="F911" i="3" s="1"/>
  <c r="F912" i="3" s="1"/>
  <c r="F913" i="3" s="1"/>
  <c r="F914" i="3" s="1"/>
  <c r="F915" i="3" s="1"/>
  <c r="F916" i="3" s="1"/>
  <c r="F917" i="3" s="1"/>
  <c r="F918" i="3" s="1"/>
  <c r="F919" i="3" s="1"/>
  <c r="F920" i="3" s="1"/>
  <c r="F921" i="3" s="1"/>
  <c r="F922" i="3" s="1"/>
  <c r="F923" i="3" s="1"/>
  <c r="F924" i="3" s="1"/>
  <c r="F925" i="3" s="1"/>
  <c r="F926" i="3" s="1"/>
  <c r="F927" i="3" s="1"/>
  <c r="F928" i="3" s="1"/>
  <c r="F929" i="3" s="1"/>
  <c r="F930" i="3" s="1"/>
  <c r="F931" i="3" s="1"/>
  <c r="F932" i="3" s="1"/>
  <c r="F933" i="3" s="1"/>
  <c r="F934" i="3" s="1"/>
  <c r="F935" i="3" s="1"/>
  <c r="F936" i="3" s="1"/>
  <c r="F937" i="3" s="1"/>
  <c r="F938" i="3" s="1"/>
  <c r="F939" i="3" s="1"/>
  <c r="F940" i="3" s="1"/>
  <c r="F941" i="3" s="1"/>
  <c r="F942" i="3" s="1"/>
  <c r="F943" i="3" s="1"/>
  <c r="F944" i="3" s="1"/>
  <c r="F945" i="3" s="1"/>
  <c r="F946" i="3" s="1"/>
  <c r="F947" i="3" s="1"/>
  <c r="F948" i="3" s="1"/>
  <c r="F949" i="3" s="1"/>
  <c r="F950" i="3" s="1"/>
  <c r="F951" i="3" s="1"/>
  <c r="F952" i="3" s="1"/>
  <c r="F953" i="3" s="1"/>
  <c r="F954" i="3" s="1"/>
  <c r="F955" i="3" s="1"/>
  <c r="F956" i="3" s="1"/>
  <c r="F957" i="3" s="1"/>
  <c r="F958" i="3" s="1"/>
  <c r="F959" i="3" s="1"/>
  <c r="F960" i="3" s="1"/>
  <c r="F961" i="3" s="1"/>
  <c r="F962" i="3" s="1"/>
  <c r="F963" i="3" s="1"/>
  <c r="F964" i="3" s="1"/>
  <c r="F965" i="3" s="1"/>
  <c r="F966" i="3" s="1"/>
  <c r="F967" i="3" s="1"/>
  <c r="F968" i="3" s="1"/>
  <c r="F969" i="3" s="1"/>
  <c r="F970" i="3" s="1"/>
  <c r="F971" i="3" s="1"/>
  <c r="F972" i="3" s="1"/>
  <c r="F973" i="3" s="1"/>
  <c r="F974" i="3" s="1"/>
  <c r="F975" i="3" s="1"/>
  <c r="F976" i="3" s="1"/>
  <c r="F977" i="3" s="1"/>
  <c r="F978" i="3" s="1"/>
  <c r="F979" i="3" s="1"/>
  <c r="F980" i="3" s="1"/>
  <c r="F981" i="3" s="1"/>
  <c r="F982" i="3" s="1"/>
  <c r="F983" i="3" s="1"/>
  <c r="F984" i="3" s="1"/>
  <c r="F985" i="3" s="1"/>
  <c r="F986" i="3" s="1"/>
  <c r="F987" i="3" s="1"/>
  <c r="F988" i="3" s="1"/>
  <c r="F989" i="3" s="1"/>
  <c r="F990" i="3" s="1"/>
  <c r="F991" i="3" s="1"/>
  <c r="F992" i="3" s="1"/>
  <c r="F993" i="3" s="1"/>
  <c r="F994" i="3" s="1"/>
  <c r="F995" i="3" s="1"/>
  <c r="F996" i="3" s="1"/>
  <c r="F997" i="3" s="1"/>
  <c r="F998" i="3" s="1"/>
  <c r="F999" i="3" s="1"/>
  <c r="F1000" i="3" s="1"/>
  <c r="F1001" i="3" s="1"/>
  <c r="F1002" i="3" s="1"/>
  <c r="F1003" i="3" s="1"/>
  <c r="F1004" i="3" s="1"/>
  <c r="F1005" i="3" s="1"/>
  <c r="A7" i="3"/>
  <c r="B7" i="3" s="1"/>
  <c r="D7" i="3" s="1"/>
  <c r="J6" i="3"/>
  <c r="A6" i="3"/>
  <c r="B6" i="3" s="1"/>
  <c r="H7" i="3" s="1"/>
  <c r="N4" i="3"/>
  <c r="O2" i="3"/>
  <c r="G135" i="1"/>
  <c r="G134" i="1"/>
  <c r="G133" i="1"/>
  <c r="G132" i="1"/>
  <c r="F132" i="1"/>
  <c r="G131" i="1"/>
  <c r="G130" i="1"/>
  <c r="G129" i="1"/>
  <c r="G128" i="1"/>
  <c r="F128" i="1"/>
  <c r="G127" i="1"/>
  <c r="G126" i="1"/>
  <c r="G125" i="1"/>
  <c r="G124" i="1"/>
  <c r="F124" i="1"/>
  <c r="G123" i="1"/>
  <c r="G122" i="1"/>
  <c r="G121" i="1"/>
  <c r="G120" i="1"/>
  <c r="F120" i="1"/>
  <c r="G119" i="1"/>
  <c r="G118" i="1"/>
  <c r="G117" i="1"/>
  <c r="G116" i="1"/>
  <c r="F116" i="1"/>
  <c r="G115" i="1"/>
  <c r="G114" i="1"/>
  <c r="G113" i="1"/>
  <c r="G112" i="1"/>
  <c r="F112" i="1"/>
  <c r="G111" i="1"/>
  <c r="G110" i="1"/>
  <c r="G109" i="1"/>
  <c r="G108" i="1"/>
  <c r="F108" i="1"/>
  <c r="G107" i="1"/>
  <c r="G106" i="1"/>
  <c r="G105" i="1"/>
  <c r="G104" i="1"/>
  <c r="F104" i="1"/>
  <c r="G103" i="1"/>
  <c r="G102" i="1"/>
  <c r="G101" i="1"/>
  <c r="G100" i="1"/>
  <c r="F100" i="1"/>
  <c r="G99" i="1"/>
  <c r="G98" i="1"/>
  <c r="G97" i="1"/>
  <c r="G96" i="1"/>
  <c r="F96" i="1"/>
  <c r="G95" i="1"/>
  <c r="G94" i="1"/>
  <c r="G93" i="1"/>
  <c r="G92" i="1"/>
  <c r="F92" i="1"/>
  <c r="G91" i="1"/>
  <c r="G90" i="1"/>
  <c r="G89" i="1"/>
  <c r="G88" i="1"/>
  <c r="F88" i="1"/>
  <c r="G87" i="1"/>
  <c r="G86" i="1"/>
  <c r="G85" i="1"/>
  <c r="G84" i="1"/>
  <c r="F84" i="1"/>
  <c r="G83" i="1"/>
  <c r="G82" i="1"/>
  <c r="G81" i="1"/>
  <c r="G80" i="1"/>
  <c r="F80" i="1"/>
  <c r="G79" i="1"/>
  <c r="G78" i="1"/>
  <c r="G77" i="1"/>
  <c r="G76" i="1"/>
  <c r="F76" i="1"/>
  <c r="G75" i="1"/>
  <c r="G74" i="1"/>
  <c r="G73" i="1"/>
  <c r="G72" i="1"/>
  <c r="F72" i="1"/>
  <c r="G71" i="1"/>
  <c r="G70" i="1"/>
  <c r="G69" i="1"/>
  <c r="G68" i="1"/>
  <c r="F68" i="1"/>
  <c r="G67" i="1"/>
  <c r="G66" i="1"/>
  <c r="G65" i="1"/>
  <c r="G64" i="1"/>
  <c r="F64" i="1"/>
  <c r="G63" i="1"/>
  <c r="G62" i="1"/>
  <c r="G61" i="1"/>
  <c r="G60" i="1"/>
  <c r="F60" i="1"/>
  <c r="G59" i="1"/>
  <c r="G58" i="1"/>
  <c r="G57" i="1"/>
  <c r="G56" i="1"/>
  <c r="F56" i="1"/>
  <c r="G55" i="1"/>
  <c r="G54" i="1"/>
  <c r="G53" i="1"/>
  <c r="G52" i="1"/>
  <c r="F52" i="1"/>
  <c r="G51" i="1"/>
  <c r="G50" i="1"/>
  <c r="G49" i="1"/>
  <c r="G48" i="1"/>
  <c r="F48" i="1"/>
  <c r="G47" i="1"/>
  <c r="G46" i="1"/>
  <c r="G45" i="1"/>
  <c r="G44" i="1"/>
  <c r="F44" i="1"/>
  <c r="G43" i="1"/>
  <c r="G42" i="1"/>
  <c r="G41" i="1"/>
  <c r="G40" i="1"/>
  <c r="F40" i="1"/>
  <c r="G39" i="1"/>
  <c r="G38" i="1"/>
  <c r="G37" i="1"/>
  <c r="G36" i="1"/>
  <c r="F36" i="1"/>
  <c r="G35" i="1"/>
  <c r="G34" i="1"/>
  <c r="G33" i="1"/>
  <c r="G32" i="1"/>
  <c r="F32" i="1"/>
  <c r="G31" i="1"/>
  <c r="G30" i="1"/>
  <c r="G29" i="1"/>
  <c r="G28" i="1"/>
  <c r="F28" i="1"/>
  <c r="G27" i="1"/>
  <c r="G26" i="1"/>
  <c r="G25" i="1"/>
  <c r="G24" i="1"/>
  <c r="F24" i="1"/>
  <c r="G23" i="1"/>
  <c r="G22" i="1"/>
  <c r="G21" i="1"/>
  <c r="G20" i="1"/>
  <c r="F20" i="1"/>
  <c r="G19" i="1"/>
  <c r="G18" i="1"/>
  <c r="G17" i="1"/>
  <c r="G16" i="1"/>
  <c r="F16" i="1"/>
  <c r="G15" i="1"/>
  <c r="G14" i="1"/>
  <c r="G13" i="1"/>
  <c r="G12" i="1"/>
  <c r="F12" i="1"/>
  <c r="G11" i="1"/>
  <c r="G10" i="1"/>
  <c r="G9" i="1"/>
  <c r="G8" i="1"/>
  <c r="F8" i="1"/>
  <c r="G7" i="1"/>
  <c r="G6" i="1"/>
  <c r="G5" i="1"/>
  <c r="G4" i="1"/>
  <c r="F4" i="1"/>
  <c r="G3" i="1"/>
  <c r="D2" i="1"/>
  <c r="B6" i="1" a="1"/>
  <c r="B8" i="1" a="1"/>
  <c r="B8" i="1" l="1"/>
  <c r="B6" i="1"/>
  <c r="H8" i="3"/>
  <c r="D20" i="3"/>
  <c r="D138" i="3"/>
  <c r="G7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C863" i="3" s="1"/>
  <c r="C864" i="3" s="1"/>
  <c r="C865" i="3" s="1"/>
  <c r="C866" i="3" s="1"/>
  <c r="C867" i="3" s="1"/>
  <c r="C868" i="3" s="1"/>
  <c r="C869" i="3" s="1"/>
  <c r="C870" i="3" s="1"/>
  <c r="C871" i="3" s="1"/>
  <c r="C872" i="3" s="1"/>
  <c r="C873" i="3" s="1"/>
  <c r="C874" i="3" s="1"/>
  <c r="C875" i="3" s="1"/>
  <c r="C876" i="3" s="1"/>
  <c r="C877" i="3" s="1"/>
  <c r="C878" i="3" s="1"/>
  <c r="C879" i="3" s="1"/>
  <c r="C880" i="3" s="1"/>
  <c r="C881" i="3" s="1"/>
  <c r="C882" i="3" s="1"/>
  <c r="C883" i="3" s="1"/>
  <c r="C884" i="3" s="1"/>
  <c r="C885" i="3" s="1"/>
  <c r="C886" i="3" s="1"/>
  <c r="C887" i="3" s="1"/>
  <c r="C888" i="3" s="1"/>
  <c r="C889" i="3" s="1"/>
  <c r="C890" i="3" s="1"/>
  <c r="C891" i="3" s="1"/>
  <c r="C892" i="3" s="1"/>
  <c r="C893" i="3" s="1"/>
  <c r="C894" i="3" s="1"/>
  <c r="C895" i="3" s="1"/>
  <c r="C896" i="3" s="1"/>
  <c r="C897" i="3" s="1"/>
  <c r="C898" i="3" s="1"/>
  <c r="C899" i="3" s="1"/>
  <c r="C900" i="3" s="1"/>
  <c r="C901" i="3" s="1"/>
  <c r="C902" i="3" s="1"/>
  <c r="C903" i="3" s="1"/>
  <c r="C904" i="3" s="1"/>
  <c r="C905" i="3" s="1"/>
  <c r="C906" i="3" s="1"/>
  <c r="C907" i="3" s="1"/>
  <c r="C908" i="3" s="1"/>
  <c r="C909" i="3" s="1"/>
  <c r="C910" i="3" s="1"/>
  <c r="C911" i="3" s="1"/>
  <c r="C912" i="3" s="1"/>
  <c r="C913" i="3" s="1"/>
  <c r="C914" i="3" s="1"/>
  <c r="C915" i="3" s="1"/>
  <c r="C916" i="3" s="1"/>
  <c r="C917" i="3" s="1"/>
  <c r="C918" i="3" s="1"/>
  <c r="C919" i="3" s="1"/>
  <c r="C920" i="3" s="1"/>
  <c r="C921" i="3" s="1"/>
  <c r="C922" i="3" s="1"/>
  <c r="C923" i="3" s="1"/>
  <c r="C924" i="3" s="1"/>
  <c r="C925" i="3" s="1"/>
  <c r="C926" i="3" s="1"/>
  <c r="C927" i="3" s="1"/>
  <c r="C928" i="3" s="1"/>
  <c r="C929" i="3" s="1"/>
  <c r="C930" i="3" s="1"/>
  <c r="C931" i="3" s="1"/>
  <c r="C932" i="3" s="1"/>
  <c r="C933" i="3" s="1"/>
  <c r="C934" i="3" s="1"/>
  <c r="C935" i="3" s="1"/>
  <c r="C936" i="3" s="1"/>
  <c r="C937" i="3" s="1"/>
  <c r="C938" i="3" s="1"/>
  <c r="C939" i="3" s="1"/>
  <c r="C940" i="3" s="1"/>
  <c r="C941" i="3" s="1"/>
  <c r="C942" i="3" s="1"/>
  <c r="C943" i="3" s="1"/>
  <c r="C944" i="3" s="1"/>
  <c r="C945" i="3" s="1"/>
  <c r="C946" i="3" s="1"/>
  <c r="C947" i="3" s="1"/>
  <c r="C948" i="3" s="1"/>
  <c r="C949" i="3" s="1"/>
  <c r="C950" i="3" s="1"/>
  <c r="C951" i="3" s="1"/>
  <c r="C952" i="3" s="1"/>
  <c r="C953" i="3" s="1"/>
  <c r="C954" i="3" s="1"/>
  <c r="C955" i="3" s="1"/>
  <c r="C956" i="3" s="1"/>
  <c r="C957" i="3" s="1"/>
  <c r="C958" i="3" s="1"/>
  <c r="C959" i="3" s="1"/>
  <c r="C960" i="3" s="1"/>
  <c r="C961" i="3" s="1"/>
  <c r="C962" i="3" s="1"/>
  <c r="C963" i="3" s="1"/>
  <c r="C964" i="3" s="1"/>
  <c r="C965" i="3" s="1"/>
  <c r="C966" i="3" s="1"/>
  <c r="C967" i="3" s="1"/>
  <c r="C968" i="3" s="1"/>
  <c r="C969" i="3" s="1"/>
  <c r="C970" i="3" s="1"/>
  <c r="C971" i="3" s="1"/>
  <c r="C972" i="3" s="1"/>
  <c r="C973" i="3" s="1"/>
  <c r="C974" i="3" s="1"/>
  <c r="C975" i="3" s="1"/>
  <c r="C976" i="3" s="1"/>
  <c r="C977" i="3" s="1"/>
  <c r="C978" i="3" s="1"/>
  <c r="C979" i="3" s="1"/>
  <c r="C980" i="3" s="1"/>
  <c r="C981" i="3" s="1"/>
  <c r="C982" i="3" s="1"/>
  <c r="C983" i="3" s="1"/>
  <c r="C984" i="3" s="1"/>
  <c r="C985" i="3" s="1"/>
  <c r="C986" i="3" s="1"/>
  <c r="C987" i="3" s="1"/>
  <c r="C988" i="3" s="1"/>
  <c r="C989" i="3" s="1"/>
  <c r="C990" i="3" s="1"/>
  <c r="C991" i="3" s="1"/>
  <c r="C992" i="3" s="1"/>
  <c r="C993" i="3" s="1"/>
  <c r="C994" i="3" s="1"/>
  <c r="C995" i="3" s="1"/>
  <c r="C996" i="3" s="1"/>
  <c r="C997" i="3" s="1"/>
  <c r="C998" i="3" s="1"/>
  <c r="C999" i="3" s="1"/>
  <c r="C1000" i="3" s="1"/>
  <c r="C1001" i="3" s="1"/>
  <c r="C1002" i="3" s="1"/>
  <c r="C1003" i="3" s="1"/>
  <c r="C1004" i="3" s="1"/>
  <c r="C1005" i="3" s="1"/>
  <c r="D6" i="3"/>
  <c r="D12" i="3"/>
  <c r="D28" i="3"/>
  <c r="I7" i="3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I193" i="3" s="1"/>
  <c r="I194" i="3" s="1"/>
  <c r="I195" i="3" s="1"/>
  <c r="I196" i="3" s="1"/>
  <c r="I197" i="3" s="1"/>
  <c r="I198" i="3" s="1"/>
  <c r="I199" i="3" s="1"/>
  <c r="I200" i="3" s="1"/>
  <c r="I201" i="3" s="1"/>
  <c r="I202" i="3" s="1"/>
  <c r="I203" i="3" s="1"/>
  <c r="I204" i="3" s="1"/>
  <c r="I205" i="3" s="1"/>
  <c r="I206" i="3" s="1"/>
  <c r="I207" i="3" s="1"/>
  <c r="I208" i="3" s="1"/>
  <c r="I209" i="3" s="1"/>
  <c r="I210" i="3" s="1"/>
  <c r="I211" i="3" s="1"/>
  <c r="I212" i="3" s="1"/>
  <c r="I213" i="3" s="1"/>
  <c r="I214" i="3" s="1"/>
  <c r="I215" i="3" s="1"/>
  <c r="I216" i="3" s="1"/>
  <c r="I217" i="3" s="1"/>
  <c r="I218" i="3" s="1"/>
  <c r="I219" i="3" s="1"/>
  <c r="I220" i="3" s="1"/>
  <c r="I221" i="3" s="1"/>
  <c r="I222" i="3" s="1"/>
  <c r="I223" i="3" s="1"/>
  <c r="I224" i="3" s="1"/>
  <c r="I225" i="3" s="1"/>
  <c r="I226" i="3" s="1"/>
  <c r="I227" i="3" s="1"/>
  <c r="I228" i="3" s="1"/>
  <c r="I229" i="3" s="1"/>
  <c r="I230" i="3" s="1"/>
  <c r="I231" i="3" s="1"/>
  <c r="I232" i="3" s="1"/>
  <c r="I233" i="3" s="1"/>
  <c r="I234" i="3" s="1"/>
  <c r="I235" i="3" s="1"/>
  <c r="I236" i="3" s="1"/>
  <c r="I237" i="3" s="1"/>
  <c r="I238" i="3" s="1"/>
  <c r="I239" i="3" s="1"/>
  <c r="I240" i="3" s="1"/>
  <c r="I241" i="3" s="1"/>
  <c r="I242" i="3" s="1"/>
  <c r="I243" i="3" s="1"/>
  <c r="I244" i="3" s="1"/>
  <c r="I245" i="3" s="1"/>
  <c r="I246" i="3" s="1"/>
  <c r="I247" i="3" s="1"/>
  <c r="I248" i="3" s="1"/>
  <c r="I249" i="3" s="1"/>
  <c r="I250" i="3" s="1"/>
  <c r="I251" i="3" s="1"/>
  <c r="I252" i="3" s="1"/>
  <c r="I253" i="3" s="1"/>
  <c r="I254" i="3" s="1"/>
  <c r="I255" i="3" s="1"/>
  <c r="I256" i="3" s="1"/>
  <c r="I257" i="3" s="1"/>
  <c r="I258" i="3" s="1"/>
  <c r="I259" i="3" s="1"/>
  <c r="I260" i="3" s="1"/>
  <c r="I261" i="3" s="1"/>
  <c r="I262" i="3" s="1"/>
  <c r="I263" i="3" s="1"/>
  <c r="I264" i="3" s="1"/>
  <c r="I265" i="3" s="1"/>
  <c r="I266" i="3" s="1"/>
  <c r="I267" i="3" s="1"/>
  <c r="I268" i="3" s="1"/>
  <c r="I269" i="3" s="1"/>
  <c r="I270" i="3" s="1"/>
  <c r="I271" i="3" s="1"/>
  <c r="I272" i="3" s="1"/>
  <c r="I273" i="3" s="1"/>
  <c r="I274" i="3" s="1"/>
  <c r="I275" i="3" s="1"/>
  <c r="I276" i="3" s="1"/>
  <c r="I277" i="3" s="1"/>
  <c r="I278" i="3" s="1"/>
  <c r="I279" i="3" s="1"/>
  <c r="I280" i="3" s="1"/>
  <c r="I281" i="3" s="1"/>
  <c r="I282" i="3" s="1"/>
  <c r="I283" i="3" s="1"/>
  <c r="I284" i="3" s="1"/>
  <c r="I285" i="3" s="1"/>
  <c r="I286" i="3" s="1"/>
  <c r="I287" i="3" s="1"/>
  <c r="I288" i="3" s="1"/>
  <c r="I289" i="3" s="1"/>
  <c r="I290" i="3" s="1"/>
  <c r="I291" i="3" s="1"/>
  <c r="I292" i="3" s="1"/>
  <c r="I293" i="3" s="1"/>
  <c r="I294" i="3" s="1"/>
  <c r="I295" i="3" s="1"/>
  <c r="I296" i="3" s="1"/>
  <c r="I297" i="3" s="1"/>
  <c r="I298" i="3" s="1"/>
  <c r="I299" i="3" s="1"/>
  <c r="I300" i="3" s="1"/>
  <c r="I301" i="3" s="1"/>
  <c r="I302" i="3" s="1"/>
  <c r="I303" i="3" s="1"/>
  <c r="I304" i="3" s="1"/>
  <c r="I305" i="3" s="1"/>
  <c r="I306" i="3" s="1"/>
  <c r="I307" i="3" s="1"/>
  <c r="I308" i="3" s="1"/>
  <c r="I309" i="3" s="1"/>
  <c r="I310" i="3" s="1"/>
  <c r="I311" i="3" s="1"/>
  <c r="I312" i="3" s="1"/>
  <c r="I313" i="3" s="1"/>
  <c r="I314" i="3" s="1"/>
  <c r="I315" i="3" s="1"/>
  <c r="I316" i="3" s="1"/>
  <c r="I317" i="3" s="1"/>
  <c r="I318" i="3" s="1"/>
  <c r="I319" i="3" s="1"/>
  <c r="I320" i="3" s="1"/>
  <c r="I321" i="3" s="1"/>
  <c r="I322" i="3" s="1"/>
  <c r="I323" i="3" s="1"/>
  <c r="I324" i="3" s="1"/>
  <c r="I325" i="3" s="1"/>
  <c r="I326" i="3" s="1"/>
  <c r="I327" i="3" s="1"/>
  <c r="I328" i="3" s="1"/>
  <c r="I329" i="3" s="1"/>
  <c r="I330" i="3" s="1"/>
  <c r="I331" i="3" s="1"/>
  <c r="I332" i="3" s="1"/>
  <c r="I333" i="3" s="1"/>
  <c r="I334" i="3" s="1"/>
  <c r="I335" i="3" s="1"/>
  <c r="I336" i="3" s="1"/>
  <c r="I337" i="3" s="1"/>
  <c r="I338" i="3" s="1"/>
  <c r="I339" i="3" s="1"/>
  <c r="I340" i="3" s="1"/>
  <c r="I341" i="3" s="1"/>
  <c r="I342" i="3" s="1"/>
  <c r="I343" i="3" s="1"/>
  <c r="I344" i="3" s="1"/>
  <c r="I345" i="3" s="1"/>
  <c r="I346" i="3" s="1"/>
  <c r="I347" i="3" s="1"/>
  <c r="I348" i="3" s="1"/>
  <c r="I349" i="3" s="1"/>
  <c r="I350" i="3" s="1"/>
  <c r="I351" i="3" s="1"/>
  <c r="I352" i="3" s="1"/>
  <c r="I353" i="3" s="1"/>
  <c r="I354" i="3" s="1"/>
  <c r="I355" i="3" s="1"/>
  <c r="I356" i="3" s="1"/>
  <c r="I357" i="3" s="1"/>
  <c r="I358" i="3" s="1"/>
  <c r="I359" i="3" s="1"/>
  <c r="I360" i="3" s="1"/>
  <c r="I361" i="3" s="1"/>
  <c r="I362" i="3" s="1"/>
  <c r="I363" i="3" s="1"/>
  <c r="I364" i="3" s="1"/>
  <c r="I365" i="3" s="1"/>
  <c r="I366" i="3" s="1"/>
  <c r="I367" i="3" s="1"/>
  <c r="I368" i="3" s="1"/>
  <c r="I369" i="3" s="1"/>
  <c r="I370" i="3" s="1"/>
  <c r="I371" i="3" s="1"/>
  <c r="I372" i="3" s="1"/>
  <c r="I373" i="3" s="1"/>
  <c r="I374" i="3" s="1"/>
  <c r="I375" i="3" s="1"/>
  <c r="I376" i="3" s="1"/>
  <c r="I377" i="3" s="1"/>
  <c r="I378" i="3" s="1"/>
  <c r="I379" i="3" s="1"/>
  <c r="I380" i="3" s="1"/>
  <c r="I381" i="3" s="1"/>
  <c r="I382" i="3" s="1"/>
  <c r="I383" i="3" s="1"/>
  <c r="I384" i="3" s="1"/>
  <c r="I385" i="3" s="1"/>
  <c r="I386" i="3" s="1"/>
  <c r="I387" i="3" s="1"/>
  <c r="I388" i="3" s="1"/>
  <c r="I389" i="3" s="1"/>
  <c r="I390" i="3" s="1"/>
  <c r="I391" i="3" s="1"/>
  <c r="I392" i="3" s="1"/>
  <c r="I393" i="3" s="1"/>
  <c r="I394" i="3" s="1"/>
  <c r="I395" i="3" s="1"/>
  <c r="I396" i="3" s="1"/>
  <c r="I397" i="3" s="1"/>
  <c r="I398" i="3" s="1"/>
  <c r="I399" i="3" s="1"/>
  <c r="I400" i="3" s="1"/>
  <c r="I401" i="3" s="1"/>
  <c r="I402" i="3" s="1"/>
  <c r="I403" i="3" s="1"/>
  <c r="I404" i="3" s="1"/>
  <c r="I405" i="3" s="1"/>
  <c r="I406" i="3" s="1"/>
  <c r="I407" i="3" s="1"/>
  <c r="I408" i="3" s="1"/>
  <c r="I409" i="3" s="1"/>
  <c r="I410" i="3" s="1"/>
  <c r="I411" i="3" s="1"/>
  <c r="I412" i="3" s="1"/>
  <c r="I413" i="3" s="1"/>
  <c r="I414" i="3" s="1"/>
  <c r="I415" i="3" s="1"/>
  <c r="I416" i="3" s="1"/>
  <c r="I417" i="3" s="1"/>
  <c r="I418" i="3" s="1"/>
  <c r="I419" i="3" s="1"/>
  <c r="I420" i="3" s="1"/>
  <c r="I421" i="3" s="1"/>
  <c r="I422" i="3" s="1"/>
  <c r="I423" i="3" s="1"/>
  <c r="I424" i="3" s="1"/>
  <c r="I425" i="3" s="1"/>
  <c r="I426" i="3" s="1"/>
  <c r="I427" i="3" s="1"/>
  <c r="I428" i="3" s="1"/>
  <c r="I429" i="3" s="1"/>
  <c r="I430" i="3" s="1"/>
  <c r="I431" i="3" s="1"/>
  <c r="I432" i="3" s="1"/>
  <c r="I433" i="3" s="1"/>
  <c r="I434" i="3" s="1"/>
  <c r="I435" i="3" s="1"/>
  <c r="I436" i="3" s="1"/>
  <c r="I437" i="3" s="1"/>
  <c r="I438" i="3" s="1"/>
  <c r="I439" i="3" s="1"/>
  <c r="I440" i="3" s="1"/>
  <c r="I441" i="3" s="1"/>
  <c r="I442" i="3" s="1"/>
  <c r="I443" i="3" s="1"/>
  <c r="I444" i="3" s="1"/>
  <c r="I445" i="3" s="1"/>
  <c r="I446" i="3" s="1"/>
  <c r="I447" i="3" s="1"/>
  <c r="I448" i="3" s="1"/>
  <c r="I449" i="3" s="1"/>
  <c r="I450" i="3" s="1"/>
  <c r="I451" i="3" s="1"/>
  <c r="I452" i="3" s="1"/>
  <c r="I453" i="3" s="1"/>
  <c r="I454" i="3" s="1"/>
  <c r="I455" i="3" s="1"/>
  <c r="I456" i="3" s="1"/>
  <c r="I457" i="3" s="1"/>
  <c r="I458" i="3" s="1"/>
  <c r="I459" i="3" s="1"/>
  <c r="I460" i="3" s="1"/>
  <c r="I461" i="3" s="1"/>
  <c r="I462" i="3" s="1"/>
  <c r="I463" i="3" s="1"/>
  <c r="I464" i="3" s="1"/>
  <c r="I465" i="3" s="1"/>
  <c r="I466" i="3" s="1"/>
  <c r="I467" i="3" s="1"/>
  <c r="I468" i="3" s="1"/>
  <c r="I469" i="3" s="1"/>
  <c r="I470" i="3" s="1"/>
  <c r="I471" i="3" s="1"/>
  <c r="I472" i="3" s="1"/>
  <c r="I473" i="3" s="1"/>
  <c r="I474" i="3" s="1"/>
  <c r="I475" i="3" s="1"/>
  <c r="I476" i="3" s="1"/>
  <c r="I477" i="3" s="1"/>
  <c r="I478" i="3" s="1"/>
  <c r="I479" i="3" s="1"/>
  <c r="I480" i="3" s="1"/>
  <c r="I481" i="3" s="1"/>
  <c r="I482" i="3" s="1"/>
  <c r="I483" i="3" s="1"/>
  <c r="I484" i="3" s="1"/>
  <c r="I485" i="3" s="1"/>
  <c r="I486" i="3" s="1"/>
  <c r="I487" i="3" s="1"/>
  <c r="I488" i="3" s="1"/>
  <c r="I489" i="3" s="1"/>
  <c r="I490" i="3" s="1"/>
  <c r="I491" i="3" s="1"/>
  <c r="I492" i="3" s="1"/>
  <c r="I493" i="3" s="1"/>
  <c r="I494" i="3" s="1"/>
  <c r="I495" i="3" s="1"/>
  <c r="I496" i="3" s="1"/>
  <c r="I497" i="3" s="1"/>
  <c r="I498" i="3" s="1"/>
  <c r="I499" i="3" s="1"/>
  <c r="I500" i="3" s="1"/>
  <c r="I501" i="3" s="1"/>
  <c r="I502" i="3" s="1"/>
  <c r="I503" i="3" s="1"/>
  <c r="I504" i="3" s="1"/>
  <c r="I505" i="3" s="1"/>
  <c r="I506" i="3" s="1"/>
  <c r="I507" i="3" s="1"/>
  <c r="I508" i="3" s="1"/>
  <c r="I509" i="3" s="1"/>
  <c r="I510" i="3" s="1"/>
  <c r="I511" i="3" s="1"/>
  <c r="I512" i="3" s="1"/>
  <c r="I513" i="3" s="1"/>
  <c r="I514" i="3" s="1"/>
  <c r="I515" i="3" s="1"/>
  <c r="I516" i="3" s="1"/>
  <c r="I517" i="3" s="1"/>
  <c r="I518" i="3" s="1"/>
  <c r="I519" i="3" s="1"/>
  <c r="I520" i="3" s="1"/>
  <c r="I521" i="3" s="1"/>
  <c r="I522" i="3" s="1"/>
  <c r="I523" i="3" s="1"/>
  <c r="I524" i="3" s="1"/>
  <c r="I525" i="3" s="1"/>
  <c r="I526" i="3" s="1"/>
  <c r="I527" i="3" s="1"/>
  <c r="I528" i="3" s="1"/>
  <c r="I529" i="3" s="1"/>
  <c r="I530" i="3" s="1"/>
  <c r="I531" i="3" s="1"/>
  <c r="I532" i="3" s="1"/>
  <c r="I533" i="3" s="1"/>
  <c r="I534" i="3" s="1"/>
  <c r="I535" i="3" s="1"/>
  <c r="I536" i="3" s="1"/>
  <c r="I537" i="3" s="1"/>
  <c r="I538" i="3" s="1"/>
  <c r="I539" i="3" s="1"/>
  <c r="I540" i="3" s="1"/>
  <c r="I541" i="3" s="1"/>
  <c r="I542" i="3" s="1"/>
  <c r="I543" i="3" s="1"/>
  <c r="I544" i="3" s="1"/>
  <c r="I545" i="3" s="1"/>
  <c r="I546" i="3" s="1"/>
  <c r="I547" i="3" s="1"/>
  <c r="I548" i="3" s="1"/>
  <c r="I549" i="3" s="1"/>
  <c r="I550" i="3" s="1"/>
  <c r="I551" i="3" s="1"/>
  <c r="I552" i="3" s="1"/>
  <c r="I553" i="3" s="1"/>
  <c r="I554" i="3" s="1"/>
  <c r="I555" i="3" s="1"/>
  <c r="I556" i="3" s="1"/>
  <c r="I557" i="3" s="1"/>
  <c r="I558" i="3" s="1"/>
  <c r="I559" i="3" s="1"/>
  <c r="I560" i="3" s="1"/>
  <c r="I561" i="3" s="1"/>
  <c r="I562" i="3" s="1"/>
  <c r="I563" i="3" s="1"/>
  <c r="I564" i="3" s="1"/>
  <c r="I565" i="3" s="1"/>
  <c r="I566" i="3" s="1"/>
  <c r="I567" i="3" s="1"/>
  <c r="I568" i="3" s="1"/>
  <c r="I569" i="3" s="1"/>
  <c r="I570" i="3" s="1"/>
  <c r="I571" i="3" s="1"/>
  <c r="I572" i="3" s="1"/>
  <c r="I573" i="3" s="1"/>
  <c r="I574" i="3" s="1"/>
  <c r="I575" i="3" s="1"/>
  <c r="I576" i="3" s="1"/>
  <c r="I577" i="3" s="1"/>
  <c r="I578" i="3" s="1"/>
  <c r="I579" i="3" s="1"/>
  <c r="I580" i="3" s="1"/>
  <c r="I581" i="3" s="1"/>
  <c r="I582" i="3" s="1"/>
  <c r="I583" i="3" s="1"/>
  <c r="I584" i="3" s="1"/>
  <c r="I585" i="3" s="1"/>
  <c r="I586" i="3" s="1"/>
  <c r="I587" i="3" s="1"/>
  <c r="I588" i="3" s="1"/>
  <c r="I589" i="3" s="1"/>
  <c r="I590" i="3" s="1"/>
  <c r="I591" i="3" s="1"/>
  <c r="I592" i="3" s="1"/>
  <c r="I593" i="3" s="1"/>
  <c r="I594" i="3" s="1"/>
  <c r="I595" i="3" s="1"/>
  <c r="I596" i="3" s="1"/>
  <c r="I597" i="3" s="1"/>
  <c r="I598" i="3" s="1"/>
  <c r="I599" i="3" s="1"/>
  <c r="I600" i="3" s="1"/>
  <c r="I601" i="3" s="1"/>
  <c r="I602" i="3" s="1"/>
  <c r="I603" i="3" s="1"/>
  <c r="I604" i="3" s="1"/>
  <c r="I605" i="3" s="1"/>
  <c r="I606" i="3" s="1"/>
  <c r="I607" i="3" s="1"/>
  <c r="I608" i="3" s="1"/>
  <c r="I609" i="3" s="1"/>
  <c r="I610" i="3" s="1"/>
  <c r="I611" i="3" s="1"/>
  <c r="I612" i="3" s="1"/>
  <c r="I613" i="3" s="1"/>
  <c r="I614" i="3" s="1"/>
  <c r="I615" i="3" s="1"/>
  <c r="I616" i="3" s="1"/>
  <c r="I617" i="3" s="1"/>
  <c r="I618" i="3" s="1"/>
  <c r="I619" i="3" s="1"/>
  <c r="I620" i="3" s="1"/>
  <c r="I621" i="3" s="1"/>
  <c r="I622" i="3" s="1"/>
  <c r="I623" i="3" s="1"/>
  <c r="I624" i="3" s="1"/>
  <c r="I625" i="3" s="1"/>
  <c r="I626" i="3" s="1"/>
  <c r="I627" i="3" s="1"/>
  <c r="I628" i="3" s="1"/>
  <c r="I629" i="3" s="1"/>
  <c r="I630" i="3" s="1"/>
  <c r="I631" i="3" s="1"/>
  <c r="I632" i="3" s="1"/>
  <c r="I633" i="3" s="1"/>
  <c r="I634" i="3" s="1"/>
  <c r="I635" i="3" s="1"/>
  <c r="I636" i="3" s="1"/>
  <c r="I637" i="3" s="1"/>
  <c r="I638" i="3" s="1"/>
  <c r="I639" i="3" s="1"/>
  <c r="I640" i="3" s="1"/>
  <c r="I641" i="3" s="1"/>
  <c r="I642" i="3" s="1"/>
  <c r="I643" i="3" s="1"/>
  <c r="I644" i="3" s="1"/>
  <c r="I645" i="3" s="1"/>
  <c r="I646" i="3" s="1"/>
  <c r="I647" i="3" s="1"/>
  <c r="I648" i="3" s="1"/>
  <c r="I649" i="3" s="1"/>
  <c r="I650" i="3" s="1"/>
  <c r="I651" i="3" s="1"/>
  <c r="I652" i="3" s="1"/>
  <c r="I653" i="3" s="1"/>
  <c r="I654" i="3" s="1"/>
  <c r="I655" i="3" s="1"/>
  <c r="I656" i="3" s="1"/>
  <c r="I657" i="3" s="1"/>
  <c r="I658" i="3" s="1"/>
  <c r="I659" i="3" s="1"/>
  <c r="I660" i="3" s="1"/>
  <c r="I661" i="3" s="1"/>
  <c r="I662" i="3" s="1"/>
  <c r="I663" i="3" s="1"/>
  <c r="I664" i="3" s="1"/>
  <c r="I665" i="3" s="1"/>
  <c r="I666" i="3" s="1"/>
  <c r="I667" i="3" s="1"/>
  <c r="I668" i="3" s="1"/>
  <c r="I669" i="3" s="1"/>
  <c r="I670" i="3" s="1"/>
  <c r="I671" i="3" s="1"/>
  <c r="I672" i="3" s="1"/>
  <c r="I673" i="3" s="1"/>
  <c r="I674" i="3" s="1"/>
  <c r="I675" i="3" s="1"/>
  <c r="I676" i="3" s="1"/>
  <c r="I677" i="3" s="1"/>
  <c r="I678" i="3" s="1"/>
  <c r="I679" i="3" s="1"/>
  <c r="I680" i="3" s="1"/>
  <c r="I681" i="3" s="1"/>
  <c r="I682" i="3" s="1"/>
  <c r="I683" i="3" s="1"/>
  <c r="I684" i="3" s="1"/>
  <c r="I685" i="3" s="1"/>
  <c r="I686" i="3" s="1"/>
  <c r="I687" i="3" s="1"/>
  <c r="I688" i="3" s="1"/>
  <c r="I689" i="3" s="1"/>
  <c r="I690" i="3" s="1"/>
  <c r="I691" i="3" s="1"/>
  <c r="I692" i="3" s="1"/>
  <c r="I693" i="3" s="1"/>
  <c r="I694" i="3" s="1"/>
  <c r="I695" i="3" s="1"/>
  <c r="I696" i="3" s="1"/>
  <c r="I697" i="3" s="1"/>
  <c r="I698" i="3" s="1"/>
  <c r="I699" i="3" s="1"/>
  <c r="I700" i="3" s="1"/>
  <c r="I701" i="3" s="1"/>
  <c r="I702" i="3" s="1"/>
  <c r="I703" i="3" s="1"/>
  <c r="I704" i="3" s="1"/>
  <c r="I705" i="3" s="1"/>
  <c r="I706" i="3" s="1"/>
  <c r="I707" i="3" s="1"/>
  <c r="I708" i="3" s="1"/>
  <c r="I709" i="3" s="1"/>
  <c r="I710" i="3" s="1"/>
  <c r="I711" i="3" s="1"/>
  <c r="I712" i="3" s="1"/>
  <c r="I713" i="3" s="1"/>
  <c r="I714" i="3" s="1"/>
  <c r="I715" i="3" s="1"/>
  <c r="I716" i="3" s="1"/>
  <c r="I717" i="3" s="1"/>
  <c r="I718" i="3" s="1"/>
  <c r="I719" i="3" s="1"/>
  <c r="I720" i="3" s="1"/>
  <c r="I721" i="3" s="1"/>
  <c r="I722" i="3" s="1"/>
  <c r="I723" i="3" s="1"/>
  <c r="I724" i="3" s="1"/>
  <c r="I725" i="3" s="1"/>
  <c r="I726" i="3" s="1"/>
  <c r="I727" i="3" s="1"/>
  <c r="I728" i="3" s="1"/>
  <c r="I729" i="3" s="1"/>
  <c r="I730" i="3" s="1"/>
  <c r="I731" i="3" s="1"/>
  <c r="I732" i="3" s="1"/>
  <c r="I733" i="3" s="1"/>
  <c r="I734" i="3" s="1"/>
  <c r="I735" i="3" s="1"/>
  <c r="I736" i="3" s="1"/>
  <c r="I737" i="3" s="1"/>
  <c r="I738" i="3" s="1"/>
  <c r="I739" i="3" s="1"/>
  <c r="I740" i="3" s="1"/>
  <c r="I741" i="3" s="1"/>
  <c r="I742" i="3" s="1"/>
  <c r="I743" i="3" s="1"/>
  <c r="I744" i="3" s="1"/>
  <c r="I745" i="3" s="1"/>
  <c r="I746" i="3" s="1"/>
  <c r="I747" i="3" s="1"/>
  <c r="I748" i="3" s="1"/>
  <c r="I749" i="3" s="1"/>
  <c r="I750" i="3" s="1"/>
  <c r="I751" i="3" s="1"/>
  <c r="I752" i="3" s="1"/>
  <c r="I753" i="3" s="1"/>
  <c r="I754" i="3" s="1"/>
  <c r="I755" i="3" s="1"/>
  <c r="I756" i="3" s="1"/>
  <c r="I757" i="3" s="1"/>
  <c r="I758" i="3" s="1"/>
  <c r="I759" i="3" s="1"/>
  <c r="I760" i="3" s="1"/>
  <c r="I761" i="3" s="1"/>
  <c r="I762" i="3" s="1"/>
  <c r="I763" i="3" s="1"/>
  <c r="I764" i="3" s="1"/>
  <c r="I765" i="3" s="1"/>
  <c r="I766" i="3" s="1"/>
  <c r="I767" i="3" s="1"/>
  <c r="I768" i="3" s="1"/>
  <c r="I769" i="3" s="1"/>
  <c r="I770" i="3" s="1"/>
  <c r="I771" i="3" s="1"/>
  <c r="I772" i="3" s="1"/>
  <c r="I773" i="3" s="1"/>
  <c r="I774" i="3" s="1"/>
  <c r="I775" i="3" s="1"/>
  <c r="I776" i="3" s="1"/>
  <c r="I777" i="3" s="1"/>
  <c r="I778" i="3" s="1"/>
  <c r="I779" i="3" s="1"/>
  <c r="I780" i="3" s="1"/>
  <c r="I781" i="3" s="1"/>
  <c r="I782" i="3" s="1"/>
  <c r="I783" i="3" s="1"/>
  <c r="I784" i="3" s="1"/>
  <c r="I785" i="3" s="1"/>
  <c r="I786" i="3" s="1"/>
  <c r="I787" i="3" s="1"/>
  <c r="I788" i="3" s="1"/>
  <c r="I789" i="3" s="1"/>
  <c r="I790" i="3" s="1"/>
  <c r="I791" i="3" s="1"/>
  <c r="I792" i="3" s="1"/>
  <c r="I793" i="3" s="1"/>
  <c r="I794" i="3" s="1"/>
  <c r="I795" i="3" s="1"/>
  <c r="I796" i="3" s="1"/>
  <c r="I797" i="3" s="1"/>
  <c r="I798" i="3" s="1"/>
  <c r="I799" i="3" s="1"/>
  <c r="I800" i="3" s="1"/>
  <c r="I801" i="3" s="1"/>
  <c r="I802" i="3" s="1"/>
  <c r="I803" i="3" s="1"/>
  <c r="I804" i="3" s="1"/>
  <c r="I805" i="3" s="1"/>
  <c r="I806" i="3" s="1"/>
  <c r="I807" i="3" s="1"/>
  <c r="I808" i="3" s="1"/>
  <c r="I809" i="3" s="1"/>
  <c r="I810" i="3" s="1"/>
  <c r="I811" i="3" s="1"/>
  <c r="I812" i="3" s="1"/>
  <c r="I813" i="3" s="1"/>
  <c r="I814" i="3" s="1"/>
  <c r="I815" i="3" s="1"/>
  <c r="I816" i="3" s="1"/>
  <c r="I817" i="3" s="1"/>
  <c r="I818" i="3" s="1"/>
  <c r="I819" i="3" s="1"/>
  <c r="I820" i="3" s="1"/>
  <c r="I821" i="3" s="1"/>
  <c r="I822" i="3" s="1"/>
  <c r="I823" i="3" s="1"/>
  <c r="I824" i="3" s="1"/>
  <c r="I825" i="3" s="1"/>
  <c r="I826" i="3" s="1"/>
  <c r="I827" i="3" s="1"/>
  <c r="I828" i="3" s="1"/>
  <c r="I829" i="3" s="1"/>
  <c r="I830" i="3" s="1"/>
  <c r="I831" i="3" s="1"/>
  <c r="I832" i="3" s="1"/>
  <c r="I833" i="3" s="1"/>
  <c r="I834" i="3" s="1"/>
  <c r="I835" i="3" s="1"/>
  <c r="I836" i="3" s="1"/>
  <c r="I837" i="3" s="1"/>
  <c r="I838" i="3" s="1"/>
  <c r="I839" i="3" s="1"/>
  <c r="I840" i="3" s="1"/>
  <c r="I841" i="3" s="1"/>
  <c r="I842" i="3" s="1"/>
  <c r="I843" i="3" s="1"/>
  <c r="I844" i="3" s="1"/>
  <c r="I845" i="3" s="1"/>
  <c r="I846" i="3" s="1"/>
  <c r="I847" i="3" s="1"/>
  <c r="I848" i="3" s="1"/>
  <c r="I849" i="3" s="1"/>
  <c r="I850" i="3" s="1"/>
  <c r="I851" i="3" s="1"/>
  <c r="I852" i="3" s="1"/>
  <c r="I853" i="3" s="1"/>
  <c r="I854" i="3" s="1"/>
  <c r="I855" i="3" s="1"/>
  <c r="I856" i="3" s="1"/>
  <c r="I857" i="3" s="1"/>
  <c r="I858" i="3" s="1"/>
  <c r="I859" i="3" s="1"/>
  <c r="I860" i="3" s="1"/>
  <c r="I861" i="3" s="1"/>
  <c r="I862" i="3" s="1"/>
  <c r="I863" i="3" s="1"/>
  <c r="I864" i="3" s="1"/>
  <c r="I865" i="3" s="1"/>
  <c r="I866" i="3" s="1"/>
  <c r="I867" i="3" s="1"/>
  <c r="I868" i="3" s="1"/>
  <c r="I869" i="3" s="1"/>
  <c r="I870" i="3" s="1"/>
  <c r="I871" i="3" s="1"/>
  <c r="I872" i="3" s="1"/>
  <c r="I873" i="3" s="1"/>
  <c r="I874" i="3" s="1"/>
  <c r="I875" i="3" s="1"/>
  <c r="I876" i="3" s="1"/>
  <c r="I877" i="3" s="1"/>
  <c r="I878" i="3" s="1"/>
  <c r="I879" i="3" s="1"/>
  <c r="I880" i="3" s="1"/>
  <c r="I881" i="3" s="1"/>
  <c r="I882" i="3" s="1"/>
  <c r="I883" i="3" s="1"/>
  <c r="I884" i="3" s="1"/>
  <c r="I885" i="3" s="1"/>
  <c r="I886" i="3" s="1"/>
  <c r="I887" i="3" s="1"/>
  <c r="I888" i="3" s="1"/>
  <c r="I889" i="3" s="1"/>
  <c r="I890" i="3" s="1"/>
  <c r="I891" i="3" s="1"/>
  <c r="I892" i="3" s="1"/>
  <c r="I893" i="3" s="1"/>
  <c r="I894" i="3" s="1"/>
  <c r="I895" i="3" s="1"/>
  <c r="I896" i="3" s="1"/>
  <c r="I897" i="3" s="1"/>
  <c r="I898" i="3" s="1"/>
  <c r="I899" i="3" s="1"/>
  <c r="I900" i="3" s="1"/>
  <c r="I901" i="3" s="1"/>
  <c r="I902" i="3" s="1"/>
  <c r="I903" i="3" s="1"/>
  <c r="I904" i="3" s="1"/>
  <c r="I905" i="3" s="1"/>
  <c r="I906" i="3" s="1"/>
  <c r="I907" i="3" s="1"/>
  <c r="I908" i="3" s="1"/>
  <c r="I909" i="3" s="1"/>
  <c r="I910" i="3" s="1"/>
  <c r="I911" i="3" s="1"/>
  <c r="I912" i="3" s="1"/>
  <c r="I913" i="3" s="1"/>
  <c r="I914" i="3" s="1"/>
  <c r="I915" i="3" s="1"/>
  <c r="I916" i="3" s="1"/>
  <c r="I917" i="3" s="1"/>
  <c r="I918" i="3" s="1"/>
  <c r="I919" i="3" s="1"/>
  <c r="I920" i="3" s="1"/>
  <c r="I921" i="3" s="1"/>
  <c r="I922" i="3" s="1"/>
  <c r="I923" i="3" s="1"/>
  <c r="I924" i="3" s="1"/>
  <c r="I925" i="3" s="1"/>
  <c r="I926" i="3" s="1"/>
  <c r="I927" i="3" s="1"/>
  <c r="I928" i="3" s="1"/>
  <c r="I929" i="3" s="1"/>
  <c r="I930" i="3" s="1"/>
  <c r="I931" i="3" s="1"/>
  <c r="I932" i="3" s="1"/>
  <c r="I933" i="3" s="1"/>
  <c r="I934" i="3" s="1"/>
  <c r="I935" i="3" s="1"/>
  <c r="I936" i="3" s="1"/>
  <c r="I937" i="3" s="1"/>
  <c r="I938" i="3" s="1"/>
  <c r="I939" i="3" s="1"/>
  <c r="I940" i="3" s="1"/>
  <c r="I941" i="3" s="1"/>
  <c r="I942" i="3" s="1"/>
  <c r="I943" i="3" s="1"/>
  <c r="I944" i="3" s="1"/>
  <c r="I945" i="3" s="1"/>
  <c r="I946" i="3" s="1"/>
  <c r="I947" i="3" s="1"/>
  <c r="I948" i="3" s="1"/>
  <c r="I949" i="3" s="1"/>
  <c r="I950" i="3" s="1"/>
  <c r="I951" i="3" s="1"/>
  <c r="I952" i="3" s="1"/>
  <c r="I953" i="3" s="1"/>
  <c r="I954" i="3" s="1"/>
  <c r="I955" i="3" s="1"/>
  <c r="I956" i="3" s="1"/>
  <c r="I957" i="3" s="1"/>
  <c r="I958" i="3" s="1"/>
  <c r="I959" i="3" s="1"/>
  <c r="I960" i="3" s="1"/>
  <c r="I961" i="3" s="1"/>
  <c r="I962" i="3" s="1"/>
  <c r="I963" i="3" s="1"/>
  <c r="I964" i="3" s="1"/>
  <c r="I965" i="3" s="1"/>
  <c r="I966" i="3" s="1"/>
  <c r="I967" i="3" s="1"/>
  <c r="I968" i="3" s="1"/>
  <c r="I969" i="3" s="1"/>
  <c r="I970" i="3" s="1"/>
  <c r="I971" i="3" s="1"/>
  <c r="I972" i="3" s="1"/>
  <c r="I973" i="3" s="1"/>
  <c r="I974" i="3" s="1"/>
  <c r="I975" i="3" s="1"/>
  <c r="I976" i="3" s="1"/>
  <c r="I977" i="3" s="1"/>
  <c r="I978" i="3" s="1"/>
  <c r="I979" i="3" s="1"/>
  <c r="I980" i="3" s="1"/>
  <c r="I981" i="3" s="1"/>
  <c r="I982" i="3" s="1"/>
  <c r="I983" i="3" s="1"/>
  <c r="I984" i="3" s="1"/>
  <c r="I985" i="3" s="1"/>
  <c r="I986" i="3" s="1"/>
  <c r="I987" i="3" s="1"/>
  <c r="I988" i="3" s="1"/>
  <c r="I989" i="3" s="1"/>
  <c r="I990" i="3" s="1"/>
  <c r="I991" i="3" s="1"/>
  <c r="I992" i="3" s="1"/>
  <c r="I993" i="3" s="1"/>
  <c r="I994" i="3" s="1"/>
  <c r="I995" i="3" s="1"/>
  <c r="I996" i="3" s="1"/>
  <c r="I997" i="3" s="1"/>
  <c r="I998" i="3" s="1"/>
  <c r="I999" i="3" s="1"/>
  <c r="I1000" i="3" s="1"/>
  <c r="I1001" i="3" s="1"/>
  <c r="I1002" i="3" s="1"/>
  <c r="I1003" i="3" s="1"/>
  <c r="I1004" i="3" s="1"/>
  <c r="I1005" i="3" s="1"/>
  <c r="D11" i="3"/>
  <c r="D43" i="3"/>
  <c r="D51" i="3"/>
  <c r="D55" i="3"/>
  <c r="D59" i="3"/>
  <c r="D63" i="3"/>
  <c r="D67" i="3"/>
  <c r="D71" i="3"/>
  <c r="D75" i="3"/>
  <c r="D79" i="3"/>
  <c r="D83" i="3"/>
  <c r="D87" i="3"/>
  <c r="D91" i="3"/>
  <c r="D95" i="3"/>
  <c r="D99" i="3"/>
  <c r="D104" i="3"/>
  <c r="D107" i="3"/>
  <c r="D112" i="3"/>
  <c r="D115" i="3"/>
  <c r="D120" i="3"/>
  <c r="D16" i="3"/>
  <c r="D32" i="3"/>
  <c r="D39" i="3"/>
  <c r="D47" i="3"/>
  <c r="D126" i="3"/>
  <c r="D24" i="3"/>
  <c r="D36" i="3"/>
  <c r="D100" i="3"/>
  <c r="D103" i="3"/>
  <c r="D108" i="3"/>
  <c r="D111" i="3"/>
  <c r="D116" i="3"/>
  <c r="D119" i="3"/>
  <c r="D146" i="3"/>
  <c r="D150" i="3"/>
  <c r="D130" i="3"/>
  <c r="D154" i="3"/>
  <c r="D162" i="3"/>
  <c r="D175" i="3"/>
  <c r="D182" i="3"/>
  <c r="D184" i="3"/>
  <c r="D191" i="3"/>
  <c r="D198" i="3"/>
  <c r="D200" i="3"/>
  <c r="D207" i="3"/>
  <c r="D215" i="3"/>
  <c r="D222" i="3"/>
  <c r="D224" i="3"/>
  <c r="D230" i="3"/>
  <c r="D239" i="3"/>
  <c r="D246" i="3"/>
  <c r="D255" i="3"/>
  <c r="D262" i="3"/>
  <c r="D271" i="3"/>
  <c r="D131" i="3"/>
  <c r="D153" i="3"/>
  <c r="D158" i="3"/>
  <c r="D159" i="3"/>
  <c r="D161" i="3"/>
  <c r="D166" i="3"/>
  <c r="D167" i="3"/>
  <c r="D179" i="3"/>
  <c r="D186" i="3"/>
  <c r="D188" i="3"/>
  <c r="D194" i="3"/>
  <c r="D202" i="3"/>
  <c r="D204" i="3"/>
  <c r="D210" i="3"/>
  <c r="D212" i="3"/>
  <c r="D219" i="3"/>
  <c r="D226" i="3"/>
  <c r="D235" i="3"/>
  <c r="D242" i="3"/>
  <c r="D251" i="3"/>
  <c r="D258" i="3"/>
  <c r="D267" i="3"/>
  <c r="D274" i="3"/>
  <c r="D283" i="3"/>
  <c r="D287" i="3"/>
  <c r="D299" i="3"/>
  <c r="D303" i="3"/>
  <c r="D127" i="3"/>
  <c r="D139" i="3"/>
  <c r="D151" i="3"/>
  <c r="D157" i="3"/>
  <c r="D165" i="3"/>
  <c r="D170" i="3"/>
  <c r="D174" i="3"/>
  <c r="D176" i="3"/>
  <c r="D183" i="3"/>
  <c r="D190" i="3"/>
  <c r="D199" i="3"/>
  <c r="D206" i="3"/>
  <c r="D214" i="3"/>
  <c r="D216" i="3"/>
  <c r="D223" i="3"/>
  <c r="D231" i="3"/>
  <c r="D238" i="3"/>
  <c r="D247" i="3"/>
  <c r="D254" i="3"/>
  <c r="D263" i="3"/>
  <c r="D270" i="3"/>
  <c r="D311" i="3"/>
  <c r="D134" i="3"/>
  <c r="D142" i="3"/>
  <c r="D169" i="3"/>
  <c r="D178" i="3"/>
  <c r="D180" i="3"/>
  <c r="D187" i="3"/>
  <c r="D195" i="3"/>
  <c r="D203" i="3"/>
  <c r="D211" i="3"/>
  <c r="D218" i="3"/>
  <c r="D220" i="3"/>
  <c r="D227" i="3"/>
  <c r="D234" i="3"/>
  <c r="D243" i="3"/>
  <c r="D250" i="3"/>
  <c r="D259" i="3"/>
  <c r="D266" i="3"/>
  <c r="D291" i="3"/>
  <c r="D307" i="3"/>
  <c r="D315" i="3"/>
  <c r="D323" i="3"/>
  <c r="D326" i="3"/>
  <c r="D339" i="3"/>
  <c r="D342" i="3"/>
  <c r="D355" i="3"/>
  <c r="D358" i="3"/>
  <c r="D371" i="3"/>
  <c r="D374" i="3"/>
  <c r="D387" i="3"/>
  <c r="D396" i="3"/>
  <c r="D403" i="3"/>
  <c r="D405" i="3"/>
  <c r="D412" i="3"/>
  <c r="D419" i="3"/>
  <c r="D421" i="3"/>
  <c r="D428" i="3"/>
  <c r="D435" i="3"/>
  <c r="D437" i="3"/>
  <c r="D275" i="3"/>
  <c r="D292" i="3"/>
  <c r="D308" i="3"/>
  <c r="D316" i="3"/>
  <c r="D319" i="3"/>
  <c r="D320" i="3"/>
  <c r="D322" i="3"/>
  <c r="D335" i="3"/>
  <c r="D336" i="3"/>
  <c r="D338" i="3"/>
  <c r="D351" i="3"/>
  <c r="D352" i="3"/>
  <c r="D354" i="3"/>
  <c r="D367" i="3"/>
  <c r="D368" i="3"/>
  <c r="D370" i="3"/>
  <c r="D383" i="3"/>
  <c r="D384" i="3"/>
  <c r="D386" i="3"/>
  <c r="D391" i="3"/>
  <c r="D393" i="3"/>
  <c r="D400" i="3"/>
  <c r="D407" i="3"/>
  <c r="D409" i="3"/>
  <c r="D416" i="3"/>
  <c r="D423" i="3"/>
  <c r="D425" i="3"/>
  <c r="D432" i="3"/>
  <c r="D288" i="3"/>
  <c r="D304" i="3"/>
  <c r="D331" i="3"/>
  <c r="D332" i="3"/>
  <c r="D334" i="3"/>
  <c r="D347" i="3"/>
  <c r="D348" i="3"/>
  <c r="D350" i="3"/>
  <c r="D363" i="3"/>
  <c r="D364" i="3"/>
  <c r="D366" i="3"/>
  <c r="D379" i="3"/>
  <c r="D380" i="3"/>
  <c r="D382" i="3"/>
  <c r="D395" i="3"/>
  <c r="D397" i="3"/>
  <c r="D404" i="3"/>
  <c r="D411" i="3"/>
  <c r="D413" i="3"/>
  <c r="D420" i="3"/>
  <c r="D427" i="3"/>
  <c r="D429" i="3"/>
  <c r="D436" i="3"/>
  <c r="D279" i="3"/>
  <c r="D295" i="3"/>
  <c r="D327" i="3"/>
  <c r="D330" i="3"/>
  <c r="D343" i="3"/>
  <c r="D346" i="3"/>
  <c r="D359" i="3"/>
  <c r="D362" i="3"/>
  <c r="D375" i="3"/>
  <c r="D376" i="3"/>
  <c r="D378" i="3"/>
  <c r="D392" i="3"/>
  <c r="D399" i="3"/>
  <c r="D401" i="3"/>
  <c r="D408" i="3"/>
  <c r="D415" i="3"/>
  <c r="D417" i="3"/>
  <c r="D424" i="3"/>
  <c r="D431" i="3"/>
  <c r="D433" i="3"/>
  <c r="D390" i="3"/>
  <c r="D394" i="3"/>
  <c r="D398" i="3"/>
  <c r="D402" i="3"/>
  <c r="D406" i="3"/>
  <c r="D410" i="3"/>
  <c r="D414" i="3"/>
  <c r="D418" i="3"/>
  <c r="D422" i="3"/>
  <c r="D426" i="3"/>
  <c r="D430" i="3"/>
  <c r="D434" i="3"/>
  <c r="D439" i="3"/>
  <c r="D442" i="3"/>
  <c r="D600" i="3"/>
  <c r="D612" i="3"/>
  <c r="D621" i="3"/>
  <c r="D625" i="3"/>
  <c r="D641" i="3"/>
  <c r="D649" i="3"/>
  <c r="D438" i="3"/>
  <c r="D598" i="3"/>
  <c r="D605" i="3"/>
  <c r="D623" i="3"/>
  <c r="D638" i="3"/>
  <c r="D653" i="3"/>
  <c r="D447" i="3"/>
  <c r="D451" i="3"/>
  <c r="D455" i="3"/>
  <c r="D459" i="3"/>
  <c r="D463" i="3"/>
  <c r="D467" i="3"/>
  <c r="D471" i="3"/>
  <c r="D475" i="3"/>
  <c r="D479" i="3"/>
  <c r="D483" i="3"/>
  <c r="D487" i="3"/>
  <c r="D491" i="3"/>
  <c r="D495" i="3"/>
  <c r="D499" i="3"/>
  <c r="D503" i="3"/>
  <c r="D507" i="3"/>
  <c r="D511" i="3"/>
  <c r="D515" i="3"/>
  <c r="D519" i="3"/>
  <c r="D523" i="3"/>
  <c r="D527" i="3"/>
  <c r="D531" i="3"/>
  <c r="D535" i="3"/>
  <c r="D539" i="3"/>
  <c r="D543" i="3"/>
  <c r="D547" i="3"/>
  <c r="D551" i="3"/>
  <c r="D555" i="3"/>
  <c r="D559" i="3"/>
  <c r="D563" i="3"/>
  <c r="D567" i="3"/>
  <c r="D571" i="3"/>
  <c r="D575" i="3"/>
  <c r="D579" i="3"/>
  <c r="D583" i="3"/>
  <c r="D587" i="3"/>
  <c r="D592" i="3"/>
  <c r="D609" i="3"/>
  <c r="D617" i="3"/>
  <c r="D629" i="3"/>
  <c r="D633" i="3"/>
  <c r="D644" i="3"/>
  <c r="D443" i="3"/>
  <c r="D444" i="3"/>
  <c r="D446" i="3"/>
  <c r="D450" i="3"/>
  <c r="D454" i="3"/>
  <c r="D458" i="3"/>
  <c r="D462" i="3"/>
  <c r="D466" i="3"/>
  <c r="D470" i="3"/>
  <c r="D474" i="3"/>
  <c r="D478" i="3"/>
  <c r="D482" i="3"/>
  <c r="D486" i="3"/>
  <c r="D490" i="3"/>
  <c r="D494" i="3"/>
  <c r="D498" i="3"/>
  <c r="D502" i="3"/>
  <c r="D506" i="3"/>
  <c r="D510" i="3"/>
  <c r="D514" i="3"/>
  <c r="D518" i="3"/>
  <c r="D522" i="3"/>
  <c r="D526" i="3"/>
  <c r="D530" i="3"/>
  <c r="D534" i="3"/>
  <c r="D538" i="3"/>
  <c r="D542" i="3"/>
  <c r="D546" i="3"/>
  <c r="D550" i="3"/>
  <c r="D554" i="3"/>
  <c r="D558" i="3"/>
  <c r="D562" i="3"/>
  <c r="D566" i="3"/>
  <c r="D570" i="3"/>
  <c r="D574" i="3"/>
  <c r="D578" i="3"/>
  <c r="D582" i="3"/>
  <c r="D586" i="3"/>
  <c r="D597" i="3"/>
  <c r="D606" i="3"/>
  <c r="D631" i="3"/>
  <c r="D637" i="3"/>
  <c r="D654" i="3"/>
  <c r="D593" i="3"/>
  <c r="D601" i="3"/>
  <c r="D613" i="3"/>
  <c r="D645" i="3"/>
  <c r="D662" i="3"/>
  <c r="D666" i="3"/>
  <c r="D670" i="3"/>
  <c r="D674" i="3"/>
  <c r="D678" i="3"/>
  <c r="D682" i="3"/>
  <c r="D686" i="3"/>
  <c r="D690" i="3"/>
  <c r="D694" i="3"/>
  <c r="D698" i="3"/>
  <c r="D702" i="3"/>
  <c r="D706" i="3"/>
  <c r="D710" i="3"/>
  <c r="D714" i="3"/>
  <c r="D718" i="3"/>
  <c r="D751" i="3"/>
  <c r="D594" i="3"/>
  <c r="D602" i="3"/>
  <c r="D614" i="3"/>
  <c r="D646" i="3"/>
  <c r="D659" i="3"/>
  <c r="D736" i="3"/>
  <c r="D768" i="3"/>
  <c r="D731" i="3"/>
  <c r="D742" i="3"/>
  <c r="D755" i="3"/>
  <c r="D763" i="3"/>
  <c r="D784" i="3"/>
  <c r="D724" i="3"/>
  <c r="D725" i="3"/>
  <c r="D726" i="3"/>
  <c r="D727" i="3"/>
  <c r="D735" i="3"/>
  <c r="D752" i="3"/>
  <c r="D767" i="3"/>
  <c r="D964" i="3"/>
  <c r="D663" i="3"/>
  <c r="D667" i="3"/>
  <c r="D671" i="3"/>
  <c r="D675" i="3"/>
  <c r="D679" i="3"/>
  <c r="D683" i="3"/>
  <c r="D687" i="3"/>
  <c r="D691" i="3"/>
  <c r="D695" i="3"/>
  <c r="D699" i="3"/>
  <c r="D703" i="3"/>
  <c r="D707" i="3"/>
  <c r="D711" i="3"/>
  <c r="D715" i="3"/>
  <c r="D719" i="3"/>
  <c r="D739" i="3"/>
  <c r="D747" i="3"/>
  <c r="D758" i="3"/>
  <c r="D771" i="3"/>
  <c r="D779" i="3"/>
  <c r="D806" i="3"/>
  <c r="D743" i="3"/>
  <c r="D759" i="3"/>
  <c r="D776" i="3"/>
  <c r="D787" i="3"/>
  <c r="D792" i="3"/>
  <c r="D810" i="3"/>
  <c r="D814" i="3"/>
  <c r="D818" i="3"/>
  <c r="D822" i="3"/>
  <c r="D826" i="3"/>
  <c r="D830" i="3"/>
  <c r="D834" i="3"/>
  <c r="D838" i="3"/>
  <c r="D842" i="3"/>
  <c r="D846" i="3"/>
  <c r="D850" i="3"/>
  <c r="D854" i="3"/>
  <c r="D858" i="3"/>
  <c r="D862" i="3"/>
  <c r="D866" i="3"/>
  <c r="D870" i="3"/>
  <c r="D874" i="3"/>
  <c r="D723" i="3"/>
  <c r="D744" i="3"/>
  <c r="D760" i="3"/>
  <c r="D775" i="3"/>
  <c r="D780" i="3"/>
  <c r="D791" i="3"/>
  <c r="D801" i="3"/>
  <c r="D783" i="3"/>
  <c r="D788" i="3"/>
  <c r="D798" i="3"/>
  <c r="D811" i="3"/>
  <c r="D815" i="3"/>
  <c r="D819" i="3"/>
  <c r="D823" i="3"/>
  <c r="D827" i="3"/>
  <c r="D831" i="3"/>
  <c r="D835" i="3"/>
  <c r="D839" i="3"/>
  <c r="D843" i="3"/>
  <c r="D847" i="3"/>
  <c r="D851" i="3"/>
  <c r="D855" i="3"/>
  <c r="D859" i="3"/>
  <c r="D863" i="3"/>
  <c r="D867" i="3"/>
  <c r="D871" i="3"/>
  <c r="D875" i="3"/>
  <c r="D909" i="3"/>
  <c r="D920" i="3"/>
  <c r="D927" i="3"/>
  <c r="D881" i="3"/>
  <c r="D885" i="3"/>
  <c r="D889" i="3"/>
  <c r="D893" i="3"/>
  <c r="D897" i="3"/>
  <c r="D901" i="3"/>
  <c r="D912" i="3"/>
  <c r="D925" i="3"/>
  <c r="D880" i="3"/>
  <c r="D884" i="3"/>
  <c r="D888" i="3"/>
  <c r="D892" i="3"/>
  <c r="D896" i="3"/>
  <c r="D900" i="3"/>
  <c r="D904" i="3"/>
  <c r="D917" i="3"/>
  <c r="D913" i="3"/>
  <c r="D921" i="3"/>
  <c r="D926" i="3"/>
  <c r="D939" i="3"/>
  <c r="D942" i="3"/>
  <c r="D948" i="3"/>
  <c r="D955" i="3"/>
  <c r="D958" i="3"/>
  <c r="D933" i="3"/>
  <c r="D934" i="3"/>
  <c r="D935" i="3"/>
  <c r="D940" i="3"/>
  <c r="D947" i="3"/>
  <c r="D950" i="3"/>
  <c r="D956" i="3"/>
  <c r="D967" i="3"/>
  <c r="D968" i="3"/>
  <c r="D972" i="3"/>
  <c r="D988" i="3"/>
  <c r="D993" i="3"/>
  <c r="D1000" i="3"/>
  <c r="D1005" i="3"/>
  <c r="D963" i="3"/>
  <c r="D977" i="3"/>
  <c r="D984" i="3"/>
  <c r="D989" i="3"/>
  <c r="D1004" i="3"/>
  <c r="D943" i="3"/>
  <c r="D951" i="3"/>
  <c r="D959" i="3"/>
  <c r="D976" i="3"/>
  <c r="D981" i="3"/>
  <c r="D992" i="3"/>
  <c r="D997" i="3"/>
  <c r="D973" i="3"/>
  <c r="D980" i="3"/>
  <c r="D985" i="3"/>
  <c r="D996" i="3"/>
  <c r="D1001" i="3"/>
  <c r="H9" i="3" l="1"/>
  <c r="G8" i="3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G863" i="3" s="1"/>
  <c r="G864" i="3" s="1"/>
  <c r="G865" i="3" s="1"/>
  <c r="G866" i="3" s="1"/>
  <c r="G867" i="3" s="1"/>
  <c r="G868" i="3" s="1"/>
  <c r="G869" i="3" s="1"/>
  <c r="G870" i="3" s="1"/>
  <c r="G871" i="3" s="1"/>
  <c r="G872" i="3" s="1"/>
  <c r="G873" i="3" s="1"/>
  <c r="G874" i="3" s="1"/>
  <c r="G875" i="3" s="1"/>
  <c r="G876" i="3" s="1"/>
  <c r="G877" i="3" s="1"/>
  <c r="G878" i="3" s="1"/>
  <c r="G879" i="3" s="1"/>
  <c r="G880" i="3" s="1"/>
  <c r="G881" i="3" s="1"/>
  <c r="G882" i="3" s="1"/>
  <c r="G883" i="3" s="1"/>
  <c r="G884" i="3" s="1"/>
  <c r="G885" i="3" s="1"/>
  <c r="G886" i="3" s="1"/>
  <c r="G887" i="3" s="1"/>
  <c r="G888" i="3" s="1"/>
  <c r="G889" i="3" s="1"/>
  <c r="G890" i="3" s="1"/>
  <c r="G891" i="3" s="1"/>
  <c r="G892" i="3" s="1"/>
  <c r="G893" i="3" s="1"/>
  <c r="G894" i="3" s="1"/>
  <c r="G895" i="3" s="1"/>
  <c r="G896" i="3" s="1"/>
  <c r="G897" i="3" s="1"/>
  <c r="G898" i="3" s="1"/>
  <c r="G899" i="3" s="1"/>
  <c r="G900" i="3" s="1"/>
  <c r="G901" i="3" s="1"/>
  <c r="G902" i="3" s="1"/>
  <c r="G903" i="3" s="1"/>
  <c r="G904" i="3" s="1"/>
  <c r="G905" i="3" s="1"/>
  <c r="G906" i="3" s="1"/>
  <c r="G907" i="3" s="1"/>
  <c r="G908" i="3" s="1"/>
  <c r="G909" i="3" s="1"/>
  <c r="G910" i="3" s="1"/>
  <c r="G911" i="3" s="1"/>
  <c r="G912" i="3" s="1"/>
  <c r="G913" i="3" s="1"/>
  <c r="G914" i="3" s="1"/>
  <c r="G915" i="3" s="1"/>
  <c r="G916" i="3" s="1"/>
  <c r="G917" i="3" s="1"/>
  <c r="G918" i="3" s="1"/>
  <c r="G919" i="3" s="1"/>
  <c r="G920" i="3" s="1"/>
  <c r="G921" i="3" s="1"/>
  <c r="G922" i="3" s="1"/>
  <c r="G923" i="3" s="1"/>
  <c r="G924" i="3" s="1"/>
  <c r="G925" i="3" s="1"/>
  <c r="G926" i="3" s="1"/>
  <c r="G927" i="3" s="1"/>
  <c r="G928" i="3" s="1"/>
  <c r="G929" i="3" s="1"/>
  <c r="G930" i="3" s="1"/>
  <c r="G931" i="3" s="1"/>
  <c r="G932" i="3" s="1"/>
  <c r="G933" i="3" s="1"/>
  <c r="G934" i="3" s="1"/>
  <c r="G935" i="3" s="1"/>
  <c r="G936" i="3" s="1"/>
  <c r="G937" i="3" s="1"/>
  <c r="G938" i="3" s="1"/>
  <c r="G939" i="3" s="1"/>
  <c r="G940" i="3" s="1"/>
  <c r="G941" i="3" s="1"/>
  <c r="G942" i="3" s="1"/>
  <c r="G943" i="3" s="1"/>
  <c r="G944" i="3" s="1"/>
  <c r="G945" i="3" s="1"/>
  <c r="G946" i="3" s="1"/>
  <c r="G947" i="3" s="1"/>
  <c r="G948" i="3" s="1"/>
  <c r="G949" i="3" s="1"/>
  <c r="G950" i="3" s="1"/>
  <c r="G951" i="3" s="1"/>
  <c r="G952" i="3" s="1"/>
  <c r="G953" i="3" s="1"/>
  <c r="G954" i="3" s="1"/>
  <c r="G955" i="3" s="1"/>
  <c r="G956" i="3" s="1"/>
  <c r="G957" i="3" s="1"/>
  <c r="G958" i="3" s="1"/>
  <c r="G959" i="3" s="1"/>
  <c r="G960" i="3" s="1"/>
  <c r="G961" i="3" s="1"/>
  <c r="G962" i="3" s="1"/>
  <c r="G963" i="3" s="1"/>
  <c r="G964" i="3" s="1"/>
  <c r="G965" i="3" s="1"/>
  <c r="G966" i="3" s="1"/>
  <c r="G967" i="3" s="1"/>
  <c r="G968" i="3" s="1"/>
  <c r="G969" i="3" s="1"/>
  <c r="G970" i="3" s="1"/>
  <c r="G971" i="3" s="1"/>
  <c r="G972" i="3" s="1"/>
  <c r="G973" i="3" s="1"/>
  <c r="G974" i="3" s="1"/>
  <c r="G975" i="3" s="1"/>
  <c r="G976" i="3" s="1"/>
  <c r="G977" i="3" s="1"/>
  <c r="G978" i="3" s="1"/>
  <c r="G979" i="3" s="1"/>
  <c r="G980" i="3" s="1"/>
  <c r="G981" i="3" s="1"/>
  <c r="G982" i="3" s="1"/>
  <c r="G983" i="3" s="1"/>
  <c r="G984" i="3" s="1"/>
  <c r="G985" i="3" s="1"/>
  <c r="G986" i="3" s="1"/>
  <c r="G987" i="3" s="1"/>
  <c r="G988" i="3" s="1"/>
  <c r="G989" i="3" s="1"/>
  <c r="G990" i="3" s="1"/>
  <c r="G991" i="3" s="1"/>
  <c r="G992" i="3" s="1"/>
  <c r="G993" i="3" s="1"/>
  <c r="G994" i="3" s="1"/>
  <c r="G995" i="3" s="1"/>
  <c r="G996" i="3" s="1"/>
  <c r="G997" i="3" s="1"/>
  <c r="G998" i="3" s="1"/>
  <c r="G999" i="3" s="1"/>
  <c r="G1000" i="3" s="1"/>
  <c r="G1001" i="3" s="1"/>
  <c r="G1002" i="3" s="1"/>
  <c r="G1003" i="3" s="1"/>
  <c r="G1004" i="3" s="1"/>
  <c r="G1005" i="3" s="1"/>
  <c r="J7" i="3"/>
  <c r="H10" i="3" l="1"/>
  <c r="J8" i="3"/>
  <c r="H11" i="3" l="1"/>
  <c r="J9" i="3"/>
  <c r="H12" i="3" l="1"/>
  <c r="J10" i="3"/>
  <c r="H13" i="3" l="1"/>
  <c r="J11" i="3"/>
  <c r="H14" i="3" l="1"/>
  <c r="J12" i="3"/>
  <c r="H15" i="3" l="1"/>
  <c r="J13" i="3"/>
  <c r="H16" i="3" l="1"/>
  <c r="J14" i="3"/>
  <c r="H17" i="3" l="1"/>
  <c r="J15" i="3"/>
  <c r="H18" i="3" l="1"/>
  <c r="J16" i="3"/>
  <c r="H19" i="3" l="1"/>
  <c r="J17" i="3"/>
  <c r="H20" i="3" l="1"/>
  <c r="J18" i="3"/>
  <c r="H21" i="3" l="1"/>
  <c r="J19" i="3"/>
  <c r="H22" i="3" l="1"/>
  <c r="J20" i="3"/>
  <c r="H23" i="3" l="1"/>
  <c r="J21" i="3"/>
  <c r="H24" i="3" l="1"/>
  <c r="J22" i="3"/>
  <c r="H25" i="3" l="1"/>
  <c r="J23" i="3"/>
  <c r="H26" i="3" l="1"/>
  <c r="J24" i="3"/>
  <c r="H27" i="3" l="1"/>
  <c r="J25" i="3"/>
  <c r="H28" i="3" l="1"/>
  <c r="J26" i="3"/>
  <c r="H29" i="3" l="1"/>
  <c r="J27" i="3"/>
  <c r="H30" i="3" l="1"/>
  <c r="J28" i="3"/>
  <c r="H31" i="3" l="1"/>
  <c r="J29" i="3"/>
  <c r="H32" i="3" l="1"/>
  <c r="J30" i="3"/>
  <c r="H33" i="3" l="1"/>
  <c r="J31" i="3"/>
  <c r="H34" i="3" l="1"/>
  <c r="J32" i="3"/>
  <c r="H35" i="3" l="1"/>
  <c r="J33" i="3"/>
  <c r="H36" i="3" l="1"/>
  <c r="J34" i="3"/>
  <c r="H37" i="3" l="1"/>
  <c r="J35" i="3"/>
  <c r="H38" i="3" l="1"/>
  <c r="J36" i="3"/>
  <c r="H39" i="3" l="1"/>
  <c r="J37" i="3"/>
  <c r="H40" i="3" l="1"/>
  <c r="J38" i="3"/>
  <c r="H41" i="3" l="1"/>
  <c r="J39" i="3"/>
  <c r="H42" i="3" l="1"/>
  <c r="J40" i="3"/>
  <c r="H43" i="3" l="1"/>
  <c r="J41" i="3"/>
  <c r="H44" i="3" l="1"/>
  <c r="J42" i="3"/>
  <c r="H45" i="3" l="1"/>
  <c r="J43" i="3"/>
  <c r="H46" i="3" l="1"/>
  <c r="J44" i="3"/>
  <c r="H47" i="3" l="1"/>
  <c r="J45" i="3"/>
  <c r="H48" i="3" l="1"/>
  <c r="J46" i="3"/>
  <c r="H49" i="3" l="1"/>
  <c r="J47" i="3"/>
  <c r="H50" i="3" l="1"/>
  <c r="J48" i="3"/>
  <c r="H51" i="3" l="1"/>
  <c r="J49" i="3"/>
  <c r="H52" i="3" l="1"/>
  <c r="J50" i="3"/>
  <c r="H53" i="3" l="1"/>
  <c r="J51" i="3"/>
  <c r="H54" i="3" l="1"/>
  <c r="J52" i="3"/>
  <c r="H55" i="3" l="1"/>
  <c r="J53" i="3"/>
  <c r="H56" i="3" l="1"/>
  <c r="J54" i="3"/>
  <c r="H57" i="3" l="1"/>
  <c r="J55" i="3"/>
  <c r="H58" i="3" l="1"/>
  <c r="J56" i="3"/>
  <c r="H59" i="3" l="1"/>
  <c r="J57" i="3"/>
  <c r="H60" i="3" l="1"/>
  <c r="J58" i="3"/>
  <c r="H61" i="3" l="1"/>
  <c r="J59" i="3"/>
  <c r="H62" i="3" l="1"/>
  <c r="J60" i="3"/>
  <c r="H63" i="3" l="1"/>
  <c r="J61" i="3"/>
  <c r="H64" i="3" l="1"/>
  <c r="J62" i="3"/>
  <c r="H65" i="3" l="1"/>
  <c r="J63" i="3"/>
  <c r="H66" i="3" l="1"/>
  <c r="J64" i="3"/>
  <c r="H67" i="3" l="1"/>
  <c r="J65" i="3"/>
  <c r="H68" i="3" l="1"/>
  <c r="J66" i="3"/>
  <c r="H69" i="3" l="1"/>
  <c r="J67" i="3"/>
  <c r="H70" i="3" l="1"/>
  <c r="J68" i="3"/>
  <c r="H71" i="3" l="1"/>
  <c r="J69" i="3"/>
  <c r="H72" i="3" l="1"/>
  <c r="J70" i="3"/>
  <c r="H73" i="3" l="1"/>
  <c r="J71" i="3"/>
  <c r="H74" i="3" l="1"/>
  <c r="J72" i="3"/>
  <c r="H75" i="3" l="1"/>
  <c r="J73" i="3"/>
  <c r="H76" i="3" l="1"/>
  <c r="J74" i="3"/>
  <c r="H77" i="3" l="1"/>
  <c r="J75" i="3"/>
  <c r="H78" i="3" l="1"/>
  <c r="J76" i="3"/>
  <c r="H79" i="3" l="1"/>
  <c r="J77" i="3"/>
  <c r="H80" i="3" l="1"/>
  <c r="J78" i="3"/>
  <c r="H81" i="3" l="1"/>
  <c r="J79" i="3"/>
  <c r="H82" i="3" l="1"/>
  <c r="J80" i="3"/>
  <c r="H83" i="3" l="1"/>
  <c r="J81" i="3"/>
  <c r="H84" i="3" l="1"/>
  <c r="J82" i="3"/>
  <c r="H85" i="3" l="1"/>
  <c r="J83" i="3"/>
  <c r="H86" i="3" l="1"/>
  <c r="J84" i="3"/>
  <c r="H87" i="3" l="1"/>
  <c r="J85" i="3"/>
  <c r="H88" i="3" l="1"/>
  <c r="J86" i="3"/>
  <c r="H89" i="3" l="1"/>
  <c r="J87" i="3"/>
  <c r="H90" i="3" l="1"/>
  <c r="J88" i="3"/>
  <c r="H91" i="3" l="1"/>
  <c r="J89" i="3"/>
  <c r="H92" i="3" l="1"/>
  <c r="J90" i="3"/>
  <c r="H93" i="3" l="1"/>
  <c r="J91" i="3"/>
  <c r="H94" i="3" l="1"/>
  <c r="J92" i="3"/>
  <c r="H95" i="3" l="1"/>
  <c r="J93" i="3"/>
  <c r="H96" i="3" l="1"/>
  <c r="J94" i="3"/>
  <c r="H97" i="3" l="1"/>
  <c r="J95" i="3"/>
  <c r="H98" i="3" l="1"/>
  <c r="J96" i="3"/>
  <c r="H99" i="3" l="1"/>
  <c r="J97" i="3"/>
  <c r="H100" i="3" l="1"/>
  <c r="J98" i="3"/>
  <c r="H101" i="3" l="1"/>
  <c r="J99" i="3"/>
  <c r="H102" i="3" l="1"/>
  <c r="J100" i="3"/>
  <c r="H103" i="3" l="1"/>
  <c r="J101" i="3"/>
  <c r="H104" i="3" l="1"/>
  <c r="J102" i="3"/>
  <c r="H105" i="3" l="1"/>
  <c r="J103" i="3"/>
  <c r="H106" i="3" l="1"/>
  <c r="J104" i="3"/>
  <c r="H107" i="3" l="1"/>
  <c r="J105" i="3"/>
  <c r="H108" i="3" l="1"/>
  <c r="J106" i="3"/>
  <c r="H109" i="3" l="1"/>
  <c r="J107" i="3"/>
  <c r="H110" i="3" l="1"/>
  <c r="J108" i="3"/>
  <c r="H111" i="3" l="1"/>
  <c r="J109" i="3"/>
  <c r="H112" i="3" l="1"/>
  <c r="J110" i="3"/>
  <c r="H113" i="3" l="1"/>
  <c r="J111" i="3"/>
  <c r="H114" i="3" l="1"/>
  <c r="J112" i="3"/>
  <c r="H115" i="3" l="1"/>
  <c r="J113" i="3"/>
  <c r="H116" i="3" l="1"/>
  <c r="J114" i="3"/>
  <c r="H117" i="3" l="1"/>
  <c r="J115" i="3"/>
  <c r="H118" i="3" l="1"/>
  <c r="J116" i="3"/>
  <c r="H119" i="3" l="1"/>
  <c r="J117" i="3"/>
  <c r="H120" i="3" l="1"/>
  <c r="J118" i="3"/>
  <c r="H121" i="3" l="1"/>
  <c r="J119" i="3"/>
  <c r="H122" i="3" l="1"/>
  <c r="J120" i="3"/>
  <c r="H123" i="3" l="1"/>
  <c r="J121" i="3"/>
  <c r="H124" i="3" l="1"/>
  <c r="J122" i="3"/>
  <c r="H125" i="3" l="1"/>
  <c r="J123" i="3"/>
  <c r="H126" i="3" l="1"/>
  <c r="J124" i="3"/>
  <c r="H127" i="3" l="1"/>
  <c r="J125" i="3"/>
  <c r="H128" i="3" l="1"/>
  <c r="J126" i="3"/>
  <c r="H129" i="3" l="1"/>
  <c r="J127" i="3"/>
  <c r="H130" i="3" l="1"/>
  <c r="J128" i="3"/>
  <c r="H131" i="3" l="1"/>
  <c r="J129" i="3"/>
  <c r="H132" i="3" l="1"/>
  <c r="J130" i="3"/>
  <c r="H133" i="3" l="1"/>
  <c r="J131" i="3"/>
  <c r="H134" i="3" l="1"/>
  <c r="J132" i="3"/>
  <c r="H135" i="3" l="1"/>
  <c r="J133" i="3"/>
  <c r="H136" i="3" l="1"/>
  <c r="J134" i="3"/>
  <c r="H137" i="3" l="1"/>
  <c r="J135" i="3"/>
  <c r="H138" i="3" l="1"/>
  <c r="J136" i="3"/>
  <c r="H139" i="3" l="1"/>
  <c r="J137" i="3"/>
  <c r="H140" i="3" l="1"/>
  <c r="J138" i="3"/>
  <c r="H141" i="3" l="1"/>
  <c r="J139" i="3"/>
  <c r="H142" i="3" l="1"/>
  <c r="J140" i="3"/>
  <c r="H143" i="3" l="1"/>
  <c r="J141" i="3"/>
  <c r="H144" i="3" l="1"/>
  <c r="J142" i="3"/>
  <c r="H145" i="3" l="1"/>
  <c r="J143" i="3"/>
  <c r="H146" i="3" l="1"/>
  <c r="J144" i="3"/>
  <c r="H147" i="3" l="1"/>
  <c r="J145" i="3"/>
  <c r="H148" i="3" l="1"/>
  <c r="J146" i="3"/>
  <c r="H149" i="3" l="1"/>
  <c r="J147" i="3"/>
  <c r="H150" i="3" l="1"/>
  <c r="J148" i="3"/>
  <c r="H151" i="3" l="1"/>
  <c r="J149" i="3"/>
  <c r="H152" i="3" l="1"/>
  <c r="J150" i="3"/>
  <c r="H153" i="3" l="1"/>
  <c r="J151" i="3"/>
  <c r="H154" i="3" l="1"/>
  <c r="J152" i="3"/>
  <c r="H155" i="3" l="1"/>
  <c r="J153" i="3"/>
  <c r="H156" i="3" l="1"/>
  <c r="J154" i="3"/>
  <c r="H157" i="3" l="1"/>
  <c r="J155" i="3"/>
  <c r="H158" i="3" l="1"/>
  <c r="J156" i="3"/>
  <c r="H159" i="3" l="1"/>
  <c r="J157" i="3"/>
  <c r="H160" i="3" l="1"/>
  <c r="J158" i="3"/>
  <c r="H161" i="3" l="1"/>
  <c r="J159" i="3"/>
  <c r="H162" i="3" l="1"/>
  <c r="J160" i="3"/>
  <c r="H163" i="3" l="1"/>
  <c r="J161" i="3"/>
  <c r="H164" i="3" l="1"/>
  <c r="J162" i="3"/>
  <c r="H165" i="3" l="1"/>
  <c r="J163" i="3"/>
  <c r="H166" i="3" l="1"/>
  <c r="J164" i="3"/>
  <c r="H167" i="3" l="1"/>
  <c r="J165" i="3"/>
  <c r="H168" i="3" l="1"/>
  <c r="J166" i="3"/>
  <c r="H169" i="3" l="1"/>
  <c r="J167" i="3"/>
  <c r="H170" i="3" l="1"/>
  <c r="J168" i="3"/>
  <c r="H171" i="3" l="1"/>
  <c r="J169" i="3"/>
  <c r="H172" i="3" l="1"/>
  <c r="J170" i="3"/>
  <c r="H173" i="3" l="1"/>
  <c r="J171" i="3"/>
  <c r="H174" i="3" l="1"/>
  <c r="J172" i="3"/>
  <c r="H175" i="3" l="1"/>
  <c r="J173" i="3"/>
  <c r="H176" i="3" l="1"/>
  <c r="J174" i="3"/>
  <c r="H177" i="3" l="1"/>
  <c r="J175" i="3"/>
  <c r="H178" i="3" l="1"/>
  <c r="J176" i="3"/>
  <c r="H179" i="3" l="1"/>
  <c r="J177" i="3"/>
  <c r="H180" i="3" l="1"/>
  <c r="J178" i="3"/>
  <c r="H181" i="3" l="1"/>
  <c r="J179" i="3"/>
  <c r="H182" i="3" l="1"/>
  <c r="J180" i="3"/>
  <c r="H183" i="3" l="1"/>
  <c r="J181" i="3"/>
  <c r="H184" i="3" l="1"/>
  <c r="J182" i="3"/>
  <c r="H185" i="3" l="1"/>
  <c r="J183" i="3"/>
  <c r="H186" i="3" l="1"/>
  <c r="J184" i="3"/>
  <c r="H187" i="3" l="1"/>
  <c r="J185" i="3"/>
  <c r="H188" i="3" l="1"/>
  <c r="J186" i="3"/>
  <c r="H189" i="3" l="1"/>
  <c r="J187" i="3"/>
  <c r="H190" i="3" l="1"/>
  <c r="J188" i="3"/>
  <c r="H191" i="3" l="1"/>
  <c r="J189" i="3"/>
  <c r="H192" i="3" l="1"/>
  <c r="J190" i="3"/>
  <c r="H193" i="3" l="1"/>
  <c r="J191" i="3"/>
  <c r="H194" i="3" l="1"/>
  <c r="J192" i="3"/>
  <c r="H195" i="3" l="1"/>
  <c r="J193" i="3"/>
  <c r="H196" i="3" l="1"/>
  <c r="J194" i="3"/>
  <c r="H197" i="3" l="1"/>
  <c r="J195" i="3"/>
  <c r="H198" i="3" l="1"/>
  <c r="J196" i="3"/>
  <c r="H199" i="3" l="1"/>
  <c r="J197" i="3"/>
  <c r="H200" i="3" l="1"/>
  <c r="J198" i="3"/>
  <c r="H201" i="3" l="1"/>
  <c r="J199" i="3"/>
  <c r="H202" i="3" l="1"/>
  <c r="J200" i="3"/>
  <c r="H203" i="3" l="1"/>
  <c r="J201" i="3"/>
  <c r="H204" i="3" l="1"/>
  <c r="J202" i="3"/>
  <c r="H205" i="3" l="1"/>
  <c r="J203" i="3"/>
  <c r="H206" i="3" l="1"/>
  <c r="J204" i="3"/>
  <c r="H207" i="3" l="1"/>
  <c r="J205" i="3"/>
  <c r="H208" i="3" l="1"/>
  <c r="J206" i="3"/>
  <c r="H209" i="3" l="1"/>
  <c r="J207" i="3"/>
  <c r="H210" i="3" l="1"/>
  <c r="J208" i="3"/>
  <c r="H211" i="3" l="1"/>
  <c r="J209" i="3"/>
  <c r="H212" i="3" l="1"/>
  <c r="J210" i="3"/>
  <c r="H213" i="3" l="1"/>
  <c r="J211" i="3"/>
  <c r="H214" i="3" l="1"/>
  <c r="J212" i="3"/>
  <c r="H215" i="3" l="1"/>
  <c r="J213" i="3"/>
  <c r="H216" i="3" l="1"/>
  <c r="J214" i="3"/>
  <c r="H217" i="3" l="1"/>
  <c r="J215" i="3"/>
  <c r="H218" i="3" l="1"/>
  <c r="J216" i="3"/>
  <c r="H219" i="3" l="1"/>
  <c r="J217" i="3"/>
  <c r="H220" i="3" l="1"/>
  <c r="J218" i="3"/>
  <c r="H221" i="3" l="1"/>
  <c r="J219" i="3"/>
  <c r="H222" i="3" l="1"/>
  <c r="J220" i="3"/>
  <c r="H223" i="3" l="1"/>
  <c r="J221" i="3"/>
  <c r="H224" i="3" l="1"/>
  <c r="J222" i="3"/>
  <c r="H225" i="3" l="1"/>
  <c r="J223" i="3"/>
  <c r="H226" i="3" l="1"/>
  <c r="J224" i="3"/>
  <c r="H227" i="3" l="1"/>
  <c r="J225" i="3"/>
  <c r="H228" i="3" l="1"/>
  <c r="J226" i="3"/>
  <c r="H229" i="3" l="1"/>
  <c r="J227" i="3"/>
  <c r="H230" i="3" l="1"/>
  <c r="J228" i="3"/>
  <c r="H231" i="3" l="1"/>
  <c r="J229" i="3"/>
  <c r="H232" i="3" l="1"/>
  <c r="J230" i="3"/>
  <c r="H233" i="3" l="1"/>
  <c r="J231" i="3"/>
  <c r="H234" i="3" l="1"/>
  <c r="J232" i="3"/>
  <c r="H235" i="3" l="1"/>
  <c r="J233" i="3"/>
  <c r="H236" i="3" l="1"/>
  <c r="J234" i="3"/>
  <c r="H237" i="3" l="1"/>
  <c r="J235" i="3"/>
  <c r="H238" i="3" l="1"/>
  <c r="J236" i="3"/>
  <c r="H239" i="3" l="1"/>
  <c r="J237" i="3"/>
  <c r="H240" i="3" l="1"/>
  <c r="J238" i="3"/>
  <c r="H241" i="3" l="1"/>
  <c r="J239" i="3"/>
  <c r="H242" i="3" l="1"/>
  <c r="J240" i="3"/>
  <c r="H243" i="3" l="1"/>
  <c r="J241" i="3"/>
  <c r="H244" i="3" l="1"/>
  <c r="J242" i="3"/>
  <c r="H245" i="3" l="1"/>
  <c r="J243" i="3"/>
  <c r="H246" i="3" l="1"/>
  <c r="J244" i="3"/>
  <c r="H247" i="3" l="1"/>
  <c r="J245" i="3"/>
  <c r="H248" i="3" l="1"/>
  <c r="J246" i="3"/>
  <c r="H249" i="3" l="1"/>
  <c r="J247" i="3"/>
  <c r="H250" i="3" l="1"/>
  <c r="J248" i="3"/>
  <c r="H251" i="3" l="1"/>
  <c r="J249" i="3"/>
  <c r="H252" i="3" l="1"/>
  <c r="J250" i="3"/>
  <c r="H253" i="3" l="1"/>
  <c r="J251" i="3"/>
  <c r="H254" i="3" l="1"/>
  <c r="J252" i="3"/>
  <c r="H255" i="3" l="1"/>
  <c r="J253" i="3"/>
  <c r="H256" i="3" l="1"/>
  <c r="J254" i="3"/>
  <c r="H257" i="3" l="1"/>
  <c r="J255" i="3"/>
  <c r="H258" i="3" l="1"/>
  <c r="J256" i="3"/>
  <c r="H259" i="3" l="1"/>
  <c r="J257" i="3"/>
  <c r="H260" i="3" l="1"/>
  <c r="J258" i="3"/>
  <c r="H261" i="3" l="1"/>
  <c r="J259" i="3"/>
  <c r="H262" i="3" l="1"/>
  <c r="J260" i="3"/>
  <c r="H263" i="3" l="1"/>
  <c r="J261" i="3"/>
  <c r="H264" i="3" l="1"/>
  <c r="J262" i="3"/>
  <c r="H265" i="3" l="1"/>
  <c r="J263" i="3"/>
  <c r="H266" i="3" l="1"/>
  <c r="J264" i="3"/>
  <c r="H267" i="3" l="1"/>
  <c r="J265" i="3"/>
  <c r="H268" i="3" l="1"/>
  <c r="J266" i="3"/>
  <c r="H269" i="3" l="1"/>
  <c r="J267" i="3"/>
  <c r="H270" i="3" l="1"/>
  <c r="J268" i="3"/>
  <c r="H271" i="3" l="1"/>
  <c r="J269" i="3"/>
  <c r="H272" i="3" l="1"/>
  <c r="J270" i="3"/>
  <c r="H273" i="3" l="1"/>
  <c r="J271" i="3"/>
  <c r="H274" i="3" l="1"/>
  <c r="J272" i="3"/>
  <c r="H275" i="3" l="1"/>
  <c r="J273" i="3"/>
  <c r="H276" i="3" l="1"/>
  <c r="J274" i="3"/>
  <c r="H277" i="3" l="1"/>
  <c r="J275" i="3"/>
  <c r="H278" i="3" l="1"/>
  <c r="J276" i="3"/>
  <c r="H279" i="3" l="1"/>
  <c r="J277" i="3"/>
  <c r="H280" i="3" l="1"/>
  <c r="J278" i="3"/>
  <c r="H281" i="3" l="1"/>
  <c r="J279" i="3"/>
  <c r="H282" i="3" l="1"/>
  <c r="J280" i="3"/>
  <c r="H283" i="3" l="1"/>
  <c r="J281" i="3"/>
  <c r="H284" i="3" l="1"/>
  <c r="J282" i="3"/>
  <c r="H285" i="3" l="1"/>
  <c r="J283" i="3"/>
  <c r="H286" i="3" l="1"/>
  <c r="J284" i="3"/>
  <c r="H287" i="3" l="1"/>
  <c r="J285" i="3"/>
  <c r="H288" i="3" l="1"/>
  <c r="J286" i="3"/>
  <c r="H289" i="3" l="1"/>
  <c r="J287" i="3"/>
  <c r="H290" i="3" l="1"/>
  <c r="J288" i="3"/>
  <c r="H291" i="3" l="1"/>
  <c r="J289" i="3"/>
  <c r="H292" i="3" l="1"/>
  <c r="J290" i="3"/>
  <c r="H293" i="3" l="1"/>
  <c r="J291" i="3"/>
  <c r="H294" i="3" l="1"/>
  <c r="J292" i="3"/>
  <c r="H295" i="3" l="1"/>
  <c r="J293" i="3"/>
  <c r="H296" i="3" l="1"/>
  <c r="J294" i="3"/>
  <c r="H297" i="3" l="1"/>
  <c r="J295" i="3"/>
  <c r="H298" i="3" l="1"/>
  <c r="J296" i="3"/>
  <c r="H299" i="3" l="1"/>
  <c r="J297" i="3"/>
  <c r="H300" i="3" l="1"/>
  <c r="J298" i="3"/>
  <c r="H301" i="3" l="1"/>
  <c r="J299" i="3"/>
  <c r="H302" i="3" l="1"/>
  <c r="J300" i="3"/>
  <c r="H303" i="3" l="1"/>
  <c r="J301" i="3"/>
  <c r="H304" i="3" l="1"/>
  <c r="J302" i="3"/>
  <c r="H305" i="3" l="1"/>
  <c r="J303" i="3"/>
  <c r="H306" i="3" l="1"/>
  <c r="J304" i="3"/>
  <c r="H307" i="3" l="1"/>
  <c r="J305" i="3"/>
  <c r="H308" i="3" l="1"/>
  <c r="J306" i="3"/>
  <c r="H309" i="3" l="1"/>
  <c r="J307" i="3"/>
  <c r="H310" i="3" l="1"/>
  <c r="J308" i="3"/>
  <c r="H311" i="3" l="1"/>
  <c r="J309" i="3"/>
  <c r="H312" i="3" l="1"/>
  <c r="J310" i="3"/>
  <c r="H313" i="3" l="1"/>
  <c r="J311" i="3"/>
  <c r="H314" i="3" l="1"/>
  <c r="J312" i="3"/>
  <c r="H315" i="3" l="1"/>
  <c r="J313" i="3"/>
  <c r="H316" i="3" l="1"/>
  <c r="J314" i="3"/>
  <c r="H317" i="3" l="1"/>
  <c r="J315" i="3"/>
  <c r="H318" i="3" l="1"/>
  <c r="J316" i="3"/>
  <c r="H319" i="3" l="1"/>
  <c r="J317" i="3"/>
  <c r="H320" i="3" l="1"/>
  <c r="J318" i="3"/>
  <c r="H321" i="3" l="1"/>
  <c r="J319" i="3"/>
  <c r="H322" i="3" l="1"/>
  <c r="J320" i="3"/>
  <c r="H323" i="3" l="1"/>
  <c r="J321" i="3"/>
  <c r="H324" i="3" l="1"/>
  <c r="J322" i="3"/>
  <c r="H325" i="3" l="1"/>
  <c r="J323" i="3"/>
  <c r="H326" i="3" l="1"/>
  <c r="J324" i="3"/>
  <c r="H327" i="3" l="1"/>
  <c r="J325" i="3"/>
  <c r="H328" i="3" l="1"/>
  <c r="J326" i="3"/>
  <c r="H329" i="3" l="1"/>
  <c r="J327" i="3"/>
  <c r="H330" i="3" l="1"/>
  <c r="J328" i="3"/>
  <c r="H331" i="3" l="1"/>
  <c r="J329" i="3"/>
  <c r="H332" i="3" l="1"/>
  <c r="J330" i="3"/>
  <c r="H333" i="3" l="1"/>
  <c r="J331" i="3"/>
  <c r="H334" i="3" l="1"/>
  <c r="J332" i="3"/>
  <c r="H335" i="3" l="1"/>
  <c r="J333" i="3"/>
  <c r="H336" i="3" l="1"/>
  <c r="J334" i="3"/>
  <c r="H337" i="3" l="1"/>
  <c r="J335" i="3"/>
  <c r="H338" i="3" l="1"/>
  <c r="J336" i="3"/>
  <c r="H339" i="3" l="1"/>
  <c r="J337" i="3"/>
  <c r="H340" i="3" l="1"/>
  <c r="J338" i="3"/>
  <c r="H341" i="3" l="1"/>
  <c r="J339" i="3"/>
  <c r="H342" i="3" l="1"/>
  <c r="J340" i="3"/>
  <c r="H343" i="3" l="1"/>
  <c r="J341" i="3"/>
  <c r="H344" i="3" l="1"/>
  <c r="J342" i="3"/>
  <c r="H345" i="3" l="1"/>
  <c r="J343" i="3"/>
  <c r="H346" i="3" l="1"/>
  <c r="J344" i="3"/>
  <c r="H347" i="3" l="1"/>
  <c r="J345" i="3"/>
  <c r="H348" i="3" l="1"/>
  <c r="J346" i="3"/>
  <c r="H349" i="3" l="1"/>
  <c r="J347" i="3"/>
  <c r="H350" i="3" l="1"/>
  <c r="J348" i="3"/>
  <c r="H351" i="3" l="1"/>
  <c r="J349" i="3"/>
  <c r="H352" i="3" l="1"/>
  <c r="J350" i="3"/>
  <c r="H353" i="3" l="1"/>
  <c r="J351" i="3"/>
  <c r="H354" i="3" l="1"/>
  <c r="J352" i="3"/>
  <c r="H355" i="3" l="1"/>
  <c r="J353" i="3"/>
  <c r="H356" i="3" l="1"/>
  <c r="J354" i="3"/>
  <c r="H357" i="3" l="1"/>
  <c r="J355" i="3"/>
  <c r="H358" i="3" l="1"/>
  <c r="J356" i="3"/>
  <c r="H359" i="3" l="1"/>
  <c r="J357" i="3"/>
  <c r="H360" i="3" l="1"/>
  <c r="J358" i="3"/>
  <c r="H361" i="3" l="1"/>
  <c r="J359" i="3"/>
  <c r="H362" i="3" l="1"/>
  <c r="J360" i="3"/>
  <c r="H363" i="3" l="1"/>
  <c r="J361" i="3"/>
  <c r="H364" i="3" l="1"/>
  <c r="J362" i="3"/>
  <c r="H365" i="3" l="1"/>
  <c r="J363" i="3"/>
  <c r="H366" i="3" l="1"/>
  <c r="J364" i="3"/>
  <c r="H367" i="3" l="1"/>
  <c r="J365" i="3"/>
  <c r="H368" i="3" l="1"/>
  <c r="J366" i="3"/>
  <c r="H369" i="3" l="1"/>
  <c r="J367" i="3"/>
  <c r="H370" i="3" l="1"/>
  <c r="J368" i="3"/>
  <c r="H371" i="3" l="1"/>
  <c r="J369" i="3"/>
  <c r="H372" i="3" l="1"/>
  <c r="J370" i="3"/>
  <c r="H373" i="3" l="1"/>
  <c r="J371" i="3"/>
  <c r="H374" i="3" l="1"/>
  <c r="J372" i="3"/>
  <c r="H375" i="3" l="1"/>
  <c r="J373" i="3"/>
  <c r="H376" i="3" l="1"/>
  <c r="J374" i="3"/>
  <c r="H377" i="3" l="1"/>
  <c r="J375" i="3"/>
  <c r="H378" i="3" l="1"/>
  <c r="J376" i="3"/>
  <c r="H379" i="3" l="1"/>
  <c r="J377" i="3"/>
  <c r="H380" i="3" l="1"/>
  <c r="J378" i="3"/>
  <c r="H381" i="3" l="1"/>
  <c r="J379" i="3"/>
  <c r="H382" i="3" l="1"/>
  <c r="J380" i="3"/>
  <c r="H383" i="3" l="1"/>
  <c r="J381" i="3"/>
  <c r="H384" i="3" l="1"/>
  <c r="J382" i="3"/>
  <c r="H385" i="3" l="1"/>
  <c r="J383" i="3"/>
  <c r="H386" i="3" l="1"/>
  <c r="J384" i="3"/>
  <c r="H387" i="3" l="1"/>
  <c r="J385" i="3"/>
  <c r="H388" i="3" l="1"/>
  <c r="J386" i="3"/>
  <c r="H389" i="3" l="1"/>
  <c r="J387" i="3"/>
  <c r="H390" i="3" l="1"/>
  <c r="J388" i="3"/>
  <c r="H391" i="3" l="1"/>
  <c r="J389" i="3"/>
  <c r="H392" i="3" l="1"/>
  <c r="J390" i="3"/>
  <c r="H393" i="3" l="1"/>
  <c r="J391" i="3"/>
  <c r="H394" i="3" l="1"/>
  <c r="J392" i="3"/>
  <c r="H395" i="3" l="1"/>
  <c r="J393" i="3"/>
  <c r="H396" i="3" l="1"/>
  <c r="J394" i="3"/>
  <c r="H397" i="3" l="1"/>
  <c r="J395" i="3"/>
  <c r="H398" i="3" l="1"/>
  <c r="J396" i="3"/>
  <c r="H399" i="3" l="1"/>
  <c r="J397" i="3"/>
  <c r="H400" i="3" l="1"/>
  <c r="J398" i="3"/>
  <c r="H401" i="3" l="1"/>
  <c r="J399" i="3"/>
  <c r="H402" i="3" l="1"/>
  <c r="J400" i="3"/>
  <c r="H403" i="3" l="1"/>
  <c r="J401" i="3"/>
  <c r="H404" i="3" l="1"/>
  <c r="J402" i="3"/>
  <c r="H405" i="3" l="1"/>
  <c r="J403" i="3"/>
  <c r="H406" i="3" l="1"/>
  <c r="J404" i="3"/>
  <c r="H407" i="3" l="1"/>
  <c r="J405" i="3"/>
  <c r="H408" i="3" l="1"/>
  <c r="J406" i="3"/>
  <c r="H409" i="3" l="1"/>
  <c r="J407" i="3"/>
  <c r="H410" i="3" l="1"/>
  <c r="J408" i="3"/>
  <c r="H411" i="3" l="1"/>
  <c r="J409" i="3"/>
  <c r="H412" i="3" l="1"/>
  <c r="J410" i="3"/>
  <c r="H413" i="3" l="1"/>
  <c r="J411" i="3"/>
  <c r="H414" i="3" l="1"/>
  <c r="J412" i="3"/>
  <c r="H415" i="3" l="1"/>
  <c r="J413" i="3"/>
  <c r="H416" i="3" l="1"/>
  <c r="J414" i="3"/>
  <c r="H417" i="3" l="1"/>
  <c r="J415" i="3"/>
  <c r="H418" i="3" l="1"/>
  <c r="J416" i="3"/>
  <c r="H419" i="3" l="1"/>
  <c r="J417" i="3"/>
  <c r="H420" i="3" l="1"/>
  <c r="J418" i="3"/>
  <c r="H421" i="3" l="1"/>
  <c r="J419" i="3"/>
  <c r="H422" i="3" l="1"/>
  <c r="J420" i="3"/>
  <c r="H423" i="3" l="1"/>
  <c r="J421" i="3"/>
  <c r="H424" i="3" l="1"/>
  <c r="J422" i="3"/>
  <c r="H425" i="3" l="1"/>
  <c r="J423" i="3"/>
  <c r="H426" i="3" l="1"/>
  <c r="J424" i="3"/>
  <c r="H427" i="3" l="1"/>
  <c r="J425" i="3"/>
  <c r="H428" i="3" l="1"/>
  <c r="J426" i="3"/>
  <c r="H429" i="3" l="1"/>
  <c r="J427" i="3"/>
  <c r="H430" i="3" l="1"/>
  <c r="J428" i="3"/>
  <c r="H431" i="3" l="1"/>
  <c r="J429" i="3"/>
  <c r="H432" i="3" l="1"/>
  <c r="J430" i="3"/>
  <c r="H433" i="3" l="1"/>
  <c r="J431" i="3"/>
  <c r="H434" i="3" l="1"/>
  <c r="J432" i="3"/>
  <c r="H435" i="3" l="1"/>
  <c r="J433" i="3"/>
  <c r="H436" i="3" l="1"/>
  <c r="J434" i="3"/>
  <c r="H437" i="3" l="1"/>
  <c r="J435" i="3"/>
  <c r="H438" i="3" l="1"/>
  <c r="J436" i="3"/>
  <c r="H439" i="3" l="1"/>
  <c r="J437" i="3"/>
  <c r="H440" i="3" l="1"/>
  <c r="J438" i="3"/>
  <c r="H441" i="3" l="1"/>
  <c r="J439" i="3"/>
  <c r="H442" i="3" l="1"/>
  <c r="J440" i="3"/>
  <c r="H443" i="3" l="1"/>
  <c r="J441" i="3"/>
  <c r="H444" i="3" l="1"/>
  <c r="J442" i="3"/>
  <c r="H445" i="3" l="1"/>
  <c r="J443" i="3"/>
  <c r="H446" i="3" l="1"/>
  <c r="J444" i="3"/>
  <c r="H447" i="3" l="1"/>
  <c r="J445" i="3"/>
  <c r="H448" i="3" l="1"/>
  <c r="J446" i="3"/>
  <c r="H449" i="3" l="1"/>
  <c r="J447" i="3"/>
  <c r="H450" i="3" l="1"/>
  <c r="J448" i="3"/>
  <c r="H451" i="3" l="1"/>
  <c r="J449" i="3"/>
  <c r="H452" i="3" l="1"/>
  <c r="J450" i="3"/>
  <c r="H453" i="3" l="1"/>
  <c r="J451" i="3"/>
  <c r="H454" i="3" l="1"/>
  <c r="J452" i="3"/>
  <c r="H455" i="3" l="1"/>
  <c r="J453" i="3"/>
  <c r="H456" i="3" l="1"/>
  <c r="J454" i="3"/>
  <c r="H457" i="3" l="1"/>
  <c r="J455" i="3"/>
  <c r="H458" i="3" l="1"/>
  <c r="J456" i="3"/>
  <c r="H459" i="3" l="1"/>
  <c r="J457" i="3"/>
  <c r="H460" i="3" l="1"/>
  <c r="J458" i="3"/>
  <c r="H461" i="3" l="1"/>
  <c r="J459" i="3"/>
  <c r="H462" i="3" l="1"/>
  <c r="J460" i="3"/>
  <c r="H463" i="3" l="1"/>
  <c r="J461" i="3"/>
  <c r="H464" i="3" l="1"/>
  <c r="J462" i="3"/>
  <c r="H465" i="3" l="1"/>
  <c r="J463" i="3"/>
  <c r="H466" i="3" l="1"/>
  <c r="J464" i="3"/>
  <c r="H467" i="3" l="1"/>
  <c r="J465" i="3"/>
  <c r="H468" i="3" l="1"/>
  <c r="J466" i="3"/>
  <c r="H469" i="3" l="1"/>
  <c r="J467" i="3"/>
  <c r="H470" i="3" l="1"/>
  <c r="J468" i="3"/>
  <c r="H471" i="3" l="1"/>
  <c r="J469" i="3"/>
  <c r="H472" i="3" l="1"/>
  <c r="J470" i="3"/>
  <c r="H473" i="3" l="1"/>
  <c r="J471" i="3"/>
  <c r="H474" i="3" l="1"/>
  <c r="J472" i="3"/>
  <c r="H475" i="3" l="1"/>
  <c r="J473" i="3"/>
  <c r="H476" i="3" l="1"/>
  <c r="J474" i="3"/>
  <c r="H477" i="3" l="1"/>
  <c r="J475" i="3"/>
  <c r="H478" i="3" l="1"/>
  <c r="J476" i="3"/>
  <c r="H479" i="3" l="1"/>
  <c r="J477" i="3"/>
  <c r="H480" i="3" l="1"/>
  <c r="J478" i="3"/>
  <c r="H481" i="3" l="1"/>
  <c r="J479" i="3"/>
  <c r="H482" i="3" l="1"/>
  <c r="J480" i="3"/>
  <c r="H483" i="3" l="1"/>
  <c r="J481" i="3"/>
  <c r="H484" i="3" l="1"/>
  <c r="J482" i="3"/>
  <c r="H485" i="3" l="1"/>
  <c r="J483" i="3"/>
  <c r="H486" i="3" l="1"/>
  <c r="J484" i="3"/>
  <c r="H487" i="3" l="1"/>
  <c r="J485" i="3"/>
  <c r="H488" i="3" l="1"/>
  <c r="J486" i="3"/>
  <c r="H489" i="3" l="1"/>
  <c r="J487" i="3"/>
  <c r="H490" i="3" l="1"/>
  <c r="J488" i="3"/>
  <c r="H491" i="3" l="1"/>
  <c r="J489" i="3"/>
  <c r="H492" i="3" l="1"/>
  <c r="J490" i="3"/>
  <c r="H493" i="3" l="1"/>
  <c r="J491" i="3"/>
  <c r="H494" i="3" l="1"/>
  <c r="J492" i="3"/>
  <c r="H495" i="3" l="1"/>
  <c r="J493" i="3"/>
  <c r="H496" i="3" l="1"/>
  <c r="J494" i="3"/>
  <c r="H497" i="3" l="1"/>
  <c r="J495" i="3"/>
  <c r="H498" i="3" l="1"/>
  <c r="J496" i="3"/>
  <c r="H499" i="3" l="1"/>
  <c r="J497" i="3"/>
  <c r="H500" i="3" l="1"/>
  <c r="J498" i="3"/>
  <c r="H501" i="3" l="1"/>
  <c r="J499" i="3"/>
  <c r="H502" i="3" l="1"/>
  <c r="J500" i="3"/>
  <c r="H503" i="3" l="1"/>
  <c r="J501" i="3"/>
  <c r="H504" i="3" l="1"/>
  <c r="J502" i="3"/>
  <c r="H505" i="3" l="1"/>
  <c r="J503" i="3"/>
  <c r="H506" i="3" l="1"/>
  <c r="J504" i="3"/>
  <c r="H507" i="3" l="1"/>
  <c r="J505" i="3"/>
  <c r="H508" i="3" l="1"/>
  <c r="J506" i="3"/>
  <c r="H509" i="3" l="1"/>
  <c r="J507" i="3"/>
  <c r="H510" i="3" l="1"/>
  <c r="J508" i="3"/>
  <c r="H511" i="3" l="1"/>
  <c r="J509" i="3"/>
  <c r="H512" i="3" l="1"/>
  <c r="J510" i="3"/>
  <c r="H513" i="3" l="1"/>
  <c r="J511" i="3"/>
  <c r="H514" i="3" l="1"/>
  <c r="J512" i="3"/>
  <c r="H515" i="3" l="1"/>
  <c r="J513" i="3"/>
  <c r="H516" i="3" l="1"/>
  <c r="J514" i="3"/>
  <c r="H517" i="3" l="1"/>
  <c r="J515" i="3"/>
  <c r="H518" i="3" l="1"/>
  <c r="J516" i="3"/>
  <c r="H519" i="3" l="1"/>
  <c r="J517" i="3"/>
  <c r="H520" i="3" l="1"/>
  <c r="J518" i="3"/>
  <c r="H521" i="3" l="1"/>
  <c r="J519" i="3"/>
  <c r="H522" i="3" l="1"/>
  <c r="J520" i="3"/>
  <c r="H523" i="3" l="1"/>
  <c r="J521" i="3"/>
  <c r="H524" i="3" l="1"/>
  <c r="J522" i="3"/>
  <c r="H525" i="3" l="1"/>
  <c r="J523" i="3"/>
  <c r="H526" i="3" l="1"/>
  <c r="J524" i="3"/>
  <c r="H527" i="3" l="1"/>
  <c r="J525" i="3"/>
  <c r="H528" i="3" l="1"/>
  <c r="J526" i="3"/>
  <c r="H529" i="3" l="1"/>
  <c r="J527" i="3"/>
  <c r="H530" i="3" l="1"/>
  <c r="J528" i="3"/>
  <c r="H531" i="3" l="1"/>
  <c r="J529" i="3"/>
  <c r="H532" i="3" l="1"/>
  <c r="J530" i="3"/>
  <c r="H533" i="3" l="1"/>
  <c r="J531" i="3"/>
  <c r="H534" i="3" l="1"/>
  <c r="J532" i="3"/>
  <c r="H535" i="3" l="1"/>
  <c r="J533" i="3"/>
  <c r="H536" i="3" l="1"/>
  <c r="J534" i="3"/>
  <c r="H537" i="3" l="1"/>
  <c r="J535" i="3"/>
  <c r="H538" i="3" l="1"/>
  <c r="J536" i="3"/>
  <c r="H539" i="3" l="1"/>
  <c r="J537" i="3"/>
  <c r="H540" i="3" l="1"/>
  <c r="J538" i="3"/>
  <c r="H541" i="3" l="1"/>
  <c r="J539" i="3"/>
  <c r="H542" i="3" l="1"/>
  <c r="J540" i="3"/>
  <c r="H543" i="3" l="1"/>
  <c r="J541" i="3"/>
  <c r="H544" i="3" l="1"/>
  <c r="J542" i="3"/>
  <c r="H545" i="3" l="1"/>
  <c r="J543" i="3"/>
  <c r="H546" i="3" l="1"/>
  <c r="J544" i="3"/>
  <c r="H547" i="3" l="1"/>
  <c r="J545" i="3"/>
  <c r="H548" i="3" l="1"/>
  <c r="J546" i="3"/>
  <c r="H549" i="3" l="1"/>
  <c r="J547" i="3"/>
  <c r="H550" i="3" l="1"/>
  <c r="J548" i="3"/>
  <c r="H551" i="3" l="1"/>
  <c r="J549" i="3"/>
  <c r="H552" i="3" l="1"/>
  <c r="J550" i="3"/>
  <c r="H553" i="3" l="1"/>
  <c r="J551" i="3"/>
  <c r="H554" i="3" l="1"/>
  <c r="J552" i="3"/>
  <c r="H555" i="3" l="1"/>
  <c r="J553" i="3"/>
  <c r="H556" i="3" l="1"/>
  <c r="J554" i="3"/>
  <c r="H557" i="3" l="1"/>
  <c r="J555" i="3"/>
  <c r="H558" i="3" l="1"/>
  <c r="J556" i="3"/>
  <c r="H559" i="3" l="1"/>
  <c r="J557" i="3"/>
  <c r="H560" i="3" l="1"/>
  <c r="J558" i="3"/>
  <c r="H561" i="3" l="1"/>
  <c r="J559" i="3"/>
  <c r="H562" i="3" l="1"/>
  <c r="J560" i="3"/>
  <c r="H563" i="3" l="1"/>
  <c r="J561" i="3"/>
  <c r="H564" i="3" l="1"/>
  <c r="J562" i="3"/>
  <c r="H565" i="3" l="1"/>
  <c r="J563" i="3"/>
  <c r="H566" i="3" l="1"/>
  <c r="J564" i="3"/>
  <c r="H567" i="3" l="1"/>
  <c r="J565" i="3"/>
  <c r="H568" i="3" l="1"/>
  <c r="J566" i="3"/>
  <c r="H569" i="3" l="1"/>
  <c r="J567" i="3"/>
  <c r="H570" i="3" l="1"/>
  <c r="J568" i="3"/>
  <c r="H571" i="3" l="1"/>
  <c r="J569" i="3"/>
  <c r="H572" i="3" l="1"/>
  <c r="J570" i="3"/>
  <c r="H573" i="3" l="1"/>
  <c r="J571" i="3"/>
  <c r="H574" i="3" l="1"/>
  <c r="J572" i="3"/>
  <c r="H575" i="3" l="1"/>
  <c r="J573" i="3"/>
  <c r="H576" i="3" l="1"/>
  <c r="J574" i="3"/>
  <c r="H577" i="3" l="1"/>
  <c r="J575" i="3"/>
  <c r="H578" i="3" l="1"/>
  <c r="J576" i="3"/>
  <c r="H579" i="3" l="1"/>
  <c r="J577" i="3"/>
  <c r="H580" i="3" l="1"/>
  <c r="J578" i="3"/>
  <c r="H581" i="3" l="1"/>
  <c r="J579" i="3"/>
  <c r="H582" i="3" l="1"/>
  <c r="J580" i="3"/>
  <c r="H583" i="3" l="1"/>
  <c r="J581" i="3"/>
  <c r="H584" i="3" l="1"/>
  <c r="J582" i="3"/>
  <c r="H585" i="3" l="1"/>
  <c r="J583" i="3"/>
  <c r="H586" i="3" l="1"/>
  <c r="J584" i="3"/>
  <c r="H587" i="3" l="1"/>
  <c r="J585" i="3"/>
  <c r="H588" i="3" l="1"/>
  <c r="J586" i="3"/>
  <c r="H589" i="3" l="1"/>
  <c r="J587" i="3"/>
  <c r="H590" i="3" l="1"/>
  <c r="J588" i="3"/>
  <c r="H591" i="3" l="1"/>
  <c r="J589" i="3"/>
  <c r="H592" i="3" l="1"/>
  <c r="J590" i="3"/>
  <c r="H593" i="3" l="1"/>
  <c r="J591" i="3"/>
  <c r="H594" i="3" l="1"/>
  <c r="J592" i="3"/>
  <c r="H595" i="3" l="1"/>
  <c r="J593" i="3"/>
  <c r="H596" i="3" l="1"/>
  <c r="J594" i="3"/>
  <c r="H597" i="3" l="1"/>
  <c r="J595" i="3"/>
  <c r="H598" i="3" l="1"/>
  <c r="J596" i="3"/>
  <c r="H599" i="3" l="1"/>
  <c r="J597" i="3"/>
  <c r="H600" i="3" l="1"/>
  <c r="J598" i="3"/>
  <c r="H601" i="3" l="1"/>
  <c r="J599" i="3"/>
  <c r="H602" i="3" l="1"/>
  <c r="J600" i="3"/>
  <c r="H603" i="3" l="1"/>
  <c r="J601" i="3"/>
  <c r="H604" i="3" l="1"/>
  <c r="J602" i="3"/>
  <c r="H605" i="3" l="1"/>
  <c r="J603" i="3"/>
  <c r="H606" i="3" l="1"/>
  <c r="J604" i="3"/>
  <c r="H607" i="3" l="1"/>
  <c r="J605" i="3"/>
  <c r="H608" i="3" l="1"/>
  <c r="J606" i="3"/>
  <c r="H609" i="3" l="1"/>
  <c r="J607" i="3"/>
  <c r="H610" i="3" l="1"/>
  <c r="J608" i="3"/>
  <c r="H611" i="3" l="1"/>
  <c r="J609" i="3"/>
  <c r="H612" i="3" l="1"/>
  <c r="J610" i="3"/>
  <c r="H613" i="3" l="1"/>
  <c r="J611" i="3"/>
  <c r="H614" i="3" l="1"/>
  <c r="J612" i="3"/>
  <c r="H615" i="3" l="1"/>
  <c r="J613" i="3"/>
  <c r="H616" i="3" l="1"/>
  <c r="J614" i="3"/>
  <c r="H617" i="3" l="1"/>
  <c r="J615" i="3"/>
  <c r="H618" i="3" l="1"/>
  <c r="J616" i="3"/>
  <c r="H619" i="3" l="1"/>
  <c r="J617" i="3"/>
  <c r="H620" i="3" l="1"/>
  <c r="J618" i="3"/>
  <c r="H621" i="3" l="1"/>
  <c r="J619" i="3"/>
  <c r="H622" i="3" l="1"/>
  <c r="J620" i="3"/>
  <c r="H623" i="3" l="1"/>
  <c r="J621" i="3"/>
  <c r="H624" i="3" l="1"/>
  <c r="J622" i="3"/>
  <c r="H625" i="3" l="1"/>
  <c r="J623" i="3"/>
  <c r="H626" i="3" l="1"/>
  <c r="J624" i="3"/>
  <c r="H627" i="3" l="1"/>
  <c r="J625" i="3"/>
  <c r="H628" i="3" l="1"/>
  <c r="J626" i="3"/>
  <c r="H629" i="3" l="1"/>
  <c r="J627" i="3"/>
  <c r="H630" i="3" l="1"/>
  <c r="J628" i="3"/>
  <c r="H631" i="3" l="1"/>
  <c r="J629" i="3"/>
  <c r="H632" i="3" l="1"/>
  <c r="J630" i="3"/>
  <c r="H633" i="3" l="1"/>
  <c r="J631" i="3"/>
  <c r="H634" i="3" l="1"/>
  <c r="J632" i="3"/>
  <c r="H635" i="3" l="1"/>
  <c r="J633" i="3"/>
  <c r="H636" i="3" l="1"/>
  <c r="J634" i="3"/>
  <c r="H637" i="3" l="1"/>
  <c r="J635" i="3"/>
  <c r="H638" i="3" l="1"/>
  <c r="J636" i="3"/>
  <c r="H639" i="3" l="1"/>
  <c r="J637" i="3"/>
  <c r="H640" i="3" l="1"/>
  <c r="J638" i="3"/>
  <c r="H641" i="3" l="1"/>
  <c r="J639" i="3"/>
  <c r="H642" i="3" l="1"/>
  <c r="J640" i="3"/>
  <c r="H643" i="3" l="1"/>
  <c r="J641" i="3"/>
  <c r="H644" i="3" l="1"/>
  <c r="J642" i="3"/>
  <c r="H645" i="3" l="1"/>
  <c r="J643" i="3"/>
  <c r="H646" i="3" l="1"/>
  <c r="J644" i="3"/>
  <c r="H647" i="3" l="1"/>
  <c r="J645" i="3"/>
  <c r="H648" i="3" l="1"/>
  <c r="J646" i="3"/>
  <c r="H649" i="3" l="1"/>
  <c r="J647" i="3"/>
  <c r="H650" i="3" l="1"/>
  <c r="J648" i="3"/>
  <c r="H651" i="3" l="1"/>
  <c r="J649" i="3"/>
  <c r="H652" i="3" l="1"/>
  <c r="J650" i="3"/>
  <c r="H653" i="3" l="1"/>
  <c r="J651" i="3"/>
  <c r="H654" i="3" l="1"/>
  <c r="J652" i="3"/>
  <c r="H655" i="3" l="1"/>
  <c r="J653" i="3"/>
  <c r="H656" i="3" l="1"/>
  <c r="J654" i="3"/>
  <c r="H657" i="3" l="1"/>
  <c r="J655" i="3"/>
  <c r="H658" i="3" l="1"/>
  <c r="J656" i="3"/>
  <c r="H659" i="3" l="1"/>
  <c r="J657" i="3"/>
  <c r="H660" i="3" l="1"/>
  <c r="J658" i="3"/>
  <c r="H661" i="3" l="1"/>
  <c r="J659" i="3"/>
  <c r="H662" i="3" l="1"/>
  <c r="J660" i="3"/>
  <c r="H663" i="3" l="1"/>
  <c r="J661" i="3"/>
  <c r="H664" i="3" l="1"/>
  <c r="J662" i="3"/>
  <c r="H665" i="3" l="1"/>
  <c r="J663" i="3"/>
  <c r="H666" i="3" l="1"/>
  <c r="J664" i="3"/>
  <c r="H667" i="3" l="1"/>
  <c r="J665" i="3"/>
  <c r="H668" i="3" l="1"/>
  <c r="J666" i="3"/>
  <c r="H669" i="3" l="1"/>
  <c r="J667" i="3"/>
  <c r="H670" i="3" l="1"/>
  <c r="J668" i="3"/>
  <c r="H671" i="3" l="1"/>
  <c r="J669" i="3"/>
  <c r="H672" i="3" l="1"/>
  <c r="J670" i="3"/>
  <c r="H673" i="3" l="1"/>
  <c r="J671" i="3"/>
  <c r="H674" i="3" l="1"/>
  <c r="J672" i="3"/>
  <c r="H675" i="3" l="1"/>
  <c r="J673" i="3"/>
  <c r="H676" i="3" l="1"/>
  <c r="J674" i="3"/>
  <c r="H677" i="3" l="1"/>
  <c r="J675" i="3"/>
  <c r="H678" i="3" l="1"/>
  <c r="J676" i="3"/>
  <c r="H679" i="3" l="1"/>
  <c r="J677" i="3"/>
  <c r="H680" i="3" l="1"/>
  <c r="J678" i="3"/>
  <c r="H681" i="3" l="1"/>
  <c r="J679" i="3"/>
  <c r="H682" i="3" l="1"/>
  <c r="J680" i="3"/>
  <c r="H683" i="3" l="1"/>
  <c r="J681" i="3"/>
  <c r="H684" i="3" l="1"/>
  <c r="J682" i="3"/>
  <c r="H685" i="3" l="1"/>
  <c r="J683" i="3"/>
  <c r="H686" i="3" l="1"/>
  <c r="J684" i="3"/>
  <c r="H687" i="3" l="1"/>
  <c r="J685" i="3"/>
  <c r="H688" i="3" l="1"/>
  <c r="J686" i="3"/>
  <c r="H689" i="3" l="1"/>
  <c r="J687" i="3"/>
  <c r="H690" i="3" l="1"/>
  <c r="J688" i="3"/>
  <c r="H691" i="3" l="1"/>
  <c r="J689" i="3"/>
  <c r="H692" i="3" l="1"/>
  <c r="J690" i="3"/>
  <c r="H693" i="3" l="1"/>
  <c r="J691" i="3"/>
  <c r="H694" i="3" l="1"/>
  <c r="J692" i="3"/>
  <c r="H695" i="3" l="1"/>
  <c r="J693" i="3"/>
  <c r="H696" i="3" l="1"/>
  <c r="J694" i="3"/>
  <c r="H697" i="3" l="1"/>
  <c r="J695" i="3"/>
  <c r="H698" i="3" l="1"/>
  <c r="J696" i="3"/>
  <c r="H699" i="3" l="1"/>
  <c r="J697" i="3"/>
  <c r="H700" i="3" l="1"/>
  <c r="J698" i="3"/>
  <c r="H701" i="3" l="1"/>
  <c r="J699" i="3"/>
  <c r="H702" i="3" l="1"/>
  <c r="J700" i="3"/>
  <c r="H703" i="3" l="1"/>
  <c r="J701" i="3"/>
  <c r="H704" i="3" l="1"/>
  <c r="J702" i="3"/>
  <c r="H705" i="3" l="1"/>
  <c r="J703" i="3"/>
  <c r="H706" i="3" l="1"/>
  <c r="J704" i="3"/>
  <c r="H707" i="3" l="1"/>
  <c r="J705" i="3"/>
  <c r="H708" i="3" l="1"/>
  <c r="J706" i="3"/>
  <c r="H709" i="3" l="1"/>
  <c r="J707" i="3"/>
  <c r="H710" i="3" l="1"/>
  <c r="J708" i="3"/>
  <c r="H711" i="3" l="1"/>
  <c r="J709" i="3"/>
  <c r="H712" i="3" l="1"/>
  <c r="J710" i="3"/>
  <c r="H713" i="3" l="1"/>
  <c r="J711" i="3"/>
  <c r="H714" i="3" l="1"/>
  <c r="J712" i="3"/>
  <c r="H715" i="3" l="1"/>
  <c r="J713" i="3"/>
  <c r="H716" i="3" l="1"/>
  <c r="J714" i="3"/>
  <c r="H717" i="3" l="1"/>
  <c r="J715" i="3"/>
  <c r="H718" i="3" l="1"/>
  <c r="J716" i="3"/>
  <c r="H719" i="3" l="1"/>
  <c r="J717" i="3"/>
  <c r="H720" i="3" l="1"/>
  <c r="J718" i="3"/>
  <c r="H721" i="3" l="1"/>
  <c r="J719" i="3"/>
  <c r="H722" i="3" l="1"/>
  <c r="J720" i="3"/>
  <c r="H723" i="3" l="1"/>
  <c r="J721" i="3"/>
  <c r="H724" i="3" l="1"/>
  <c r="J722" i="3"/>
  <c r="H725" i="3" l="1"/>
  <c r="J723" i="3"/>
  <c r="H726" i="3" l="1"/>
  <c r="J724" i="3"/>
  <c r="H727" i="3" l="1"/>
  <c r="J725" i="3"/>
  <c r="H728" i="3" l="1"/>
  <c r="J726" i="3"/>
  <c r="H729" i="3" l="1"/>
  <c r="J727" i="3"/>
  <c r="H730" i="3" l="1"/>
  <c r="J728" i="3"/>
  <c r="H731" i="3" l="1"/>
  <c r="J729" i="3"/>
  <c r="H732" i="3" l="1"/>
  <c r="J730" i="3"/>
  <c r="H733" i="3" l="1"/>
  <c r="J731" i="3"/>
  <c r="H734" i="3" l="1"/>
  <c r="J732" i="3"/>
  <c r="H735" i="3" l="1"/>
  <c r="J733" i="3"/>
  <c r="H736" i="3" l="1"/>
  <c r="J734" i="3"/>
  <c r="H737" i="3" l="1"/>
  <c r="J735" i="3"/>
  <c r="H738" i="3" l="1"/>
  <c r="J736" i="3"/>
  <c r="H739" i="3" l="1"/>
  <c r="J737" i="3"/>
  <c r="H740" i="3" l="1"/>
  <c r="J738" i="3"/>
  <c r="H741" i="3" l="1"/>
  <c r="J739" i="3"/>
  <c r="H742" i="3" l="1"/>
  <c r="J740" i="3"/>
  <c r="H743" i="3" l="1"/>
  <c r="J741" i="3"/>
  <c r="H744" i="3" l="1"/>
  <c r="J742" i="3"/>
  <c r="H745" i="3" l="1"/>
  <c r="J743" i="3"/>
  <c r="H746" i="3" l="1"/>
  <c r="J744" i="3"/>
  <c r="H747" i="3" l="1"/>
  <c r="J745" i="3"/>
  <c r="H748" i="3" l="1"/>
  <c r="J746" i="3"/>
  <c r="H749" i="3" l="1"/>
  <c r="J747" i="3"/>
  <c r="H750" i="3" l="1"/>
  <c r="J748" i="3"/>
  <c r="H751" i="3" l="1"/>
  <c r="J749" i="3"/>
  <c r="H752" i="3" l="1"/>
  <c r="J750" i="3"/>
  <c r="H753" i="3" l="1"/>
  <c r="J751" i="3"/>
  <c r="H754" i="3" l="1"/>
  <c r="J752" i="3"/>
  <c r="H755" i="3" l="1"/>
  <c r="J753" i="3"/>
  <c r="H756" i="3" l="1"/>
  <c r="J754" i="3"/>
  <c r="H757" i="3" l="1"/>
  <c r="J755" i="3"/>
  <c r="H758" i="3" l="1"/>
  <c r="J756" i="3"/>
  <c r="H759" i="3" l="1"/>
  <c r="J757" i="3"/>
  <c r="H760" i="3" l="1"/>
  <c r="J758" i="3"/>
  <c r="H761" i="3" l="1"/>
  <c r="J759" i="3"/>
  <c r="H762" i="3" l="1"/>
  <c r="J760" i="3"/>
  <c r="H763" i="3" l="1"/>
  <c r="J761" i="3"/>
  <c r="H764" i="3" l="1"/>
  <c r="J762" i="3"/>
  <c r="H765" i="3" l="1"/>
  <c r="J763" i="3"/>
  <c r="H766" i="3" l="1"/>
  <c r="J764" i="3"/>
  <c r="H767" i="3" l="1"/>
  <c r="J765" i="3"/>
  <c r="H768" i="3" l="1"/>
  <c r="J766" i="3"/>
  <c r="H769" i="3" l="1"/>
  <c r="J767" i="3"/>
  <c r="H770" i="3" l="1"/>
  <c r="J768" i="3"/>
  <c r="H771" i="3" l="1"/>
  <c r="J769" i="3"/>
  <c r="H772" i="3" l="1"/>
  <c r="J770" i="3"/>
  <c r="H773" i="3" l="1"/>
  <c r="J771" i="3"/>
  <c r="H774" i="3" l="1"/>
  <c r="J772" i="3"/>
  <c r="H775" i="3" l="1"/>
  <c r="J773" i="3"/>
  <c r="H776" i="3" l="1"/>
  <c r="J774" i="3"/>
  <c r="H777" i="3" l="1"/>
  <c r="J775" i="3"/>
  <c r="H778" i="3" l="1"/>
  <c r="J776" i="3"/>
  <c r="H779" i="3" l="1"/>
  <c r="J777" i="3"/>
  <c r="H780" i="3" l="1"/>
  <c r="J778" i="3"/>
  <c r="H781" i="3" l="1"/>
  <c r="J779" i="3"/>
  <c r="H782" i="3" l="1"/>
  <c r="J780" i="3"/>
  <c r="H783" i="3" l="1"/>
  <c r="J781" i="3"/>
  <c r="H784" i="3" l="1"/>
  <c r="J782" i="3"/>
  <c r="H785" i="3" l="1"/>
  <c r="J783" i="3"/>
  <c r="H786" i="3" l="1"/>
  <c r="J784" i="3"/>
  <c r="H787" i="3" l="1"/>
  <c r="J785" i="3"/>
  <c r="H788" i="3" l="1"/>
  <c r="J786" i="3"/>
  <c r="H789" i="3" l="1"/>
  <c r="J787" i="3"/>
  <c r="H790" i="3" l="1"/>
  <c r="J788" i="3"/>
  <c r="H791" i="3" l="1"/>
  <c r="J789" i="3"/>
  <c r="H792" i="3" l="1"/>
  <c r="J790" i="3"/>
  <c r="H793" i="3" l="1"/>
  <c r="J791" i="3"/>
  <c r="H794" i="3" l="1"/>
  <c r="J792" i="3"/>
  <c r="H795" i="3" l="1"/>
  <c r="J793" i="3"/>
  <c r="H796" i="3" l="1"/>
  <c r="J794" i="3"/>
  <c r="H797" i="3" l="1"/>
  <c r="J795" i="3"/>
  <c r="H798" i="3" l="1"/>
  <c r="J796" i="3"/>
  <c r="H799" i="3" l="1"/>
  <c r="J797" i="3"/>
  <c r="H800" i="3" l="1"/>
  <c r="J798" i="3"/>
  <c r="H801" i="3" l="1"/>
  <c r="J799" i="3"/>
  <c r="H802" i="3" l="1"/>
  <c r="J800" i="3"/>
  <c r="H803" i="3" l="1"/>
  <c r="J801" i="3"/>
  <c r="H804" i="3" l="1"/>
  <c r="J802" i="3"/>
  <c r="H805" i="3" l="1"/>
  <c r="J803" i="3"/>
  <c r="H806" i="3" l="1"/>
  <c r="J804" i="3"/>
  <c r="H807" i="3" l="1"/>
  <c r="J805" i="3"/>
  <c r="H808" i="3" l="1"/>
  <c r="J806" i="3"/>
  <c r="H809" i="3" l="1"/>
  <c r="J807" i="3"/>
  <c r="H810" i="3" l="1"/>
  <c r="J808" i="3"/>
  <c r="H811" i="3" l="1"/>
  <c r="J809" i="3"/>
  <c r="H812" i="3" l="1"/>
  <c r="J810" i="3"/>
  <c r="H813" i="3" l="1"/>
  <c r="J811" i="3"/>
  <c r="H814" i="3" l="1"/>
  <c r="J812" i="3"/>
  <c r="H815" i="3" l="1"/>
  <c r="J813" i="3"/>
  <c r="H816" i="3" l="1"/>
  <c r="J814" i="3"/>
  <c r="H817" i="3" l="1"/>
  <c r="J815" i="3"/>
  <c r="H818" i="3" l="1"/>
  <c r="J816" i="3"/>
  <c r="H819" i="3" l="1"/>
  <c r="J817" i="3"/>
  <c r="H820" i="3" l="1"/>
  <c r="J818" i="3"/>
  <c r="H821" i="3" l="1"/>
  <c r="J819" i="3"/>
  <c r="H822" i="3" l="1"/>
  <c r="J820" i="3"/>
  <c r="H823" i="3" l="1"/>
  <c r="J821" i="3"/>
  <c r="H824" i="3" l="1"/>
  <c r="J822" i="3"/>
  <c r="H825" i="3" l="1"/>
  <c r="J823" i="3"/>
  <c r="H826" i="3" l="1"/>
  <c r="J824" i="3"/>
  <c r="H827" i="3" l="1"/>
  <c r="J825" i="3"/>
  <c r="H828" i="3" l="1"/>
  <c r="J826" i="3"/>
  <c r="H829" i="3" l="1"/>
  <c r="J827" i="3"/>
  <c r="H830" i="3" l="1"/>
  <c r="J828" i="3"/>
  <c r="H831" i="3" l="1"/>
  <c r="J829" i="3"/>
  <c r="H832" i="3" l="1"/>
  <c r="J830" i="3"/>
  <c r="H833" i="3" l="1"/>
  <c r="J831" i="3"/>
  <c r="H834" i="3" l="1"/>
  <c r="J832" i="3"/>
  <c r="H835" i="3" l="1"/>
  <c r="J833" i="3"/>
  <c r="H836" i="3" l="1"/>
  <c r="J834" i="3"/>
  <c r="H837" i="3" l="1"/>
  <c r="J835" i="3"/>
  <c r="H838" i="3" l="1"/>
  <c r="J836" i="3"/>
  <c r="H839" i="3" l="1"/>
  <c r="J837" i="3"/>
  <c r="H840" i="3" l="1"/>
  <c r="J838" i="3"/>
  <c r="H841" i="3" l="1"/>
  <c r="J839" i="3"/>
  <c r="H842" i="3" l="1"/>
  <c r="J840" i="3"/>
  <c r="H843" i="3" l="1"/>
  <c r="J841" i="3"/>
  <c r="H844" i="3" l="1"/>
  <c r="J842" i="3"/>
  <c r="H845" i="3" l="1"/>
  <c r="J843" i="3"/>
  <c r="H846" i="3" l="1"/>
  <c r="J844" i="3"/>
  <c r="H847" i="3" l="1"/>
  <c r="J845" i="3"/>
  <c r="H848" i="3" l="1"/>
  <c r="J846" i="3"/>
  <c r="H849" i="3" l="1"/>
  <c r="J847" i="3"/>
  <c r="H850" i="3" l="1"/>
  <c r="J848" i="3"/>
  <c r="H851" i="3" l="1"/>
  <c r="J849" i="3"/>
  <c r="H852" i="3" l="1"/>
  <c r="J850" i="3"/>
  <c r="H853" i="3" l="1"/>
  <c r="J851" i="3"/>
  <c r="H854" i="3" l="1"/>
  <c r="J852" i="3"/>
  <c r="H855" i="3" l="1"/>
  <c r="J853" i="3"/>
  <c r="H856" i="3" l="1"/>
  <c r="J854" i="3"/>
  <c r="H857" i="3" l="1"/>
  <c r="J855" i="3"/>
  <c r="H858" i="3" l="1"/>
  <c r="J856" i="3"/>
  <c r="H859" i="3" l="1"/>
  <c r="J857" i="3"/>
  <c r="H860" i="3" l="1"/>
  <c r="J858" i="3"/>
  <c r="H861" i="3" l="1"/>
  <c r="J859" i="3"/>
  <c r="H862" i="3" l="1"/>
  <c r="J860" i="3"/>
  <c r="H863" i="3" l="1"/>
  <c r="J861" i="3"/>
  <c r="H864" i="3" l="1"/>
  <c r="J862" i="3"/>
  <c r="H865" i="3" l="1"/>
  <c r="J863" i="3"/>
  <c r="H866" i="3" l="1"/>
  <c r="J864" i="3"/>
  <c r="H867" i="3" l="1"/>
  <c r="J865" i="3"/>
  <c r="H868" i="3" l="1"/>
  <c r="J866" i="3"/>
  <c r="H869" i="3" l="1"/>
  <c r="J867" i="3"/>
  <c r="H870" i="3" l="1"/>
  <c r="J868" i="3"/>
  <c r="H871" i="3" l="1"/>
  <c r="J869" i="3"/>
  <c r="H872" i="3" l="1"/>
  <c r="J870" i="3"/>
  <c r="H873" i="3" l="1"/>
  <c r="J871" i="3"/>
  <c r="H874" i="3" l="1"/>
  <c r="J872" i="3"/>
  <c r="H875" i="3" l="1"/>
  <c r="J873" i="3"/>
  <c r="H876" i="3" l="1"/>
  <c r="J874" i="3"/>
  <c r="H877" i="3" l="1"/>
  <c r="J875" i="3"/>
  <c r="H878" i="3" l="1"/>
  <c r="J876" i="3"/>
  <c r="H879" i="3" l="1"/>
  <c r="J877" i="3"/>
  <c r="H880" i="3" l="1"/>
  <c r="J878" i="3"/>
  <c r="H881" i="3" l="1"/>
  <c r="J879" i="3"/>
  <c r="H882" i="3" l="1"/>
  <c r="J880" i="3"/>
  <c r="H883" i="3" l="1"/>
  <c r="J881" i="3"/>
  <c r="H884" i="3" l="1"/>
  <c r="J882" i="3"/>
  <c r="H885" i="3" l="1"/>
  <c r="J883" i="3"/>
  <c r="H886" i="3" l="1"/>
  <c r="J884" i="3"/>
  <c r="H887" i="3" l="1"/>
  <c r="J885" i="3"/>
  <c r="H888" i="3" l="1"/>
  <c r="J886" i="3"/>
  <c r="H889" i="3" l="1"/>
  <c r="J887" i="3"/>
  <c r="H890" i="3" l="1"/>
  <c r="J888" i="3"/>
  <c r="H891" i="3" l="1"/>
  <c r="J889" i="3"/>
  <c r="H892" i="3" l="1"/>
  <c r="J890" i="3"/>
  <c r="H893" i="3" l="1"/>
  <c r="J891" i="3"/>
  <c r="H894" i="3" l="1"/>
  <c r="J892" i="3"/>
  <c r="H895" i="3" l="1"/>
  <c r="J893" i="3"/>
  <c r="H896" i="3" l="1"/>
  <c r="J894" i="3"/>
  <c r="H897" i="3" l="1"/>
  <c r="J895" i="3"/>
  <c r="H898" i="3" l="1"/>
  <c r="J896" i="3"/>
  <c r="H899" i="3" l="1"/>
  <c r="J897" i="3"/>
  <c r="H900" i="3" l="1"/>
  <c r="J898" i="3"/>
  <c r="H901" i="3" l="1"/>
  <c r="J899" i="3"/>
  <c r="H902" i="3" l="1"/>
  <c r="J900" i="3"/>
  <c r="H903" i="3" l="1"/>
  <c r="J901" i="3"/>
  <c r="H904" i="3" l="1"/>
  <c r="J902" i="3"/>
  <c r="H905" i="3" l="1"/>
  <c r="J903" i="3"/>
  <c r="H906" i="3" l="1"/>
  <c r="J904" i="3"/>
  <c r="H907" i="3" l="1"/>
  <c r="J905" i="3"/>
  <c r="H908" i="3" l="1"/>
  <c r="J906" i="3"/>
  <c r="H909" i="3" l="1"/>
  <c r="J907" i="3"/>
  <c r="H910" i="3" l="1"/>
  <c r="J908" i="3"/>
  <c r="H911" i="3" l="1"/>
  <c r="J909" i="3"/>
  <c r="H912" i="3" l="1"/>
  <c r="J910" i="3"/>
  <c r="H913" i="3" l="1"/>
  <c r="J911" i="3"/>
  <c r="H914" i="3" l="1"/>
  <c r="J912" i="3"/>
  <c r="H915" i="3" l="1"/>
  <c r="J913" i="3"/>
  <c r="H916" i="3" l="1"/>
  <c r="J914" i="3"/>
  <c r="H917" i="3" l="1"/>
  <c r="J915" i="3"/>
  <c r="H918" i="3" l="1"/>
  <c r="J916" i="3"/>
  <c r="H919" i="3" l="1"/>
  <c r="J917" i="3"/>
  <c r="H920" i="3" l="1"/>
  <c r="J918" i="3"/>
  <c r="H921" i="3" l="1"/>
  <c r="J919" i="3"/>
  <c r="H922" i="3" l="1"/>
  <c r="J920" i="3"/>
  <c r="H923" i="3" l="1"/>
  <c r="J921" i="3"/>
  <c r="H924" i="3" l="1"/>
  <c r="J922" i="3"/>
  <c r="H925" i="3" l="1"/>
  <c r="J923" i="3"/>
  <c r="H926" i="3" l="1"/>
  <c r="J924" i="3"/>
  <c r="H927" i="3" l="1"/>
  <c r="J925" i="3"/>
  <c r="H928" i="3" l="1"/>
  <c r="J926" i="3"/>
  <c r="H929" i="3" l="1"/>
  <c r="J927" i="3"/>
  <c r="H930" i="3" l="1"/>
  <c r="J928" i="3"/>
  <c r="H931" i="3" l="1"/>
  <c r="J929" i="3"/>
  <c r="H932" i="3" l="1"/>
  <c r="J930" i="3"/>
  <c r="H933" i="3" l="1"/>
  <c r="J931" i="3"/>
  <c r="H934" i="3" l="1"/>
  <c r="J932" i="3"/>
  <c r="H935" i="3" l="1"/>
  <c r="J933" i="3"/>
  <c r="H936" i="3" l="1"/>
  <c r="J934" i="3"/>
  <c r="H937" i="3" l="1"/>
  <c r="J935" i="3"/>
  <c r="H938" i="3" l="1"/>
  <c r="J936" i="3"/>
  <c r="H939" i="3" l="1"/>
  <c r="J937" i="3"/>
  <c r="H940" i="3" l="1"/>
  <c r="J938" i="3"/>
  <c r="H941" i="3" l="1"/>
  <c r="J939" i="3"/>
  <c r="H942" i="3" l="1"/>
  <c r="J940" i="3"/>
  <c r="H943" i="3" l="1"/>
  <c r="J941" i="3"/>
  <c r="H944" i="3" l="1"/>
  <c r="J942" i="3"/>
  <c r="H945" i="3" l="1"/>
  <c r="J943" i="3"/>
  <c r="H946" i="3" l="1"/>
  <c r="J944" i="3"/>
  <c r="H947" i="3" l="1"/>
  <c r="J945" i="3"/>
  <c r="H948" i="3" l="1"/>
  <c r="J946" i="3"/>
  <c r="H949" i="3" l="1"/>
  <c r="J947" i="3"/>
  <c r="H950" i="3" l="1"/>
  <c r="J948" i="3"/>
  <c r="H951" i="3" l="1"/>
  <c r="J949" i="3"/>
  <c r="H952" i="3" l="1"/>
  <c r="J950" i="3"/>
  <c r="H953" i="3" l="1"/>
  <c r="J951" i="3"/>
  <c r="H954" i="3" l="1"/>
  <c r="J952" i="3"/>
  <c r="H955" i="3" l="1"/>
  <c r="J953" i="3"/>
  <c r="H956" i="3" l="1"/>
  <c r="J954" i="3"/>
  <c r="H957" i="3" l="1"/>
  <c r="J955" i="3"/>
  <c r="H958" i="3" l="1"/>
  <c r="J956" i="3"/>
  <c r="H959" i="3" l="1"/>
  <c r="J957" i="3"/>
  <c r="H960" i="3" l="1"/>
  <c r="J958" i="3"/>
  <c r="H961" i="3" l="1"/>
  <c r="J959" i="3"/>
  <c r="H962" i="3" l="1"/>
  <c r="J960" i="3"/>
  <c r="H963" i="3" l="1"/>
  <c r="J961" i="3"/>
  <c r="H964" i="3" l="1"/>
  <c r="J962" i="3"/>
  <c r="H965" i="3" l="1"/>
  <c r="J963" i="3"/>
  <c r="H966" i="3" l="1"/>
  <c r="J964" i="3"/>
  <c r="H967" i="3" l="1"/>
  <c r="J965" i="3"/>
  <c r="H968" i="3" l="1"/>
  <c r="J966" i="3"/>
  <c r="H969" i="3" l="1"/>
  <c r="J967" i="3"/>
  <c r="H970" i="3" l="1"/>
  <c r="J968" i="3"/>
  <c r="H971" i="3" l="1"/>
  <c r="J969" i="3"/>
  <c r="H972" i="3" l="1"/>
  <c r="J970" i="3"/>
  <c r="H973" i="3" l="1"/>
  <c r="J971" i="3"/>
  <c r="H974" i="3" l="1"/>
  <c r="J972" i="3"/>
  <c r="H975" i="3" l="1"/>
  <c r="J973" i="3"/>
  <c r="H976" i="3" l="1"/>
  <c r="J974" i="3"/>
  <c r="H977" i="3" l="1"/>
  <c r="J975" i="3"/>
  <c r="H978" i="3" l="1"/>
  <c r="J976" i="3"/>
  <c r="H979" i="3" l="1"/>
  <c r="J977" i="3"/>
  <c r="H980" i="3" l="1"/>
  <c r="J978" i="3"/>
  <c r="H981" i="3" l="1"/>
  <c r="J979" i="3"/>
  <c r="H982" i="3" l="1"/>
  <c r="J980" i="3"/>
  <c r="H983" i="3" l="1"/>
  <c r="J981" i="3"/>
  <c r="H984" i="3" l="1"/>
  <c r="J982" i="3"/>
  <c r="H985" i="3" l="1"/>
  <c r="J983" i="3"/>
  <c r="H986" i="3" l="1"/>
  <c r="J984" i="3"/>
  <c r="H987" i="3" l="1"/>
  <c r="J985" i="3"/>
  <c r="H988" i="3" l="1"/>
  <c r="J986" i="3"/>
  <c r="H989" i="3" l="1"/>
  <c r="J987" i="3"/>
  <c r="H990" i="3" l="1"/>
  <c r="J988" i="3"/>
  <c r="H991" i="3" l="1"/>
  <c r="J989" i="3"/>
  <c r="H992" i="3" l="1"/>
  <c r="J990" i="3"/>
  <c r="H993" i="3" l="1"/>
  <c r="J991" i="3"/>
  <c r="H994" i="3" l="1"/>
  <c r="J992" i="3"/>
  <c r="H995" i="3" l="1"/>
  <c r="J993" i="3"/>
  <c r="H996" i="3" l="1"/>
  <c r="J994" i="3"/>
  <c r="H997" i="3" l="1"/>
  <c r="J995" i="3"/>
  <c r="H998" i="3" l="1"/>
  <c r="J996" i="3"/>
  <c r="H999" i="3" l="1"/>
  <c r="J997" i="3"/>
  <c r="H1000" i="3" l="1"/>
  <c r="J998" i="3"/>
  <c r="H1001" i="3" l="1"/>
  <c r="J999" i="3"/>
  <c r="H1002" i="3" l="1"/>
  <c r="J1000" i="3"/>
  <c r="H1003" i="3" l="1"/>
  <c r="J1001" i="3"/>
  <c r="H1004" i="3" l="1"/>
  <c r="J1002" i="3"/>
  <c r="H1005" i="3" l="1"/>
  <c r="J1003" i="3"/>
  <c r="L41" i="3" a="1"/>
  <c r="L35" i="3" a="1"/>
  <c r="L47" i="3" a="1"/>
  <c r="L47" i="3" l="1"/>
  <c r="L41" i="3"/>
  <c r="L35" i="3"/>
  <c r="J1004" i="3"/>
  <c r="J1005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<sst xmlns="http://schemas.openxmlformats.org/spreadsheetml/2006/main" count="74" uniqueCount="57">
  <si>
    <t>x</t>
  </si>
  <si>
    <t>y</t>
  </si>
  <si>
    <t>z</t>
  </si>
  <si>
    <t>prob</t>
  </si>
  <si>
    <t>inv</t>
  </si>
  <si>
    <t>x+y</t>
  </si>
  <si>
    <t>test1 rsult:</t>
  </si>
  <si>
    <t>area result</t>
  </si>
  <si>
    <t>Inverse of normal distribution</t>
  </si>
  <si>
    <t>norm dist</t>
  </si>
  <si>
    <t>alpha</t>
  </si>
  <si>
    <t>beta</t>
  </si>
  <si>
    <t>sigma</t>
  </si>
  <si>
    <t>gamma</t>
  </si>
  <si>
    <t>k</t>
  </si>
  <si>
    <t>dt</t>
  </si>
  <si>
    <t>theta</t>
  </si>
  <si>
    <t>tstop</t>
  </si>
  <si>
    <t>Remember:</t>
  </si>
  <si>
    <t>CKLS:</t>
  </si>
  <si>
    <t>OU:</t>
  </si>
  <si>
    <t>General:</t>
  </si>
  <si>
    <t>Probabilities</t>
  </si>
  <si>
    <t>Z~N(0,1)</t>
  </si>
  <si>
    <t>X[i+1] = X[i] + (alpha - beta * X[i]) * dt + sigma * X[i]**gamma * sqrt(t) * Z[i]</t>
  </si>
  <si>
    <t>SDE modelling with VBA</t>
  </si>
  <si>
    <t>Time</t>
  </si>
  <si>
    <t>Path (CKLS)</t>
  </si>
  <si>
    <t>Path(OU)</t>
  </si>
  <si>
    <t>red = enter manually</t>
  </si>
  <si>
    <t xml:space="preserve"> dx = (a + b X) dt + sig X^gamma dW</t>
  </si>
  <si>
    <t>dX = k ( theta - X) dt + sigma dWt</t>
  </si>
  <si>
    <t>X[i+1] = X[i]*np.exp(-k*dt) + theta*(1-np.exp(-k*dt)) + sigma*np.sqrt( (1-np.exp(-2*k*dt))/(2*k) )*Z[i]</t>
  </si>
  <si>
    <t>alpha (=k*theta)</t>
  </si>
  <si>
    <t>Path (GBm)</t>
  </si>
  <si>
    <t>GBm</t>
  </si>
  <si>
    <t>GBm:</t>
  </si>
  <si>
    <t>Error (CKLS-OU)</t>
  </si>
  <si>
    <t>dX = mu* X[i] * dt + sigma * X[i] * dW</t>
  </si>
  <si>
    <t>X[i+1] = X[i] * np.exp(((mu - 0.5 * sigma**2) * dt) + (sigma * sqrt[dt] * Z[i]))</t>
  </si>
  <si>
    <t>Check:</t>
  </si>
  <si>
    <t>alternative = rand()</t>
  </si>
  <si>
    <t>alternative = normsinv</t>
  </si>
  <si>
    <t>[NORM.INV(U[0,1],0,1)]</t>
  </si>
  <si>
    <t>RANDARRAY(M2) =&gt; U(0,1)</t>
  </si>
  <si>
    <t>tsteps*</t>
  </si>
  <si>
    <t>Duplicates for solver to muck around with…</t>
  </si>
  <si>
    <t>mean (mu=theta)</t>
  </si>
  <si>
    <t>* if you change tsteps you have to change the length of the series manually</t>
  </si>
  <si>
    <t>cumulative sum</t>
  </si>
  <si>
    <t>Path Equations For Reference:</t>
  </si>
  <si>
    <t>gamma = 1 = gbm (a = 0, b=1)</t>
  </si>
  <si>
    <t>gamma = 0 = ou/vasicek (a=k*theta)</t>
  </si>
  <si>
    <t>gamma = 1/2 = cir (not used yet)</t>
  </si>
  <si>
    <t>CKLSMLE: (GBm)</t>
  </si>
  <si>
    <t>CKLSMLE: (OU)</t>
  </si>
  <si>
    <t>CKLSMLE: (CKLS)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</si>
</sst>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Border="1"/>
    <xf numFmtId="0" fontId="1" fillId="0" borderId="0" xfId="0" applyFont="1" applyBorder="1"/>
    <xf numFmtId="0" fontId="0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/>
    <xf numFmtId="0" fontId="0" fillId="0" borderId="0" xfId="0" applyFont="1" applyFill="1" applyBorder="1" applyAlignment="1">
      <alignment shrinkToFit="1"/>
    </xf>
    <xf numFmtId="0" fontId="8" fillId="0" borderId="0" xfId="0" applyFont="1" applyBorder="1" applyAlignment="1">
      <alignment horizontal="right"/>
    </xf>
    <xf numFmtId="0" fontId="9" fillId="0" borderId="0" xfId="0" applyFont="1" applyBorder="1"/>
    <xf numFmtId="0" fontId="1" fillId="0" borderId="0" xfId="0" applyFont="1" applyBorder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right"/>
    </xf>
    <xf numFmtId="0" fontId="10" fillId="0" borderId="0" xfId="0" applyFont="1"/>
    <xf numFmtId="0" fontId="0" fillId="0" borderId="0" xfId="0" applyFont="1" applyFill="1" applyBorder="1" applyAlignment="1"/>
    <xf numFmtId="0" fontId="1" fillId="2" borderId="0" xfId="0" applyFont="1" applyFill="1"/>
    <xf numFmtId="0" fontId="1" fillId="0" borderId="0" xfId="0" applyFont="1" applyAlignment="1">
      <alignment horizontal="center"/>
    </xf>
    <xf numFmtId="0" fontId="11" fillId="0" borderId="0" xfId="0" applyFont="1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test_area!$F$4:$F$134</c:f>
              <c:numCache>
                <c:formatCode>General</c:formatCode>
                <c:ptCount val="13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0.01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0.01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0.01</c:v>
                </c:pt>
                <c:pt idx="13">
                  <c:v>0.11</c:v>
                </c:pt>
                <c:pt idx="14">
                  <c:v>0.12</c:v>
                </c:pt>
                <c:pt idx="15">
                  <c:v>0.13</c:v>
                </c:pt>
                <c:pt idx="16">
                  <c:v>0.01</c:v>
                </c:pt>
                <c:pt idx="17">
                  <c:v>0.14000000000000001</c:v>
                </c:pt>
                <c:pt idx="18">
                  <c:v>0.15</c:v>
                </c:pt>
                <c:pt idx="19">
                  <c:v>0.16</c:v>
                </c:pt>
                <c:pt idx="20">
                  <c:v>0.01</c:v>
                </c:pt>
                <c:pt idx="21">
                  <c:v>0.17</c:v>
                </c:pt>
                <c:pt idx="22">
                  <c:v>0.18</c:v>
                </c:pt>
                <c:pt idx="23">
                  <c:v>0.19</c:v>
                </c:pt>
                <c:pt idx="24">
                  <c:v>0.01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0.01</c:v>
                </c:pt>
                <c:pt idx="29">
                  <c:v>0.23</c:v>
                </c:pt>
                <c:pt idx="30">
                  <c:v>0.24</c:v>
                </c:pt>
                <c:pt idx="31">
                  <c:v>0.25</c:v>
                </c:pt>
                <c:pt idx="32">
                  <c:v>0.01</c:v>
                </c:pt>
                <c:pt idx="33">
                  <c:v>0.26</c:v>
                </c:pt>
                <c:pt idx="34">
                  <c:v>0.27</c:v>
                </c:pt>
                <c:pt idx="35">
                  <c:v>0.28000000000000003</c:v>
                </c:pt>
                <c:pt idx="36">
                  <c:v>0.01</c:v>
                </c:pt>
                <c:pt idx="37">
                  <c:v>0.28999999999999998</c:v>
                </c:pt>
                <c:pt idx="38">
                  <c:v>0.3</c:v>
                </c:pt>
                <c:pt idx="39">
                  <c:v>0.31</c:v>
                </c:pt>
                <c:pt idx="40">
                  <c:v>0.01</c:v>
                </c:pt>
                <c:pt idx="41">
                  <c:v>0.32</c:v>
                </c:pt>
                <c:pt idx="42">
                  <c:v>0.33</c:v>
                </c:pt>
                <c:pt idx="43">
                  <c:v>0.34</c:v>
                </c:pt>
                <c:pt idx="44">
                  <c:v>0.01</c:v>
                </c:pt>
                <c:pt idx="45">
                  <c:v>0.35</c:v>
                </c:pt>
                <c:pt idx="46">
                  <c:v>0.36</c:v>
                </c:pt>
                <c:pt idx="47">
                  <c:v>0.37</c:v>
                </c:pt>
                <c:pt idx="48">
                  <c:v>0.01</c:v>
                </c:pt>
                <c:pt idx="49">
                  <c:v>0.38</c:v>
                </c:pt>
                <c:pt idx="50">
                  <c:v>0.39</c:v>
                </c:pt>
                <c:pt idx="51">
                  <c:v>0.4</c:v>
                </c:pt>
                <c:pt idx="52">
                  <c:v>0.01</c:v>
                </c:pt>
                <c:pt idx="53">
                  <c:v>0.41</c:v>
                </c:pt>
                <c:pt idx="54">
                  <c:v>0.42</c:v>
                </c:pt>
                <c:pt idx="55">
                  <c:v>0.43</c:v>
                </c:pt>
                <c:pt idx="56">
                  <c:v>0.01</c:v>
                </c:pt>
                <c:pt idx="57">
                  <c:v>0.44</c:v>
                </c:pt>
                <c:pt idx="58">
                  <c:v>0.45</c:v>
                </c:pt>
                <c:pt idx="59">
                  <c:v>0.46</c:v>
                </c:pt>
                <c:pt idx="60">
                  <c:v>0.01</c:v>
                </c:pt>
                <c:pt idx="61">
                  <c:v>0.47</c:v>
                </c:pt>
                <c:pt idx="62">
                  <c:v>0.48</c:v>
                </c:pt>
                <c:pt idx="63">
                  <c:v>0.49</c:v>
                </c:pt>
                <c:pt idx="64">
                  <c:v>0.01</c:v>
                </c:pt>
                <c:pt idx="65">
                  <c:v>0.5</c:v>
                </c:pt>
                <c:pt idx="66">
                  <c:v>0.51</c:v>
                </c:pt>
                <c:pt idx="67">
                  <c:v>0.52</c:v>
                </c:pt>
                <c:pt idx="68">
                  <c:v>0.01</c:v>
                </c:pt>
                <c:pt idx="69">
                  <c:v>0.53</c:v>
                </c:pt>
                <c:pt idx="70">
                  <c:v>0.54</c:v>
                </c:pt>
                <c:pt idx="71">
                  <c:v>0.55000000000000004</c:v>
                </c:pt>
                <c:pt idx="72">
                  <c:v>0.01</c:v>
                </c:pt>
                <c:pt idx="73">
                  <c:v>0.56000000000000005</c:v>
                </c:pt>
                <c:pt idx="74">
                  <c:v>0.56999999999999995</c:v>
                </c:pt>
                <c:pt idx="75">
                  <c:v>0.57999999999999996</c:v>
                </c:pt>
                <c:pt idx="76">
                  <c:v>0.01</c:v>
                </c:pt>
                <c:pt idx="77">
                  <c:v>0.59</c:v>
                </c:pt>
                <c:pt idx="78">
                  <c:v>0.6</c:v>
                </c:pt>
                <c:pt idx="79">
                  <c:v>0.61</c:v>
                </c:pt>
                <c:pt idx="80">
                  <c:v>0.01</c:v>
                </c:pt>
                <c:pt idx="81">
                  <c:v>0.62</c:v>
                </c:pt>
                <c:pt idx="82">
                  <c:v>0.63</c:v>
                </c:pt>
                <c:pt idx="83">
                  <c:v>0.64</c:v>
                </c:pt>
                <c:pt idx="84">
                  <c:v>0.01</c:v>
                </c:pt>
                <c:pt idx="85">
                  <c:v>0.65</c:v>
                </c:pt>
                <c:pt idx="86">
                  <c:v>0.66</c:v>
                </c:pt>
                <c:pt idx="87">
                  <c:v>0.67</c:v>
                </c:pt>
                <c:pt idx="88">
                  <c:v>0.01</c:v>
                </c:pt>
                <c:pt idx="89">
                  <c:v>0.68</c:v>
                </c:pt>
                <c:pt idx="90">
                  <c:v>0.69</c:v>
                </c:pt>
                <c:pt idx="91">
                  <c:v>0.7</c:v>
                </c:pt>
                <c:pt idx="92">
                  <c:v>0.01</c:v>
                </c:pt>
                <c:pt idx="93">
                  <c:v>0.71</c:v>
                </c:pt>
                <c:pt idx="94">
                  <c:v>0.72</c:v>
                </c:pt>
                <c:pt idx="95">
                  <c:v>0.73</c:v>
                </c:pt>
                <c:pt idx="96">
                  <c:v>0.01</c:v>
                </c:pt>
                <c:pt idx="97">
                  <c:v>0.74</c:v>
                </c:pt>
                <c:pt idx="98">
                  <c:v>0.75</c:v>
                </c:pt>
                <c:pt idx="99">
                  <c:v>0.76</c:v>
                </c:pt>
                <c:pt idx="100">
                  <c:v>0.01</c:v>
                </c:pt>
                <c:pt idx="101">
                  <c:v>0.77</c:v>
                </c:pt>
                <c:pt idx="102">
                  <c:v>0.78</c:v>
                </c:pt>
                <c:pt idx="103">
                  <c:v>0.79</c:v>
                </c:pt>
                <c:pt idx="104">
                  <c:v>0.01</c:v>
                </c:pt>
                <c:pt idx="105">
                  <c:v>0.8</c:v>
                </c:pt>
                <c:pt idx="106">
                  <c:v>0.81</c:v>
                </c:pt>
                <c:pt idx="107">
                  <c:v>0.82</c:v>
                </c:pt>
                <c:pt idx="108">
                  <c:v>0.01</c:v>
                </c:pt>
                <c:pt idx="109">
                  <c:v>0.83</c:v>
                </c:pt>
                <c:pt idx="110">
                  <c:v>0.84</c:v>
                </c:pt>
                <c:pt idx="111">
                  <c:v>0.85</c:v>
                </c:pt>
                <c:pt idx="112">
                  <c:v>0.01</c:v>
                </c:pt>
                <c:pt idx="113">
                  <c:v>0.86</c:v>
                </c:pt>
                <c:pt idx="114">
                  <c:v>0.87</c:v>
                </c:pt>
                <c:pt idx="115">
                  <c:v>0.88</c:v>
                </c:pt>
                <c:pt idx="116">
                  <c:v>0.01</c:v>
                </c:pt>
                <c:pt idx="117">
                  <c:v>0.89</c:v>
                </c:pt>
                <c:pt idx="118">
                  <c:v>0.9</c:v>
                </c:pt>
                <c:pt idx="119">
                  <c:v>0.91</c:v>
                </c:pt>
                <c:pt idx="120">
                  <c:v>0.01</c:v>
                </c:pt>
                <c:pt idx="121">
                  <c:v>0.92</c:v>
                </c:pt>
                <c:pt idx="122">
                  <c:v>0.93</c:v>
                </c:pt>
                <c:pt idx="123">
                  <c:v>0.94</c:v>
                </c:pt>
                <c:pt idx="124">
                  <c:v>0.01</c:v>
                </c:pt>
                <c:pt idx="125">
                  <c:v>0.95</c:v>
                </c:pt>
                <c:pt idx="126">
                  <c:v>0.96</c:v>
                </c:pt>
                <c:pt idx="127">
                  <c:v>0.97</c:v>
                </c:pt>
                <c:pt idx="128">
                  <c:v>0.01</c:v>
                </c:pt>
                <c:pt idx="129">
                  <c:v>0.98</c:v>
                </c:pt>
                <c:pt idx="130">
                  <c:v>0.99</c:v>
                </c:pt>
              </c:numCache>
            </c:numRef>
          </c:xVal>
          <c:yVal>
            <c:numRef>
              <c:f>test_area!$G$4:$G$134</c:f>
              <c:numCache>
                <c:formatCode>General</c:formatCode>
                <c:ptCount val="131"/>
                <c:pt idx="0">
                  <c:v>-2.3263478740408408</c:v>
                </c:pt>
                <c:pt idx="1">
                  <c:v>-2.0537489106318225</c:v>
                </c:pt>
                <c:pt idx="2">
                  <c:v>-1.8807936081512509</c:v>
                </c:pt>
                <c:pt idx="3">
                  <c:v>-1.7506860712521695</c:v>
                </c:pt>
                <c:pt idx="4">
                  <c:v>-2.3263478740408408</c:v>
                </c:pt>
                <c:pt idx="5">
                  <c:v>-1.6448536269514726</c:v>
                </c:pt>
                <c:pt idx="6">
                  <c:v>-1.554773594596853</c:v>
                </c:pt>
                <c:pt idx="7">
                  <c:v>-1.4757910281791702</c:v>
                </c:pt>
                <c:pt idx="8">
                  <c:v>-2.3263478740408408</c:v>
                </c:pt>
                <c:pt idx="9">
                  <c:v>-1.4050715603096353</c:v>
                </c:pt>
                <c:pt idx="10">
                  <c:v>-1.3407550336902161</c:v>
                </c:pt>
                <c:pt idx="11">
                  <c:v>-1.2815515655446006</c:v>
                </c:pt>
                <c:pt idx="12">
                  <c:v>-2.3263478740408408</c:v>
                </c:pt>
                <c:pt idx="13">
                  <c:v>-1.2265281200366105</c:v>
                </c:pt>
                <c:pt idx="14">
                  <c:v>-1.1749867920660904</c:v>
                </c:pt>
                <c:pt idx="15">
                  <c:v>-1.1263911290388013</c:v>
                </c:pt>
                <c:pt idx="16">
                  <c:v>-2.3263478740408408</c:v>
                </c:pt>
                <c:pt idx="17">
                  <c:v>-1.0803193408149565</c:v>
                </c:pt>
                <c:pt idx="18">
                  <c:v>-1.0364333894937898</c:v>
                </c:pt>
                <c:pt idx="19">
                  <c:v>-0.9944578832097497</c:v>
                </c:pt>
                <c:pt idx="20">
                  <c:v>-2.3263478740408408</c:v>
                </c:pt>
                <c:pt idx="21">
                  <c:v>-0.95416525314619549</c:v>
                </c:pt>
                <c:pt idx="22">
                  <c:v>-0.91536508784281501</c:v>
                </c:pt>
                <c:pt idx="23">
                  <c:v>-0.87789629505122846</c:v>
                </c:pt>
                <c:pt idx="24">
                  <c:v>-2.3263478740408408</c:v>
                </c:pt>
                <c:pt idx="25">
                  <c:v>-0.84162123357291452</c:v>
                </c:pt>
                <c:pt idx="26">
                  <c:v>-0.80642124701824058</c:v>
                </c:pt>
                <c:pt idx="27">
                  <c:v>-0.77219321418868503</c:v>
                </c:pt>
                <c:pt idx="28">
                  <c:v>-2.3263478740408408</c:v>
                </c:pt>
                <c:pt idx="29">
                  <c:v>-0.73884684918521393</c:v>
                </c:pt>
                <c:pt idx="30">
                  <c:v>-0.7063025628400873</c:v>
                </c:pt>
                <c:pt idx="31">
                  <c:v>-0.67448975019608193</c:v>
                </c:pt>
                <c:pt idx="32">
                  <c:v>-2.3263478740408408</c:v>
                </c:pt>
                <c:pt idx="33">
                  <c:v>-0.64334540539291696</c:v>
                </c:pt>
                <c:pt idx="34">
                  <c:v>-0.61281299101662734</c:v>
                </c:pt>
                <c:pt idx="35">
                  <c:v>-0.58284150727121631</c:v>
                </c:pt>
                <c:pt idx="36">
                  <c:v>-2.3263478740408408</c:v>
                </c:pt>
                <c:pt idx="37">
                  <c:v>-0.55338471955567303</c:v>
                </c:pt>
                <c:pt idx="38">
                  <c:v>-0.52440051270804089</c:v>
                </c:pt>
                <c:pt idx="39">
                  <c:v>-0.49585034734745354</c:v>
                </c:pt>
                <c:pt idx="40">
                  <c:v>-2.3263478740408408</c:v>
                </c:pt>
                <c:pt idx="41">
                  <c:v>-0.46769879911450829</c:v>
                </c:pt>
                <c:pt idx="42">
                  <c:v>-0.43991316567323374</c:v>
                </c:pt>
                <c:pt idx="43">
                  <c:v>-0.41246312944140484</c:v>
                </c:pt>
                <c:pt idx="44">
                  <c:v>-2.3263478740408408</c:v>
                </c:pt>
                <c:pt idx="45">
                  <c:v>-0.38532046640756784</c:v>
                </c:pt>
                <c:pt idx="46">
                  <c:v>-0.35845879325119384</c:v>
                </c:pt>
                <c:pt idx="47">
                  <c:v>-0.33185334643681658</c:v>
                </c:pt>
                <c:pt idx="48">
                  <c:v>-2.3263478740408408</c:v>
                </c:pt>
                <c:pt idx="49">
                  <c:v>-0.30548078809939727</c:v>
                </c:pt>
                <c:pt idx="50">
                  <c:v>-0.27931903444745415</c:v>
                </c:pt>
                <c:pt idx="51">
                  <c:v>-0.25334710313579978</c:v>
                </c:pt>
                <c:pt idx="52">
                  <c:v>-2.3263478740408408</c:v>
                </c:pt>
                <c:pt idx="53">
                  <c:v>-0.2275449766411495</c:v>
                </c:pt>
                <c:pt idx="54">
                  <c:v>-0.20189347914185088</c:v>
                </c:pt>
                <c:pt idx="55">
                  <c:v>-0.17637416478086138</c:v>
                </c:pt>
                <c:pt idx="56">
                  <c:v>-2.3263478740408408</c:v>
                </c:pt>
                <c:pt idx="57">
                  <c:v>-0.15096921549677725</c:v>
                </c:pt>
                <c:pt idx="58">
                  <c:v>-0.12566134685507402</c:v>
                </c:pt>
                <c:pt idx="59">
                  <c:v>-0.10043372051146976</c:v>
                </c:pt>
                <c:pt idx="60">
                  <c:v>-2.3263478740408408</c:v>
                </c:pt>
                <c:pt idx="61">
                  <c:v>-7.5269862099829901E-2</c:v>
                </c:pt>
                <c:pt idx="62">
                  <c:v>-5.0153583464733656E-2</c:v>
                </c:pt>
                <c:pt idx="63">
                  <c:v>-2.506890825871106E-2</c:v>
                </c:pt>
                <c:pt idx="64">
                  <c:v>-2.3263478740408408</c:v>
                </c:pt>
                <c:pt idx="65">
                  <c:v>0</c:v>
                </c:pt>
                <c:pt idx="66">
                  <c:v>2.506890825871106E-2</c:v>
                </c:pt>
                <c:pt idx="67">
                  <c:v>5.0153583464733656E-2</c:v>
                </c:pt>
                <c:pt idx="68">
                  <c:v>-2.3263478740408408</c:v>
                </c:pt>
                <c:pt idx="69">
                  <c:v>7.5269862099829901E-2</c:v>
                </c:pt>
                <c:pt idx="70">
                  <c:v>0.10043372051146988</c:v>
                </c:pt>
                <c:pt idx="71">
                  <c:v>0.12566134685507416</c:v>
                </c:pt>
                <c:pt idx="72">
                  <c:v>-2.3263478740408408</c:v>
                </c:pt>
                <c:pt idx="73">
                  <c:v>0.15096921549677741</c:v>
                </c:pt>
                <c:pt idx="74">
                  <c:v>0.17637416478086121</c:v>
                </c:pt>
                <c:pt idx="75">
                  <c:v>0.20189347914185077</c:v>
                </c:pt>
                <c:pt idx="76">
                  <c:v>-2.3263478740408408</c:v>
                </c:pt>
                <c:pt idx="77">
                  <c:v>0.22754497664114934</c:v>
                </c:pt>
                <c:pt idx="78">
                  <c:v>0.25334710313579978</c:v>
                </c:pt>
                <c:pt idx="79">
                  <c:v>0.27931903444745415</c:v>
                </c:pt>
                <c:pt idx="80">
                  <c:v>-2.3263478740408408</c:v>
                </c:pt>
                <c:pt idx="81">
                  <c:v>0.30548078809939727</c:v>
                </c:pt>
                <c:pt idx="82">
                  <c:v>0.33185334643681658</c:v>
                </c:pt>
                <c:pt idx="83">
                  <c:v>0.35845879325119384</c:v>
                </c:pt>
                <c:pt idx="84">
                  <c:v>-2.3263478740408408</c:v>
                </c:pt>
                <c:pt idx="85">
                  <c:v>0.38532046640756784</c:v>
                </c:pt>
                <c:pt idx="86">
                  <c:v>0.41246312944140473</c:v>
                </c:pt>
                <c:pt idx="87">
                  <c:v>0.43991316567323396</c:v>
                </c:pt>
                <c:pt idx="88">
                  <c:v>-2.3263478740408408</c:v>
                </c:pt>
                <c:pt idx="89">
                  <c:v>0.46769879911450835</c:v>
                </c:pt>
                <c:pt idx="90">
                  <c:v>0.49585034734745331</c:v>
                </c:pt>
                <c:pt idx="91">
                  <c:v>0.52440051270804078</c:v>
                </c:pt>
                <c:pt idx="92">
                  <c:v>-2.3263478740408408</c:v>
                </c:pt>
                <c:pt idx="93">
                  <c:v>0.5533847195556727</c:v>
                </c:pt>
                <c:pt idx="94">
                  <c:v>0.58284150727121631</c:v>
                </c:pt>
                <c:pt idx="95">
                  <c:v>0.61281299101662734</c:v>
                </c:pt>
                <c:pt idx="96">
                  <c:v>-2.3263478740408408</c:v>
                </c:pt>
                <c:pt idx="97">
                  <c:v>0.64334540539291696</c:v>
                </c:pt>
                <c:pt idx="98">
                  <c:v>0.67448975019608193</c:v>
                </c:pt>
                <c:pt idx="99">
                  <c:v>0.7063025628400873</c:v>
                </c:pt>
                <c:pt idx="100">
                  <c:v>-2.3263478740408408</c:v>
                </c:pt>
                <c:pt idx="101">
                  <c:v>0.73884684918521393</c:v>
                </c:pt>
                <c:pt idx="102">
                  <c:v>0.77219321418868503</c:v>
                </c:pt>
                <c:pt idx="103">
                  <c:v>0.80642124701824058</c:v>
                </c:pt>
                <c:pt idx="104">
                  <c:v>-2.3263478740408408</c:v>
                </c:pt>
                <c:pt idx="105">
                  <c:v>0.84162123357291474</c:v>
                </c:pt>
                <c:pt idx="106">
                  <c:v>0.87789629505122857</c:v>
                </c:pt>
                <c:pt idx="107">
                  <c:v>0.91536508784281256</c:v>
                </c:pt>
                <c:pt idx="108">
                  <c:v>-2.3263478740408408</c:v>
                </c:pt>
                <c:pt idx="109">
                  <c:v>0.95416525314619549</c:v>
                </c:pt>
                <c:pt idx="110">
                  <c:v>0.9944578832097497</c:v>
                </c:pt>
                <c:pt idx="111">
                  <c:v>1.0364333894937898</c:v>
                </c:pt>
                <c:pt idx="112">
                  <c:v>-2.3263478740408408</c:v>
                </c:pt>
                <c:pt idx="113">
                  <c:v>1.0803193408149565</c:v>
                </c:pt>
                <c:pt idx="114">
                  <c:v>1.1263911290388013</c:v>
                </c:pt>
                <c:pt idx="115">
                  <c:v>1.1749867920660904</c:v>
                </c:pt>
                <c:pt idx="116">
                  <c:v>-2.3263478740408408</c:v>
                </c:pt>
                <c:pt idx="117">
                  <c:v>1.2265281200366105</c:v>
                </c:pt>
                <c:pt idx="118">
                  <c:v>1.2815515655446006</c:v>
                </c:pt>
                <c:pt idx="119">
                  <c:v>1.3407550336902161</c:v>
                </c:pt>
                <c:pt idx="120">
                  <c:v>-2.3263478740408408</c:v>
                </c:pt>
                <c:pt idx="121">
                  <c:v>1.4050715603096329</c:v>
                </c:pt>
                <c:pt idx="122">
                  <c:v>1.4757910281791713</c:v>
                </c:pt>
                <c:pt idx="123">
                  <c:v>1.5547735945968528</c:v>
                </c:pt>
                <c:pt idx="124">
                  <c:v>-2.3263478740408408</c:v>
                </c:pt>
                <c:pt idx="125">
                  <c:v>1.6448536269514715</c:v>
                </c:pt>
                <c:pt idx="126">
                  <c:v>1.7506860712521695</c:v>
                </c:pt>
                <c:pt idx="127">
                  <c:v>1.8807936081512504</c:v>
                </c:pt>
                <c:pt idx="128">
                  <c:v>-2.3263478740408408</c:v>
                </c:pt>
                <c:pt idx="129">
                  <c:v>2.0537489106318221</c:v>
                </c:pt>
                <c:pt idx="130">
                  <c:v>2.3263478740408408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84-C04B-AF39-0DB781486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983935"/>
        <c:axId val="1970995055"/>
      </c:scatterChart>
      <c:valAx>
        <c:axId val="197098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95055"/>
        <c:crosses val="autoZero"/>
        <c:crossBetween val="midCat"/>
      </c:valAx>
      <c:valAx>
        <c:axId val="197099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83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test_area!$F$4:$F$134</c:f>
              <c:numCache>
                <c:formatCode>General</c:formatCode>
                <c:ptCount val="13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0.01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0.01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0.01</c:v>
                </c:pt>
                <c:pt idx="13">
                  <c:v>0.11</c:v>
                </c:pt>
                <c:pt idx="14">
                  <c:v>0.12</c:v>
                </c:pt>
                <c:pt idx="15">
                  <c:v>0.13</c:v>
                </c:pt>
                <c:pt idx="16">
                  <c:v>0.01</c:v>
                </c:pt>
                <c:pt idx="17">
                  <c:v>0.14000000000000001</c:v>
                </c:pt>
                <c:pt idx="18">
                  <c:v>0.15</c:v>
                </c:pt>
                <c:pt idx="19">
                  <c:v>0.16</c:v>
                </c:pt>
                <c:pt idx="20">
                  <c:v>0.01</c:v>
                </c:pt>
                <c:pt idx="21">
                  <c:v>0.17</c:v>
                </c:pt>
                <c:pt idx="22">
                  <c:v>0.18</c:v>
                </c:pt>
                <c:pt idx="23">
                  <c:v>0.19</c:v>
                </c:pt>
                <c:pt idx="24">
                  <c:v>0.01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0.01</c:v>
                </c:pt>
                <c:pt idx="29">
                  <c:v>0.23</c:v>
                </c:pt>
                <c:pt idx="30">
                  <c:v>0.24</c:v>
                </c:pt>
                <c:pt idx="31">
                  <c:v>0.25</c:v>
                </c:pt>
                <c:pt idx="32">
                  <c:v>0.01</c:v>
                </c:pt>
                <c:pt idx="33">
                  <c:v>0.26</c:v>
                </c:pt>
                <c:pt idx="34">
                  <c:v>0.27</c:v>
                </c:pt>
                <c:pt idx="35">
                  <c:v>0.28000000000000003</c:v>
                </c:pt>
                <c:pt idx="36">
                  <c:v>0.01</c:v>
                </c:pt>
                <c:pt idx="37">
                  <c:v>0.28999999999999998</c:v>
                </c:pt>
                <c:pt idx="38">
                  <c:v>0.3</c:v>
                </c:pt>
                <c:pt idx="39">
                  <c:v>0.31</c:v>
                </c:pt>
                <c:pt idx="40">
                  <c:v>0.01</c:v>
                </c:pt>
                <c:pt idx="41">
                  <c:v>0.32</c:v>
                </c:pt>
                <c:pt idx="42">
                  <c:v>0.33</c:v>
                </c:pt>
                <c:pt idx="43">
                  <c:v>0.34</c:v>
                </c:pt>
                <c:pt idx="44">
                  <c:v>0.01</c:v>
                </c:pt>
                <c:pt idx="45">
                  <c:v>0.35</c:v>
                </c:pt>
                <c:pt idx="46">
                  <c:v>0.36</c:v>
                </c:pt>
                <c:pt idx="47">
                  <c:v>0.37</c:v>
                </c:pt>
                <c:pt idx="48">
                  <c:v>0.01</c:v>
                </c:pt>
                <c:pt idx="49">
                  <c:v>0.38</c:v>
                </c:pt>
                <c:pt idx="50">
                  <c:v>0.39</c:v>
                </c:pt>
                <c:pt idx="51">
                  <c:v>0.4</c:v>
                </c:pt>
                <c:pt idx="52">
                  <c:v>0.01</c:v>
                </c:pt>
                <c:pt idx="53">
                  <c:v>0.41</c:v>
                </c:pt>
                <c:pt idx="54">
                  <c:v>0.42</c:v>
                </c:pt>
                <c:pt idx="55">
                  <c:v>0.43</c:v>
                </c:pt>
                <c:pt idx="56">
                  <c:v>0.01</c:v>
                </c:pt>
                <c:pt idx="57">
                  <c:v>0.44</c:v>
                </c:pt>
                <c:pt idx="58">
                  <c:v>0.45</c:v>
                </c:pt>
                <c:pt idx="59">
                  <c:v>0.46</c:v>
                </c:pt>
                <c:pt idx="60">
                  <c:v>0.01</c:v>
                </c:pt>
                <c:pt idx="61">
                  <c:v>0.47</c:v>
                </c:pt>
                <c:pt idx="62">
                  <c:v>0.48</c:v>
                </c:pt>
                <c:pt idx="63">
                  <c:v>0.49</c:v>
                </c:pt>
                <c:pt idx="64">
                  <c:v>0.01</c:v>
                </c:pt>
                <c:pt idx="65">
                  <c:v>0.5</c:v>
                </c:pt>
                <c:pt idx="66">
                  <c:v>0.51</c:v>
                </c:pt>
                <c:pt idx="67">
                  <c:v>0.52</c:v>
                </c:pt>
                <c:pt idx="68">
                  <c:v>0.01</c:v>
                </c:pt>
                <c:pt idx="69">
                  <c:v>0.53</c:v>
                </c:pt>
                <c:pt idx="70">
                  <c:v>0.54</c:v>
                </c:pt>
                <c:pt idx="71">
                  <c:v>0.55000000000000004</c:v>
                </c:pt>
                <c:pt idx="72">
                  <c:v>0.01</c:v>
                </c:pt>
                <c:pt idx="73">
                  <c:v>0.56000000000000005</c:v>
                </c:pt>
                <c:pt idx="74">
                  <c:v>0.56999999999999995</c:v>
                </c:pt>
                <c:pt idx="75">
                  <c:v>0.57999999999999996</c:v>
                </c:pt>
                <c:pt idx="76">
                  <c:v>0.01</c:v>
                </c:pt>
                <c:pt idx="77">
                  <c:v>0.59</c:v>
                </c:pt>
                <c:pt idx="78">
                  <c:v>0.6</c:v>
                </c:pt>
                <c:pt idx="79">
                  <c:v>0.61</c:v>
                </c:pt>
                <c:pt idx="80">
                  <c:v>0.01</c:v>
                </c:pt>
                <c:pt idx="81">
                  <c:v>0.62</c:v>
                </c:pt>
                <c:pt idx="82">
                  <c:v>0.63</c:v>
                </c:pt>
                <c:pt idx="83">
                  <c:v>0.64</c:v>
                </c:pt>
                <c:pt idx="84">
                  <c:v>0.01</c:v>
                </c:pt>
                <c:pt idx="85">
                  <c:v>0.65</c:v>
                </c:pt>
                <c:pt idx="86">
                  <c:v>0.66</c:v>
                </c:pt>
                <c:pt idx="87">
                  <c:v>0.67</c:v>
                </c:pt>
                <c:pt idx="88">
                  <c:v>0.01</c:v>
                </c:pt>
                <c:pt idx="89">
                  <c:v>0.68</c:v>
                </c:pt>
                <c:pt idx="90">
                  <c:v>0.69</c:v>
                </c:pt>
                <c:pt idx="91">
                  <c:v>0.7</c:v>
                </c:pt>
                <c:pt idx="92">
                  <c:v>0.01</c:v>
                </c:pt>
                <c:pt idx="93">
                  <c:v>0.71</c:v>
                </c:pt>
                <c:pt idx="94">
                  <c:v>0.72</c:v>
                </c:pt>
                <c:pt idx="95">
                  <c:v>0.73</c:v>
                </c:pt>
                <c:pt idx="96">
                  <c:v>0.01</c:v>
                </c:pt>
                <c:pt idx="97">
                  <c:v>0.74</c:v>
                </c:pt>
                <c:pt idx="98">
                  <c:v>0.75</c:v>
                </c:pt>
                <c:pt idx="99">
                  <c:v>0.76</c:v>
                </c:pt>
                <c:pt idx="100">
                  <c:v>0.01</c:v>
                </c:pt>
                <c:pt idx="101">
                  <c:v>0.77</c:v>
                </c:pt>
                <c:pt idx="102">
                  <c:v>0.78</c:v>
                </c:pt>
                <c:pt idx="103">
                  <c:v>0.79</c:v>
                </c:pt>
                <c:pt idx="104">
                  <c:v>0.01</c:v>
                </c:pt>
                <c:pt idx="105">
                  <c:v>0.8</c:v>
                </c:pt>
                <c:pt idx="106">
                  <c:v>0.81</c:v>
                </c:pt>
                <c:pt idx="107">
                  <c:v>0.82</c:v>
                </c:pt>
                <c:pt idx="108">
                  <c:v>0.01</c:v>
                </c:pt>
                <c:pt idx="109">
                  <c:v>0.83</c:v>
                </c:pt>
                <c:pt idx="110">
                  <c:v>0.84</c:v>
                </c:pt>
                <c:pt idx="111">
                  <c:v>0.85</c:v>
                </c:pt>
                <c:pt idx="112">
                  <c:v>0.01</c:v>
                </c:pt>
                <c:pt idx="113">
                  <c:v>0.86</c:v>
                </c:pt>
                <c:pt idx="114">
                  <c:v>0.87</c:v>
                </c:pt>
                <c:pt idx="115">
                  <c:v>0.88</c:v>
                </c:pt>
                <c:pt idx="116">
                  <c:v>0.01</c:v>
                </c:pt>
                <c:pt idx="117">
                  <c:v>0.89</c:v>
                </c:pt>
                <c:pt idx="118">
                  <c:v>0.9</c:v>
                </c:pt>
                <c:pt idx="119">
                  <c:v>0.91</c:v>
                </c:pt>
                <c:pt idx="120">
                  <c:v>0.01</c:v>
                </c:pt>
                <c:pt idx="121">
                  <c:v>0.92</c:v>
                </c:pt>
                <c:pt idx="122">
                  <c:v>0.93</c:v>
                </c:pt>
                <c:pt idx="123">
                  <c:v>0.94</c:v>
                </c:pt>
                <c:pt idx="124">
                  <c:v>0.01</c:v>
                </c:pt>
                <c:pt idx="125">
                  <c:v>0.95</c:v>
                </c:pt>
                <c:pt idx="126">
                  <c:v>0.96</c:v>
                </c:pt>
                <c:pt idx="127">
                  <c:v>0.97</c:v>
                </c:pt>
                <c:pt idx="128">
                  <c:v>0.01</c:v>
                </c:pt>
                <c:pt idx="129">
                  <c:v>0.98</c:v>
                </c:pt>
                <c:pt idx="130">
                  <c:v>0.99</c:v>
                </c:pt>
              </c:numCache>
            </c:numRef>
          </c:xVal>
          <c:yVal>
            <c:numRef>
              <c:f>test_area!$G$4:$G$134</c:f>
              <c:numCache>
                <c:formatCode>General</c:formatCode>
                <c:ptCount val="131"/>
                <c:pt idx="0">
                  <c:v>-2.3263478740408408</c:v>
                </c:pt>
                <c:pt idx="1">
                  <c:v>-2.0537489106318225</c:v>
                </c:pt>
                <c:pt idx="2">
                  <c:v>-1.8807936081512509</c:v>
                </c:pt>
                <c:pt idx="3">
                  <c:v>-1.7506860712521695</c:v>
                </c:pt>
                <c:pt idx="4">
                  <c:v>-2.3263478740408408</c:v>
                </c:pt>
                <c:pt idx="5">
                  <c:v>-1.6448536269514726</c:v>
                </c:pt>
                <c:pt idx="6">
                  <c:v>-1.554773594596853</c:v>
                </c:pt>
                <c:pt idx="7">
                  <c:v>-1.4757910281791702</c:v>
                </c:pt>
                <c:pt idx="8">
                  <c:v>-2.3263478740408408</c:v>
                </c:pt>
                <c:pt idx="9">
                  <c:v>-1.4050715603096353</c:v>
                </c:pt>
                <c:pt idx="10">
                  <c:v>-1.3407550336902161</c:v>
                </c:pt>
                <c:pt idx="11">
                  <c:v>-1.2815515655446006</c:v>
                </c:pt>
                <c:pt idx="12">
                  <c:v>-2.3263478740408408</c:v>
                </c:pt>
                <c:pt idx="13">
                  <c:v>-1.2265281200366105</c:v>
                </c:pt>
                <c:pt idx="14">
                  <c:v>-1.1749867920660904</c:v>
                </c:pt>
                <c:pt idx="15">
                  <c:v>-1.1263911290388013</c:v>
                </c:pt>
                <c:pt idx="16">
                  <c:v>-2.3263478740408408</c:v>
                </c:pt>
                <c:pt idx="17">
                  <c:v>-1.0803193408149565</c:v>
                </c:pt>
                <c:pt idx="18">
                  <c:v>-1.0364333894937898</c:v>
                </c:pt>
                <c:pt idx="19">
                  <c:v>-0.9944578832097497</c:v>
                </c:pt>
                <c:pt idx="20">
                  <c:v>-2.3263478740408408</c:v>
                </c:pt>
                <c:pt idx="21">
                  <c:v>-0.95416525314619549</c:v>
                </c:pt>
                <c:pt idx="22">
                  <c:v>-0.91536508784281501</c:v>
                </c:pt>
                <c:pt idx="23">
                  <c:v>-0.87789629505122846</c:v>
                </c:pt>
                <c:pt idx="24">
                  <c:v>-2.3263478740408408</c:v>
                </c:pt>
                <c:pt idx="25">
                  <c:v>-0.84162123357291452</c:v>
                </c:pt>
                <c:pt idx="26">
                  <c:v>-0.80642124701824058</c:v>
                </c:pt>
                <c:pt idx="27">
                  <c:v>-0.77219321418868503</c:v>
                </c:pt>
                <c:pt idx="28">
                  <c:v>-2.3263478740408408</c:v>
                </c:pt>
                <c:pt idx="29">
                  <c:v>-0.73884684918521393</c:v>
                </c:pt>
                <c:pt idx="30">
                  <c:v>-0.7063025628400873</c:v>
                </c:pt>
                <c:pt idx="31">
                  <c:v>-0.67448975019608193</c:v>
                </c:pt>
                <c:pt idx="32">
                  <c:v>-2.3263478740408408</c:v>
                </c:pt>
                <c:pt idx="33">
                  <c:v>-0.64334540539291696</c:v>
                </c:pt>
                <c:pt idx="34">
                  <c:v>-0.61281299101662734</c:v>
                </c:pt>
                <c:pt idx="35">
                  <c:v>-0.58284150727121631</c:v>
                </c:pt>
                <c:pt idx="36">
                  <c:v>-2.3263478740408408</c:v>
                </c:pt>
                <c:pt idx="37">
                  <c:v>-0.55338471955567303</c:v>
                </c:pt>
                <c:pt idx="38">
                  <c:v>-0.52440051270804089</c:v>
                </c:pt>
                <c:pt idx="39">
                  <c:v>-0.49585034734745354</c:v>
                </c:pt>
                <c:pt idx="40">
                  <c:v>-2.3263478740408408</c:v>
                </c:pt>
                <c:pt idx="41">
                  <c:v>-0.46769879911450829</c:v>
                </c:pt>
                <c:pt idx="42">
                  <c:v>-0.43991316567323374</c:v>
                </c:pt>
                <c:pt idx="43">
                  <c:v>-0.41246312944140484</c:v>
                </c:pt>
                <c:pt idx="44">
                  <c:v>-2.3263478740408408</c:v>
                </c:pt>
                <c:pt idx="45">
                  <c:v>-0.38532046640756784</c:v>
                </c:pt>
                <c:pt idx="46">
                  <c:v>-0.35845879325119384</c:v>
                </c:pt>
                <c:pt idx="47">
                  <c:v>-0.33185334643681658</c:v>
                </c:pt>
                <c:pt idx="48">
                  <c:v>-2.3263478740408408</c:v>
                </c:pt>
                <c:pt idx="49">
                  <c:v>-0.30548078809939727</c:v>
                </c:pt>
                <c:pt idx="50">
                  <c:v>-0.27931903444745415</c:v>
                </c:pt>
                <c:pt idx="51">
                  <c:v>-0.25334710313579978</c:v>
                </c:pt>
                <c:pt idx="52">
                  <c:v>-2.3263478740408408</c:v>
                </c:pt>
                <c:pt idx="53">
                  <c:v>-0.2275449766411495</c:v>
                </c:pt>
                <c:pt idx="54">
                  <c:v>-0.20189347914185088</c:v>
                </c:pt>
                <c:pt idx="55">
                  <c:v>-0.17637416478086138</c:v>
                </c:pt>
                <c:pt idx="56">
                  <c:v>-2.3263478740408408</c:v>
                </c:pt>
                <c:pt idx="57">
                  <c:v>-0.15096921549677725</c:v>
                </c:pt>
                <c:pt idx="58">
                  <c:v>-0.12566134685507402</c:v>
                </c:pt>
                <c:pt idx="59">
                  <c:v>-0.10043372051146976</c:v>
                </c:pt>
                <c:pt idx="60">
                  <c:v>-2.3263478740408408</c:v>
                </c:pt>
                <c:pt idx="61">
                  <c:v>-7.5269862099829901E-2</c:v>
                </c:pt>
                <c:pt idx="62">
                  <c:v>-5.0153583464733656E-2</c:v>
                </c:pt>
                <c:pt idx="63">
                  <c:v>-2.506890825871106E-2</c:v>
                </c:pt>
                <c:pt idx="64">
                  <c:v>-2.3263478740408408</c:v>
                </c:pt>
                <c:pt idx="65">
                  <c:v>0</c:v>
                </c:pt>
                <c:pt idx="66">
                  <c:v>2.506890825871106E-2</c:v>
                </c:pt>
                <c:pt idx="67">
                  <c:v>5.0153583464733656E-2</c:v>
                </c:pt>
                <c:pt idx="68">
                  <c:v>-2.3263478740408408</c:v>
                </c:pt>
                <c:pt idx="69">
                  <c:v>7.5269862099829901E-2</c:v>
                </c:pt>
                <c:pt idx="70">
                  <c:v>0.10043372051146988</c:v>
                </c:pt>
                <c:pt idx="71">
                  <c:v>0.12566134685507416</c:v>
                </c:pt>
                <c:pt idx="72">
                  <c:v>-2.3263478740408408</c:v>
                </c:pt>
                <c:pt idx="73">
                  <c:v>0.15096921549677741</c:v>
                </c:pt>
                <c:pt idx="74">
                  <c:v>0.17637416478086121</c:v>
                </c:pt>
                <c:pt idx="75">
                  <c:v>0.20189347914185077</c:v>
                </c:pt>
                <c:pt idx="76">
                  <c:v>-2.3263478740408408</c:v>
                </c:pt>
                <c:pt idx="77">
                  <c:v>0.22754497664114934</c:v>
                </c:pt>
                <c:pt idx="78">
                  <c:v>0.25334710313579978</c:v>
                </c:pt>
                <c:pt idx="79">
                  <c:v>0.27931903444745415</c:v>
                </c:pt>
                <c:pt idx="80">
                  <c:v>-2.3263478740408408</c:v>
                </c:pt>
                <c:pt idx="81">
                  <c:v>0.30548078809939727</c:v>
                </c:pt>
                <c:pt idx="82">
                  <c:v>0.33185334643681658</c:v>
                </c:pt>
                <c:pt idx="83">
                  <c:v>0.35845879325119384</c:v>
                </c:pt>
                <c:pt idx="84">
                  <c:v>-2.3263478740408408</c:v>
                </c:pt>
                <c:pt idx="85">
                  <c:v>0.38532046640756784</c:v>
                </c:pt>
                <c:pt idx="86">
                  <c:v>0.41246312944140473</c:v>
                </c:pt>
                <c:pt idx="87">
                  <c:v>0.43991316567323396</c:v>
                </c:pt>
                <c:pt idx="88">
                  <c:v>-2.3263478740408408</c:v>
                </c:pt>
                <c:pt idx="89">
                  <c:v>0.46769879911450835</c:v>
                </c:pt>
                <c:pt idx="90">
                  <c:v>0.49585034734745331</c:v>
                </c:pt>
                <c:pt idx="91">
                  <c:v>0.52440051270804078</c:v>
                </c:pt>
                <c:pt idx="92">
                  <c:v>-2.3263478740408408</c:v>
                </c:pt>
                <c:pt idx="93">
                  <c:v>0.5533847195556727</c:v>
                </c:pt>
                <c:pt idx="94">
                  <c:v>0.58284150727121631</c:v>
                </c:pt>
                <c:pt idx="95">
                  <c:v>0.61281299101662734</c:v>
                </c:pt>
                <c:pt idx="96">
                  <c:v>-2.3263478740408408</c:v>
                </c:pt>
                <c:pt idx="97">
                  <c:v>0.64334540539291696</c:v>
                </c:pt>
                <c:pt idx="98">
                  <c:v>0.67448975019608193</c:v>
                </c:pt>
                <c:pt idx="99">
                  <c:v>0.7063025628400873</c:v>
                </c:pt>
                <c:pt idx="100">
                  <c:v>-2.3263478740408408</c:v>
                </c:pt>
                <c:pt idx="101">
                  <c:v>0.73884684918521393</c:v>
                </c:pt>
                <c:pt idx="102">
                  <c:v>0.77219321418868503</c:v>
                </c:pt>
                <c:pt idx="103">
                  <c:v>0.80642124701824058</c:v>
                </c:pt>
                <c:pt idx="104">
                  <c:v>-2.3263478740408408</c:v>
                </c:pt>
                <c:pt idx="105">
                  <c:v>0.84162123357291474</c:v>
                </c:pt>
                <c:pt idx="106">
                  <c:v>0.87789629505122857</c:v>
                </c:pt>
                <c:pt idx="107">
                  <c:v>0.91536508784281256</c:v>
                </c:pt>
                <c:pt idx="108">
                  <c:v>-2.3263478740408408</c:v>
                </c:pt>
                <c:pt idx="109">
                  <c:v>0.95416525314619549</c:v>
                </c:pt>
                <c:pt idx="110">
                  <c:v>0.9944578832097497</c:v>
                </c:pt>
                <c:pt idx="111">
                  <c:v>1.0364333894937898</c:v>
                </c:pt>
                <c:pt idx="112">
                  <c:v>-2.3263478740408408</c:v>
                </c:pt>
                <c:pt idx="113">
                  <c:v>1.0803193408149565</c:v>
                </c:pt>
                <c:pt idx="114">
                  <c:v>1.1263911290388013</c:v>
                </c:pt>
                <c:pt idx="115">
                  <c:v>1.1749867920660904</c:v>
                </c:pt>
                <c:pt idx="116">
                  <c:v>-2.3263478740408408</c:v>
                </c:pt>
                <c:pt idx="117">
                  <c:v>1.2265281200366105</c:v>
                </c:pt>
                <c:pt idx="118">
                  <c:v>1.2815515655446006</c:v>
                </c:pt>
                <c:pt idx="119">
                  <c:v>1.3407550336902161</c:v>
                </c:pt>
                <c:pt idx="120">
                  <c:v>-2.3263478740408408</c:v>
                </c:pt>
                <c:pt idx="121">
                  <c:v>1.4050715603096329</c:v>
                </c:pt>
                <c:pt idx="122">
                  <c:v>1.4757910281791713</c:v>
                </c:pt>
                <c:pt idx="123">
                  <c:v>1.5547735945968528</c:v>
                </c:pt>
                <c:pt idx="124">
                  <c:v>-2.3263478740408408</c:v>
                </c:pt>
                <c:pt idx="125">
                  <c:v>1.6448536269514715</c:v>
                </c:pt>
                <c:pt idx="126">
                  <c:v>1.7506860712521695</c:v>
                </c:pt>
                <c:pt idx="127">
                  <c:v>1.8807936081512504</c:v>
                </c:pt>
                <c:pt idx="128">
                  <c:v>-2.3263478740408408</c:v>
                </c:pt>
                <c:pt idx="129">
                  <c:v>2.0537489106318221</c:v>
                </c:pt>
                <c:pt idx="130">
                  <c:v>2.3263478740408408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84-C04B-AF39-0DB781486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983935"/>
        <c:axId val="1970995055"/>
      </c:scatterChart>
      <c:valAx>
        <c:axId val="197098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95055"/>
        <c:crosses val="autoZero"/>
        <c:crossBetween val="midCat"/>
      </c:valAx>
      <c:valAx>
        <c:axId val="197099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83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 Dist Sampling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053213481058233E-2"/>
          <c:y val="0.27761628754738993"/>
          <c:w val="0.92777274522100661"/>
          <c:h val="0.60477580927384067"/>
        </c:manualLayout>
      </c:layout>
      <c:scatterChart>
        <c:scatterStyle val="smoothMarker"/>
        <c:varyColors val="0"/>
        <c:ser>
          <c:idx val="0"/>
          <c:order val="0"/>
          <c:tx>
            <c:v>cdf norm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8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DEE-A741-9CDA-75D657B0C3A7}"/>
              </c:ext>
            </c:extLst>
          </c:dPt>
          <c:xVal>
            <c:numRef>
              <c:f>Model!$B$6:$B$105</c:f>
              <c:numCache>
                <c:formatCode>General</c:formatCode>
                <c:ptCount val="100"/>
                <c:pt idx="0">
                  <c:v>1.5668951601409411</c:v>
                </c:pt>
                <c:pt idx="1">
                  <c:v>-0.60580895921052669</c:v>
                </c:pt>
                <c:pt idx="2">
                  <c:v>3.6971324686578766E-2</c:v>
                </c:pt>
                <c:pt idx="3">
                  <c:v>1.6088160657794857</c:v>
                </c:pt>
                <c:pt idx="4">
                  <c:v>-0.26926457182153124</c:v>
                </c:pt>
                <c:pt idx="5">
                  <c:v>-0.46645739223193228</c:v>
                </c:pt>
                <c:pt idx="6">
                  <c:v>1.0219589156364279</c:v>
                </c:pt>
                <c:pt idx="7">
                  <c:v>0.47161823355593274</c:v>
                </c:pt>
                <c:pt idx="8">
                  <c:v>-0.91789915074802508</c:v>
                </c:pt>
                <c:pt idx="9">
                  <c:v>-0.58227188130878327</c:v>
                </c:pt>
                <c:pt idx="10">
                  <c:v>0.81163004282763995</c:v>
                </c:pt>
                <c:pt idx="11">
                  <c:v>0.14493806850845878</c:v>
                </c:pt>
                <c:pt idx="12">
                  <c:v>-0.53579731527873831</c:v>
                </c:pt>
                <c:pt idx="13">
                  <c:v>-0.5624509678272086</c:v>
                </c:pt>
                <c:pt idx="14">
                  <c:v>-0.11558752358431065</c:v>
                </c:pt>
                <c:pt idx="15">
                  <c:v>-1.3589782700996698</c:v>
                </c:pt>
                <c:pt idx="16">
                  <c:v>-0.69131295571703821</c:v>
                </c:pt>
                <c:pt idx="17">
                  <c:v>0.11269594021660957</c:v>
                </c:pt>
                <c:pt idx="18">
                  <c:v>0.41711184798841489</c:v>
                </c:pt>
                <c:pt idx="19">
                  <c:v>-0.11509084010978679</c:v>
                </c:pt>
                <c:pt idx="20">
                  <c:v>-6.4189815042804729E-2</c:v>
                </c:pt>
                <c:pt idx="21">
                  <c:v>0.23342346971127254</c:v>
                </c:pt>
                <c:pt idx="22">
                  <c:v>-0.76631696353898959</c:v>
                </c:pt>
                <c:pt idx="23">
                  <c:v>-0.19304787482756924</c:v>
                </c:pt>
                <c:pt idx="24">
                  <c:v>0.23325058675942456</c:v>
                </c:pt>
                <c:pt idx="25">
                  <c:v>2.0218281518821639</c:v>
                </c:pt>
                <c:pt idx="26">
                  <c:v>1.6719886463373628</c:v>
                </c:pt>
                <c:pt idx="27">
                  <c:v>-0.35145279524331807</c:v>
                </c:pt>
                <c:pt idx="28">
                  <c:v>0.15559763165638657</c:v>
                </c:pt>
                <c:pt idx="29">
                  <c:v>-0.7300605619609325</c:v>
                </c:pt>
                <c:pt idx="30">
                  <c:v>0.11578741006671603</c:v>
                </c:pt>
                <c:pt idx="31">
                  <c:v>0.729924021642542</c:v>
                </c:pt>
                <c:pt idx="32">
                  <c:v>-1.1195310513606023</c:v>
                </c:pt>
                <c:pt idx="33">
                  <c:v>2.2312417035123708</c:v>
                </c:pt>
                <c:pt idx="34">
                  <c:v>0.40484693772918706</c:v>
                </c:pt>
                <c:pt idx="35">
                  <c:v>0.54335487908444025</c:v>
                </c:pt>
                <c:pt idx="36">
                  <c:v>1.0720014393711763E-2</c:v>
                </c:pt>
                <c:pt idx="37">
                  <c:v>-1.0677650550126476</c:v>
                </c:pt>
                <c:pt idx="38">
                  <c:v>-0.82603836345913562</c:v>
                </c:pt>
                <c:pt idx="39">
                  <c:v>4.8234378347982908E-2</c:v>
                </c:pt>
                <c:pt idx="40">
                  <c:v>1.197703576271562</c:v>
                </c:pt>
                <c:pt idx="41">
                  <c:v>-0.5702254923485135</c:v>
                </c:pt>
                <c:pt idx="42">
                  <c:v>-1.1265923789057846</c:v>
                </c:pt>
                <c:pt idx="43">
                  <c:v>0.35966307778776407</c:v>
                </c:pt>
                <c:pt idx="44">
                  <c:v>-0.16850375517456648</c:v>
                </c:pt>
                <c:pt idx="45">
                  <c:v>3.4896752966365623E-3</c:v>
                </c:pt>
                <c:pt idx="46">
                  <c:v>-1.4338991244551003</c:v>
                </c:pt>
                <c:pt idx="47">
                  <c:v>-0.31108495812895648</c:v>
                </c:pt>
                <c:pt idx="48">
                  <c:v>0.75106219402427643</c:v>
                </c:pt>
                <c:pt idx="49">
                  <c:v>-3.747903362127003E-2</c:v>
                </c:pt>
                <c:pt idx="50">
                  <c:v>-0.41308642311167298</c:v>
                </c:pt>
                <c:pt idx="51">
                  <c:v>0.35023831087663876</c:v>
                </c:pt>
                <c:pt idx="52">
                  <c:v>0.9039561694116891</c:v>
                </c:pt>
                <c:pt idx="53">
                  <c:v>0.51450236909663949</c:v>
                </c:pt>
                <c:pt idx="54">
                  <c:v>-0.47541750337827315</c:v>
                </c:pt>
                <c:pt idx="55">
                  <c:v>-1.1013074111517227</c:v>
                </c:pt>
                <c:pt idx="56">
                  <c:v>-0.8247361026479394</c:v>
                </c:pt>
                <c:pt idx="57">
                  <c:v>1.3076892968321396</c:v>
                </c:pt>
                <c:pt idx="58">
                  <c:v>-0.18192641763797618</c:v>
                </c:pt>
                <c:pt idx="59">
                  <c:v>-1.3138579772291774</c:v>
                </c:pt>
                <c:pt idx="60">
                  <c:v>0.42037604003172263</c:v>
                </c:pt>
                <c:pt idx="61">
                  <c:v>-0.33044467482983364</c:v>
                </c:pt>
                <c:pt idx="62">
                  <c:v>9.8578263311867708E-3</c:v>
                </c:pt>
                <c:pt idx="63">
                  <c:v>-1.3916245879741387</c:v>
                </c:pt>
                <c:pt idx="64">
                  <c:v>-0.94652084655702773</c:v>
                </c:pt>
                <c:pt idx="65">
                  <c:v>-0.92469295945475427</c:v>
                </c:pt>
                <c:pt idx="66">
                  <c:v>2.7411843138698291E-2</c:v>
                </c:pt>
                <c:pt idx="67">
                  <c:v>7.6770348179418191E-2</c:v>
                </c:pt>
                <c:pt idx="68">
                  <c:v>0.45883961520410887</c:v>
                </c:pt>
                <c:pt idx="69">
                  <c:v>1.2268436250535091</c:v>
                </c:pt>
                <c:pt idx="70">
                  <c:v>1.3075376778756407</c:v>
                </c:pt>
                <c:pt idx="71">
                  <c:v>-0.56404331303535538</c:v>
                </c:pt>
                <c:pt idx="72">
                  <c:v>-0.81642233416579335</c:v>
                </c:pt>
                <c:pt idx="73">
                  <c:v>1.9387810183404939</c:v>
                </c:pt>
                <c:pt idx="74">
                  <c:v>-0.71167294332341302</c:v>
                </c:pt>
                <c:pt idx="75">
                  <c:v>2.2188069780355524</c:v>
                </c:pt>
                <c:pt idx="76">
                  <c:v>0.28139977639677977</c:v>
                </c:pt>
                <c:pt idx="77">
                  <c:v>0.33018865820822774</c:v>
                </c:pt>
                <c:pt idx="78">
                  <c:v>-1.0579148105377936</c:v>
                </c:pt>
                <c:pt idx="79">
                  <c:v>0.26767776993172288</c:v>
                </c:pt>
                <c:pt idx="80">
                  <c:v>-1.1829542316381711</c:v>
                </c:pt>
                <c:pt idx="81">
                  <c:v>0.37037083977523627</c:v>
                </c:pt>
                <c:pt idx="82">
                  <c:v>0.31879706760098592</c:v>
                </c:pt>
                <c:pt idx="83">
                  <c:v>-0.62363935866020659</c:v>
                </c:pt>
                <c:pt idx="84">
                  <c:v>0.99845123958851711</c:v>
                </c:pt>
                <c:pt idx="85">
                  <c:v>-0.78282144739131732</c:v>
                </c:pt>
                <c:pt idx="86">
                  <c:v>0.17496775199720632</c:v>
                </c:pt>
                <c:pt idx="87">
                  <c:v>-1.3149743271014191</c:v>
                </c:pt>
                <c:pt idx="88">
                  <c:v>-0.35989077953355086</c:v>
                </c:pt>
                <c:pt idx="89">
                  <c:v>0.84524425174161033</c:v>
                </c:pt>
                <c:pt idx="90">
                  <c:v>0.94762141312026105</c:v>
                </c:pt>
                <c:pt idx="91">
                  <c:v>1.4031273932352151</c:v>
                </c:pt>
                <c:pt idx="92">
                  <c:v>-1.0276920080609553</c:v>
                </c:pt>
                <c:pt idx="93">
                  <c:v>-0.62250879679449356</c:v>
                </c:pt>
                <c:pt idx="94">
                  <c:v>0.29732350947879488</c:v>
                </c:pt>
                <c:pt idx="95">
                  <c:v>-1.19468565939381</c:v>
                </c:pt>
                <c:pt idx="96">
                  <c:v>-0.10925624135227896</c:v>
                </c:pt>
                <c:pt idx="97">
                  <c:v>0.1941160302950207</c:v>
                </c:pt>
                <c:pt idx="98">
                  <c:v>-0.7966118320936062</c:v>
                </c:pt>
                <c:pt idx="99">
                  <c:v>0.52788089387985004</c:v>
                </c:pt>
              </c:numCache>
            </c:numRef>
          </c:xVal>
          <c:yVal>
            <c:numRef>
              <c:f>Model!$A$6:$A$105</c:f>
              <c:numCache>
                <c:formatCode>General</c:formatCode>
                <c:ptCount val="100"/>
                <c:pt idx="0">
                  <c:v>0.941430400428794</c:v>
                </c:pt>
                <c:pt idx="1">
                  <c:v>0.27232080986612184</c:v>
                </c:pt>
                <c:pt idx="2">
                  <c:v>0.51474606515599441</c:v>
                </c:pt>
                <c:pt idx="3">
                  <c:v>0.94617171657432175</c:v>
                </c:pt>
                <c:pt idx="4">
                  <c:v>0.39386304662492633</c:v>
                </c:pt>
                <c:pt idx="5">
                  <c:v>0.32044406948193438</c:v>
                </c:pt>
                <c:pt idx="6">
                  <c:v>0.84659982704947823</c:v>
                </c:pt>
                <c:pt idx="7">
                  <c:v>0.68140034519651305</c:v>
                </c:pt>
                <c:pt idx="8">
                  <c:v>0.17933583315664559</c:v>
                </c:pt>
                <c:pt idx="9">
                  <c:v>0.28019178122054555</c:v>
                </c:pt>
                <c:pt idx="10">
                  <c:v>0.79149802642868261</c:v>
                </c:pt>
                <c:pt idx="11">
                  <c:v>0.55762011527753597</c:v>
                </c:pt>
                <c:pt idx="12">
                  <c:v>0.29604931893281772</c:v>
                </c:pt>
                <c:pt idx="13">
                  <c:v>0.28690440081577351</c:v>
                </c:pt>
                <c:pt idx="14">
                  <c:v>0.45398972568053431</c:v>
                </c:pt>
                <c:pt idx="15">
                  <c:v>8.7076737289891626E-2</c:v>
                </c:pt>
                <c:pt idx="16">
                  <c:v>0.24468444589635352</c:v>
                </c:pt>
                <c:pt idx="17">
                  <c:v>0.54486419000816222</c:v>
                </c:pt>
                <c:pt idx="18">
                  <c:v>0.6617017004080904</c:v>
                </c:pt>
                <c:pt idx="19">
                  <c:v>0.45418656009591685</c:v>
                </c:pt>
                <c:pt idx="20">
                  <c:v>0.47440954354474119</c:v>
                </c:pt>
                <c:pt idx="21">
                  <c:v>0.59228370486126225</c:v>
                </c:pt>
                <c:pt idx="22">
                  <c:v>0.22174386357567899</c:v>
                </c:pt>
                <c:pt idx="23">
                  <c:v>0.42346073726097089</c:v>
                </c:pt>
                <c:pt idx="24">
                  <c:v>0.5922165868006205</c:v>
                </c:pt>
                <c:pt idx="25">
                  <c:v>0.97840294582166576</c:v>
                </c:pt>
                <c:pt idx="26">
                  <c:v>0.95273671953374395</c:v>
                </c:pt>
                <c:pt idx="27">
                  <c:v>0.36262434019930234</c:v>
                </c:pt>
                <c:pt idx="28">
                  <c:v>0.56182490406516494</c:v>
                </c:pt>
                <c:pt idx="29">
                  <c:v>0.23267658331478902</c:v>
                </c:pt>
                <c:pt idx="30">
                  <c:v>0.54608948564498661</c:v>
                </c:pt>
                <c:pt idx="31">
                  <c:v>0.76728168598653568</c:v>
                </c:pt>
                <c:pt idx="32">
                  <c:v>0.13145682576985718</c:v>
                </c:pt>
                <c:pt idx="33">
                  <c:v>0.98716743854638245</c:v>
                </c:pt>
                <c:pt idx="34">
                  <c:v>0.65720498784699211</c:v>
                </c:pt>
                <c:pt idx="35">
                  <c:v>0.70655725708059425</c:v>
                </c:pt>
                <c:pt idx="36">
                  <c:v>0.50427658507806761</c:v>
                </c:pt>
                <c:pt idx="37">
                  <c:v>0.14281325242114473</c:v>
                </c:pt>
                <c:pt idx="38">
                  <c:v>0.20439116495931542</c:v>
                </c:pt>
                <c:pt idx="39">
                  <c:v>0.51923527394823676</c:v>
                </c:pt>
                <c:pt idx="40">
                  <c:v>0.88448378171054975</c:v>
                </c:pt>
                <c:pt idx="41">
                  <c:v>0.28426238402330417</c:v>
                </c:pt>
                <c:pt idx="42">
                  <c:v>0.1299574314002373</c:v>
                </c:pt>
                <c:pt idx="43">
                  <c:v>0.64045044679161578</c:v>
                </c:pt>
                <c:pt idx="44">
                  <c:v>0.43309349485471216</c:v>
                </c:pt>
                <c:pt idx="45">
                  <c:v>0.50139217619508514</c:v>
                </c:pt>
                <c:pt idx="46">
                  <c:v>7.5800525883837122E-2</c:v>
                </c:pt>
                <c:pt idx="47">
                  <c:v>0.37786801795118674</c:v>
                </c:pt>
                <c:pt idx="48">
                  <c:v>0.77369238656770734</c:v>
                </c:pt>
                <c:pt idx="49">
                  <c:v>0.48505152857318379</c:v>
                </c:pt>
                <c:pt idx="50">
                  <c:v>0.33977164812881477</c:v>
                </c:pt>
                <c:pt idx="51">
                  <c:v>0.63692007130153183</c:v>
                </c:pt>
                <c:pt idx="52">
                  <c:v>0.81699067840520168</c:v>
                </c:pt>
                <c:pt idx="53">
                  <c:v>0.69654959777255132</c:v>
                </c:pt>
                <c:pt idx="54">
                  <c:v>0.31724471055211334</c:v>
                </c:pt>
                <c:pt idx="55">
                  <c:v>0.13538144337257663</c:v>
                </c:pt>
                <c:pt idx="56">
                  <c:v>0.20476071513349325</c:v>
                </c:pt>
                <c:pt idx="57">
                  <c:v>0.90451064244726687</c:v>
                </c:pt>
                <c:pt idx="58">
                  <c:v>0.42782023608357855</c:v>
                </c:pt>
                <c:pt idx="59">
                  <c:v>9.4447001295311472E-2</c:v>
                </c:pt>
                <c:pt idx="60">
                  <c:v>0.66289461568950658</c:v>
                </c:pt>
                <c:pt idx="61">
                  <c:v>0.37053199493900479</c:v>
                </c:pt>
                <c:pt idx="62">
                  <c:v>0.50393264002273896</c:v>
                </c:pt>
                <c:pt idx="63">
                  <c:v>8.2018054587801426E-2</c:v>
                </c:pt>
                <c:pt idx="64">
                  <c:v>0.17194149732108488</c:v>
                </c:pt>
                <c:pt idx="65">
                  <c:v>0.17756282136357471</c:v>
                </c:pt>
                <c:pt idx="66">
                  <c:v>0.51093437382986573</c:v>
                </c:pt>
                <c:pt idx="67">
                  <c:v>0.53059688008644379</c:v>
                </c:pt>
                <c:pt idx="68">
                  <c:v>0.67682532784032057</c:v>
                </c:pt>
                <c:pt idx="69">
                  <c:v>0.89005931468634913</c:v>
                </c:pt>
                <c:pt idx="70">
                  <c:v>0.90448491636221873</c:v>
                </c:pt>
                <c:pt idx="71">
                  <c:v>0.28636232769243519</c:v>
                </c:pt>
                <c:pt idx="72">
                  <c:v>0.20712931354560626</c:v>
                </c:pt>
                <c:pt idx="73">
                  <c:v>0.97373599579915548</c:v>
                </c:pt>
                <c:pt idx="74">
                  <c:v>0.23833366298758951</c:v>
                </c:pt>
                <c:pt idx="75">
                  <c:v>0.98675007045722185</c:v>
                </c:pt>
                <c:pt idx="76">
                  <c:v>0.61079810519971056</c:v>
                </c:pt>
                <c:pt idx="77">
                  <c:v>0.62937129192028085</c:v>
                </c:pt>
                <c:pt idx="78">
                  <c:v>0.14504714117854878</c:v>
                </c:pt>
                <c:pt idx="79">
                  <c:v>0.60552631870181461</c:v>
                </c:pt>
                <c:pt idx="80">
                  <c:v>0.1184136433888564</c:v>
                </c:pt>
                <c:pt idx="81">
                  <c:v>0.64444690105460189</c:v>
                </c:pt>
                <c:pt idx="82">
                  <c:v>0.6250597989659703</c:v>
                </c:pt>
                <c:pt idx="83">
                  <c:v>0.26643222820055978</c:v>
                </c:pt>
                <c:pt idx="84">
                  <c:v>0.84096970118718095</c:v>
                </c:pt>
                <c:pt idx="85">
                  <c:v>0.21686598556258885</c:v>
                </c:pt>
                <c:pt idx="86">
                  <c:v>0.56944751357628376</c:v>
                </c:pt>
                <c:pt idx="87">
                  <c:v>9.4259265394280978E-2</c:v>
                </c:pt>
                <c:pt idx="88">
                  <c:v>0.35946440627554299</c:v>
                </c:pt>
                <c:pt idx="89">
                  <c:v>0.80101276006361266</c:v>
                </c:pt>
                <c:pt idx="90">
                  <c:v>0.82833888945209233</c:v>
                </c:pt>
                <c:pt idx="91">
                  <c:v>0.91971057306711868</c:v>
                </c:pt>
                <c:pt idx="92">
                  <c:v>0.15204736418611153</c:v>
                </c:pt>
                <c:pt idx="93">
                  <c:v>0.26680368062608906</c:v>
                </c:pt>
                <c:pt idx="94">
                  <c:v>0.61689023260918818</c:v>
                </c:pt>
                <c:pt idx="95">
                  <c:v>0.1161049337307809</c:v>
                </c:pt>
                <c:pt idx="96">
                  <c:v>0.4564996265491984</c:v>
                </c:pt>
                <c:pt idx="97">
                  <c:v>0.57695748499855259</c:v>
                </c:pt>
                <c:pt idx="98">
                  <c:v>0.21283825175289206</c:v>
                </c:pt>
                <c:pt idx="99">
                  <c:v>0.70120899677228155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F-B348-AC5A-5484D67BD944}"/>
            </c:ext>
          </c:extLst>
        </c:ser>
        <c:ser>
          <c:idx val="1"/>
          <c:order val="1"/>
          <c:tx>
            <c:v>norm check!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Model!$B$6:$B$1005</c:f>
              <c:numCache>
                <c:formatCode>General</c:formatCode>
                <c:ptCount val="1000"/>
                <c:pt idx="0">
                  <c:v>1.5668951601409411</c:v>
                </c:pt>
                <c:pt idx="1">
                  <c:v>-0.60580895921052669</c:v>
                </c:pt>
                <c:pt idx="2">
                  <c:v>3.6971324686578766E-2</c:v>
                </c:pt>
                <c:pt idx="3">
                  <c:v>1.6088160657794857</c:v>
                </c:pt>
                <c:pt idx="4">
                  <c:v>-0.26926457182153124</c:v>
                </c:pt>
                <c:pt idx="5">
                  <c:v>-0.46645739223193228</c:v>
                </c:pt>
                <c:pt idx="6">
                  <c:v>1.0219589156364279</c:v>
                </c:pt>
                <c:pt idx="7">
                  <c:v>0.47161823355593274</c:v>
                </c:pt>
                <c:pt idx="8">
                  <c:v>-0.91789915074802508</c:v>
                </c:pt>
                <c:pt idx="9">
                  <c:v>-0.58227188130878327</c:v>
                </c:pt>
                <c:pt idx="10">
                  <c:v>0.81163004282763995</c:v>
                </c:pt>
                <c:pt idx="11">
                  <c:v>0.14493806850845878</c:v>
                </c:pt>
                <c:pt idx="12">
                  <c:v>-0.53579731527873831</c:v>
                </c:pt>
                <c:pt idx="13">
                  <c:v>-0.5624509678272086</c:v>
                </c:pt>
                <c:pt idx="14">
                  <c:v>-0.11558752358431065</c:v>
                </c:pt>
                <c:pt idx="15">
                  <c:v>-1.3589782700996698</c:v>
                </c:pt>
                <c:pt idx="16">
                  <c:v>-0.69131295571703821</c:v>
                </c:pt>
                <c:pt idx="17">
                  <c:v>0.11269594021660957</c:v>
                </c:pt>
                <c:pt idx="18">
                  <c:v>0.41711184798841489</c:v>
                </c:pt>
                <c:pt idx="19">
                  <c:v>-0.11509084010978679</c:v>
                </c:pt>
                <c:pt idx="20">
                  <c:v>-6.4189815042804729E-2</c:v>
                </c:pt>
                <c:pt idx="21">
                  <c:v>0.23342346971127254</c:v>
                </c:pt>
                <c:pt idx="22">
                  <c:v>-0.76631696353898959</c:v>
                </c:pt>
                <c:pt idx="23">
                  <c:v>-0.19304787482756924</c:v>
                </c:pt>
                <c:pt idx="24">
                  <c:v>0.23325058675942456</c:v>
                </c:pt>
                <c:pt idx="25">
                  <c:v>2.0218281518821639</c:v>
                </c:pt>
                <c:pt idx="26">
                  <c:v>1.6719886463373628</c:v>
                </c:pt>
                <c:pt idx="27">
                  <c:v>-0.35145279524331807</c:v>
                </c:pt>
                <c:pt idx="28">
                  <c:v>0.15559763165638657</c:v>
                </c:pt>
                <c:pt idx="29">
                  <c:v>-0.7300605619609325</c:v>
                </c:pt>
                <c:pt idx="30">
                  <c:v>0.11578741006671603</c:v>
                </c:pt>
                <c:pt idx="31">
                  <c:v>0.729924021642542</c:v>
                </c:pt>
                <c:pt idx="32">
                  <c:v>-1.1195310513606023</c:v>
                </c:pt>
                <c:pt idx="33">
                  <c:v>2.2312417035123708</c:v>
                </c:pt>
                <c:pt idx="34">
                  <c:v>0.40484693772918706</c:v>
                </c:pt>
                <c:pt idx="35">
                  <c:v>0.54335487908444025</c:v>
                </c:pt>
                <c:pt idx="36">
                  <c:v>1.0720014393711763E-2</c:v>
                </c:pt>
                <c:pt idx="37">
                  <c:v>-1.0677650550126476</c:v>
                </c:pt>
                <c:pt idx="38">
                  <c:v>-0.82603836345913562</c:v>
                </c:pt>
                <c:pt idx="39">
                  <c:v>4.8234378347982908E-2</c:v>
                </c:pt>
                <c:pt idx="40">
                  <c:v>1.197703576271562</c:v>
                </c:pt>
                <c:pt idx="41">
                  <c:v>-0.5702254923485135</c:v>
                </c:pt>
                <c:pt idx="42">
                  <c:v>-1.1265923789057846</c:v>
                </c:pt>
                <c:pt idx="43">
                  <c:v>0.35966307778776407</c:v>
                </c:pt>
                <c:pt idx="44">
                  <c:v>-0.16850375517456648</c:v>
                </c:pt>
                <c:pt idx="45">
                  <c:v>3.4896752966365623E-3</c:v>
                </c:pt>
                <c:pt idx="46">
                  <c:v>-1.4338991244551003</c:v>
                </c:pt>
                <c:pt idx="47">
                  <c:v>-0.31108495812895648</c:v>
                </c:pt>
                <c:pt idx="48">
                  <c:v>0.75106219402427643</c:v>
                </c:pt>
                <c:pt idx="49">
                  <c:v>-3.747903362127003E-2</c:v>
                </c:pt>
                <c:pt idx="50">
                  <c:v>-0.41308642311167298</c:v>
                </c:pt>
                <c:pt idx="51">
                  <c:v>0.35023831087663876</c:v>
                </c:pt>
                <c:pt idx="52">
                  <c:v>0.9039561694116891</c:v>
                </c:pt>
                <c:pt idx="53">
                  <c:v>0.51450236909663949</c:v>
                </c:pt>
                <c:pt idx="54">
                  <c:v>-0.47541750337827315</c:v>
                </c:pt>
                <c:pt idx="55">
                  <c:v>-1.1013074111517227</c:v>
                </c:pt>
                <c:pt idx="56">
                  <c:v>-0.8247361026479394</c:v>
                </c:pt>
                <c:pt idx="57">
                  <c:v>1.3076892968321396</c:v>
                </c:pt>
                <c:pt idx="58">
                  <c:v>-0.18192641763797618</c:v>
                </c:pt>
                <c:pt idx="59">
                  <c:v>-1.3138579772291774</c:v>
                </c:pt>
                <c:pt idx="60">
                  <c:v>0.42037604003172263</c:v>
                </c:pt>
                <c:pt idx="61">
                  <c:v>-0.33044467482983364</c:v>
                </c:pt>
                <c:pt idx="62">
                  <c:v>9.8578263311867708E-3</c:v>
                </c:pt>
                <c:pt idx="63">
                  <c:v>-1.3916245879741387</c:v>
                </c:pt>
                <c:pt idx="64">
                  <c:v>-0.94652084655702773</c:v>
                </c:pt>
                <c:pt idx="65">
                  <c:v>-0.92469295945475427</c:v>
                </c:pt>
                <c:pt idx="66">
                  <c:v>2.7411843138698291E-2</c:v>
                </c:pt>
                <c:pt idx="67">
                  <c:v>7.6770348179418191E-2</c:v>
                </c:pt>
                <c:pt idx="68">
                  <c:v>0.45883961520410887</c:v>
                </c:pt>
                <c:pt idx="69">
                  <c:v>1.2268436250535091</c:v>
                </c:pt>
                <c:pt idx="70">
                  <c:v>1.3075376778756407</c:v>
                </c:pt>
                <c:pt idx="71">
                  <c:v>-0.56404331303535538</c:v>
                </c:pt>
                <c:pt idx="72">
                  <c:v>-0.81642233416579335</c:v>
                </c:pt>
                <c:pt idx="73">
                  <c:v>1.9387810183404939</c:v>
                </c:pt>
                <c:pt idx="74">
                  <c:v>-0.71167294332341302</c:v>
                </c:pt>
                <c:pt idx="75">
                  <c:v>2.2188069780355524</c:v>
                </c:pt>
                <c:pt idx="76">
                  <c:v>0.28139977639677977</c:v>
                </c:pt>
                <c:pt idx="77">
                  <c:v>0.33018865820822774</c:v>
                </c:pt>
                <c:pt idx="78">
                  <c:v>-1.0579148105377936</c:v>
                </c:pt>
                <c:pt idx="79">
                  <c:v>0.26767776993172288</c:v>
                </c:pt>
                <c:pt idx="80">
                  <c:v>-1.1829542316381711</c:v>
                </c:pt>
                <c:pt idx="81">
                  <c:v>0.37037083977523627</c:v>
                </c:pt>
                <c:pt idx="82">
                  <c:v>0.31879706760098592</c:v>
                </c:pt>
                <c:pt idx="83">
                  <c:v>-0.62363935866020659</c:v>
                </c:pt>
                <c:pt idx="84">
                  <c:v>0.99845123958851711</c:v>
                </c:pt>
                <c:pt idx="85">
                  <c:v>-0.78282144739131732</c:v>
                </c:pt>
                <c:pt idx="86">
                  <c:v>0.17496775199720632</c:v>
                </c:pt>
                <c:pt idx="87">
                  <c:v>-1.3149743271014191</c:v>
                </c:pt>
                <c:pt idx="88">
                  <c:v>-0.35989077953355086</c:v>
                </c:pt>
                <c:pt idx="89">
                  <c:v>0.84524425174161033</c:v>
                </c:pt>
                <c:pt idx="90">
                  <c:v>0.94762141312026105</c:v>
                </c:pt>
                <c:pt idx="91">
                  <c:v>1.4031273932352151</c:v>
                </c:pt>
                <c:pt idx="92">
                  <c:v>-1.0276920080609553</c:v>
                </c:pt>
                <c:pt idx="93">
                  <c:v>-0.62250879679449356</c:v>
                </c:pt>
                <c:pt idx="94">
                  <c:v>0.29732350947879488</c:v>
                </c:pt>
                <c:pt idx="95">
                  <c:v>-1.19468565939381</c:v>
                </c:pt>
                <c:pt idx="96">
                  <c:v>-0.10925624135227896</c:v>
                </c:pt>
                <c:pt idx="97">
                  <c:v>0.1941160302950207</c:v>
                </c:pt>
                <c:pt idx="98">
                  <c:v>-0.7966118320936062</c:v>
                </c:pt>
                <c:pt idx="99">
                  <c:v>0.52788089387985004</c:v>
                </c:pt>
                <c:pt idx="100">
                  <c:v>-1.5344221208500088</c:v>
                </c:pt>
                <c:pt idx="101">
                  <c:v>-0.75450951204362138</c:v>
                </c:pt>
                <c:pt idx="102">
                  <c:v>-1.0922582775276386</c:v>
                </c:pt>
                <c:pt idx="103">
                  <c:v>0.1125290609380456</c:v>
                </c:pt>
                <c:pt idx="104">
                  <c:v>0.1338656060032023</c:v>
                </c:pt>
                <c:pt idx="105">
                  <c:v>0.46271537654394646</c:v>
                </c:pt>
                <c:pt idx="106">
                  <c:v>-0.17545068815100939</c:v>
                </c:pt>
                <c:pt idx="107">
                  <c:v>-0.93043212771019179</c:v>
                </c:pt>
                <c:pt idx="108">
                  <c:v>-1.8261588190741889</c:v>
                </c:pt>
                <c:pt idx="109">
                  <c:v>0.11464091769135654</c:v>
                </c:pt>
                <c:pt idx="110">
                  <c:v>0.50208771093544458</c:v>
                </c:pt>
                <c:pt idx="111">
                  <c:v>0.48486262082491582</c:v>
                </c:pt>
                <c:pt idx="112">
                  <c:v>0.35785700085243488</c:v>
                </c:pt>
                <c:pt idx="113">
                  <c:v>1.2105134315615829</c:v>
                </c:pt>
                <c:pt idx="114">
                  <c:v>-3.9119768052432467E-2</c:v>
                </c:pt>
                <c:pt idx="115">
                  <c:v>0.51706642147506343</c:v>
                </c:pt>
                <c:pt idx="116">
                  <c:v>0.50646982659202644</c:v>
                </c:pt>
                <c:pt idx="117">
                  <c:v>0.39491794126253449</c:v>
                </c:pt>
                <c:pt idx="118">
                  <c:v>2.8318912843437856</c:v>
                </c:pt>
                <c:pt idx="119">
                  <c:v>-0.16587906616051387</c:v>
                </c:pt>
                <c:pt idx="120">
                  <c:v>0.32433783770685509</c:v>
                </c:pt>
                <c:pt idx="121">
                  <c:v>-1.7970153144516612</c:v>
                </c:pt>
                <c:pt idx="122">
                  <c:v>-1.4673561370355346</c:v>
                </c:pt>
                <c:pt idx="123">
                  <c:v>-0.38684894840057843</c:v>
                </c:pt>
                <c:pt idx="124">
                  <c:v>-1.1496093655605537</c:v>
                </c:pt>
                <c:pt idx="125">
                  <c:v>0.61283464650753272</c:v>
                </c:pt>
                <c:pt idx="126">
                  <c:v>0.52257401786326974</c:v>
                </c:pt>
                <c:pt idx="127">
                  <c:v>-0.68722781665940713</c:v>
                </c:pt>
                <c:pt idx="128">
                  <c:v>5.9088740644737958E-2</c:v>
                </c:pt>
                <c:pt idx="129">
                  <c:v>-9.8632960957778876E-2</c:v>
                </c:pt>
                <c:pt idx="130">
                  <c:v>-0.3930517088045351</c:v>
                </c:pt>
                <c:pt idx="131">
                  <c:v>2.1741651121230525</c:v>
                </c:pt>
                <c:pt idx="132">
                  <c:v>1.1495237865762586</c:v>
                </c:pt>
                <c:pt idx="133">
                  <c:v>-1.3488538952006337</c:v>
                </c:pt>
                <c:pt idx="134">
                  <c:v>0.81667190022191249</c:v>
                </c:pt>
                <c:pt idx="135">
                  <c:v>0.62455790850016513</c:v>
                </c:pt>
                <c:pt idx="136">
                  <c:v>-0.25214206418589669</c:v>
                </c:pt>
                <c:pt idx="137">
                  <c:v>2.0565301018442579</c:v>
                </c:pt>
                <c:pt idx="138">
                  <c:v>-0.89910409947389625</c:v>
                </c:pt>
                <c:pt idx="139">
                  <c:v>-0.48527851299294156</c:v>
                </c:pt>
                <c:pt idx="140">
                  <c:v>0.87668839290486911</c:v>
                </c:pt>
                <c:pt idx="141">
                  <c:v>-1.015817674886152</c:v>
                </c:pt>
                <c:pt idx="142">
                  <c:v>0.31915923120802281</c:v>
                </c:pt>
                <c:pt idx="143">
                  <c:v>-1.7183916058255513</c:v>
                </c:pt>
                <c:pt idx="144">
                  <c:v>0.91365655099698972</c:v>
                </c:pt>
                <c:pt idx="145">
                  <c:v>-0.77339578523511054</c:v>
                </c:pt>
                <c:pt idx="146">
                  <c:v>-0.89643978653533063</c:v>
                </c:pt>
                <c:pt idx="147">
                  <c:v>2.527733166802014</c:v>
                </c:pt>
                <c:pt idx="148">
                  <c:v>-1.2568495533623518</c:v>
                </c:pt>
                <c:pt idx="149">
                  <c:v>2.2043218434834011</c:v>
                </c:pt>
                <c:pt idx="150">
                  <c:v>-1.4722637953140683</c:v>
                </c:pt>
                <c:pt idx="151">
                  <c:v>-2.2168983845177021E-3</c:v>
                </c:pt>
                <c:pt idx="152">
                  <c:v>0.15911829504936498</c:v>
                </c:pt>
                <c:pt idx="153">
                  <c:v>0.7671563180137031</c:v>
                </c:pt>
                <c:pt idx="154">
                  <c:v>-1.0057259618708057</c:v>
                </c:pt>
                <c:pt idx="155">
                  <c:v>-1.1483413632571891</c:v>
                </c:pt>
                <c:pt idx="156">
                  <c:v>0.85729756591060058</c:v>
                </c:pt>
                <c:pt idx="157">
                  <c:v>-0.5330201489790537</c:v>
                </c:pt>
                <c:pt idx="158">
                  <c:v>-1.8066896927853491</c:v>
                </c:pt>
                <c:pt idx="159">
                  <c:v>-0.28279621532487564</c:v>
                </c:pt>
                <c:pt idx="160">
                  <c:v>0.86580213306407094</c:v>
                </c:pt>
                <c:pt idx="161">
                  <c:v>1.4766889530399543</c:v>
                </c:pt>
                <c:pt idx="162">
                  <c:v>-2.1577368815755827E-2</c:v>
                </c:pt>
                <c:pt idx="163">
                  <c:v>1.6697703498646734</c:v>
                </c:pt>
                <c:pt idx="164">
                  <c:v>0.52775032043301739</c:v>
                </c:pt>
                <c:pt idx="165">
                  <c:v>-1.8108126145392855</c:v>
                </c:pt>
                <c:pt idx="166">
                  <c:v>1.2368631198432991</c:v>
                </c:pt>
                <c:pt idx="167">
                  <c:v>-0.57380846158898657</c:v>
                </c:pt>
                <c:pt idx="168">
                  <c:v>-1.2415696548580017</c:v>
                </c:pt>
                <c:pt idx="169">
                  <c:v>-0.48106193360952665</c:v>
                </c:pt>
                <c:pt idx="170">
                  <c:v>-0.59678331526421624</c:v>
                </c:pt>
                <c:pt idx="171">
                  <c:v>1.6455131567596488</c:v>
                </c:pt>
                <c:pt idx="172">
                  <c:v>-0.13693883575632329</c:v>
                </c:pt>
                <c:pt idx="173">
                  <c:v>0.12857326607835998</c:v>
                </c:pt>
                <c:pt idx="174">
                  <c:v>0.70472103885013082</c:v>
                </c:pt>
                <c:pt idx="175">
                  <c:v>0.1361915825883058</c:v>
                </c:pt>
                <c:pt idx="176">
                  <c:v>-1.205708175073944</c:v>
                </c:pt>
                <c:pt idx="177">
                  <c:v>-1.565073645492711</c:v>
                </c:pt>
                <c:pt idx="178">
                  <c:v>-0.29861131709194194</c:v>
                </c:pt>
                <c:pt idx="179">
                  <c:v>-1.2497819093700324</c:v>
                </c:pt>
                <c:pt idx="180">
                  <c:v>0.53596769881471629</c:v>
                </c:pt>
                <c:pt idx="181">
                  <c:v>-1.560194150310463</c:v>
                </c:pt>
                <c:pt idx="182">
                  <c:v>-0.90114285878416978</c:v>
                </c:pt>
                <c:pt idx="183">
                  <c:v>-0.24245480503914341</c:v>
                </c:pt>
                <c:pt idx="184">
                  <c:v>0.59683353083967594</c:v>
                </c:pt>
                <c:pt idx="185">
                  <c:v>-0.10980050737601801</c:v>
                </c:pt>
                <c:pt idx="186">
                  <c:v>-0.13693843722948668</c:v>
                </c:pt>
                <c:pt idx="187">
                  <c:v>0.5075329569142103</c:v>
                </c:pt>
                <c:pt idx="188">
                  <c:v>0.48562139939811738</c:v>
                </c:pt>
                <c:pt idx="189">
                  <c:v>-1.1674873546365039</c:v>
                </c:pt>
                <c:pt idx="190">
                  <c:v>0.31566031259284588</c:v>
                </c:pt>
                <c:pt idx="191">
                  <c:v>0.34235119634989031</c:v>
                </c:pt>
                <c:pt idx="192">
                  <c:v>-1.5096337079509072</c:v>
                </c:pt>
                <c:pt idx="193">
                  <c:v>0.4131156362634561</c:v>
                </c:pt>
                <c:pt idx="194">
                  <c:v>-0.19254743198458674</c:v>
                </c:pt>
                <c:pt idx="195">
                  <c:v>-0.8249630803508311</c:v>
                </c:pt>
                <c:pt idx="196">
                  <c:v>-1.0084973655200733</c:v>
                </c:pt>
                <c:pt idx="197">
                  <c:v>0.81015794102069294</c:v>
                </c:pt>
                <c:pt idx="198">
                  <c:v>0.11205479493002339</c:v>
                </c:pt>
                <c:pt idx="199">
                  <c:v>-1.9158397285919189</c:v>
                </c:pt>
                <c:pt idx="200">
                  <c:v>-0.44002855210689262</c:v>
                </c:pt>
                <c:pt idx="201">
                  <c:v>-0.786552822514067</c:v>
                </c:pt>
                <c:pt idx="202">
                  <c:v>0.64614900382838014</c:v>
                </c:pt>
                <c:pt idx="203">
                  <c:v>-0.78591092823267383</c:v>
                </c:pt>
                <c:pt idx="204">
                  <c:v>-1.0935269062936457</c:v>
                </c:pt>
                <c:pt idx="205">
                  <c:v>-0.17919287095330369</c:v>
                </c:pt>
                <c:pt idx="206">
                  <c:v>0.59295238047725551</c:v>
                </c:pt>
                <c:pt idx="207">
                  <c:v>0.8154690603573258</c:v>
                </c:pt>
                <c:pt idx="208">
                  <c:v>8.6806574085332211E-2</c:v>
                </c:pt>
                <c:pt idx="209">
                  <c:v>1.2745434398900313</c:v>
                </c:pt>
                <c:pt idx="210">
                  <c:v>1.7406394088181514</c:v>
                </c:pt>
                <c:pt idx="211">
                  <c:v>-0.30550441369218628</c:v>
                </c:pt>
                <c:pt idx="212">
                  <c:v>-1.6855440429290529</c:v>
                </c:pt>
                <c:pt idx="213">
                  <c:v>0.88147952924801398</c:v>
                </c:pt>
                <c:pt idx="214">
                  <c:v>-0.45190592314157996</c:v>
                </c:pt>
                <c:pt idx="215">
                  <c:v>-2.0431642323094863E-2</c:v>
                </c:pt>
                <c:pt idx="216">
                  <c:v>0.7560246610645085</c:v>
                </c:pt>
                <c:pt idx="217">
                  <c:v>0.91627733615381635</c:v>
                </c:pt>
                <c:pt idx="218">
                  <c:v>-0.41154605977414066</c:v>
                </c:pt>
                <c:pt idx="219">
                  <c:v>-0.3056091483071588</c:v>
                </c:pt>
                <c:pt idx="220">
                  <c:v>0.66404157226564187</c:v>
                </c:pt>
                <c:pt idx="221">
                  <c:v>2.8207140438687142</c:v>
                </c:pt>
                <c:pt idx="222">
                  <c:v>-0.21560716372680067</c:v>
                </c:pt>
                <c:pt idx="223">
                  <c:v>1.8782702893604171</c:v>
                </c:pt>
                <c:pt idx="224">
                  <c:v>-1.0933207584571716</c:v>
                </c:pt>
                <c:pt idx="225">
                  <c:v>1.6801550621189183</c:v>
                </c:pt>
                <c:pt idx="226">
                  <c:v>0.90913233807139426</c:v>
                </c:pt>
                <c:pt idx="227">
                  <c:v>-8.6397431136279401E-2</c:v>
                </c:pt>
                <c:pt idx="228">
                  <c:v>0.65061328771230964</c:v>
                </c:pt>
                <c:pt idx="229">
                  <c:v>-0.39381695281875417</c:v>
                </c:pt>
                <c:pt idx="230">
                  <c:v>-1.0018521789472661</c:v>
                </c:pt>
                <c:pt idx="231">
                  <c:v>-1.3323555504844269</c:v>
                </c:pt>
                <c:pt idx="232">
                  <c:v>0.32714604341307402</c:v>
                </c:pt>
                <c:pt idx="233">
                  <c:v>-1.3162138523434479</c:v>
                </c:pt>
                <c:pt idx="234">
                  <c:v>-1.9372505621316261</c:v>
                </c:pt>
                <c:pt idx="235">
                  <c:v>0.10006899330246771</c:v>
                </c:pt>
                <c:pt idx="236">
                  <c:v>-1.7080495883706504</c:v>
                </c:pt>
                <c:pt idx="237">
                  <c:v>0.12504654614333366</c:v>
                </c:pt>
                <c:pt idx="238">
                  <c:v>-9.3703857236088248E-2</c:v>
                </c:pt>
                <c:pt idx="239">
                  <c:v>-0.21142234217348266</c:v>
                </c:pt>
                <c:pt idx="240">
                  <c:v>2.6153782824414047</c:v>
                </c:pt>
                <c:pt idx="241">
                  <c:v>0.7467520282297696</c:v>
                </c:pt>
                <c:pt idx="242">
                  <c:v>-0.30885199352918224</c:v>
                </c:pt>
                <c:pt idx="243">
                  <c:v>-0.38250494490541515</c:v>
                </c:pt>
                <c:pt idx="244">
                  <c:v>-1.6908406768803146</c:v>
                </c:pt>
                <c:pt idx="245">
                  <c:v>-4.8453899193586329E-2</c:v>
                </c:pt>
                <c:pt idx="246">
                  <c:v>1.4630612437355655</c:v>
                </c:pt>
                <c:pt idx="247">
                  <c:v>0.38542917237306318</c:v>
                </c:pt>
                <c:pt idx="248">
                  <c:v>-1.5752852921731371</c:v>
                </c:pt>
                <c:pt idx="249">
                  <c:v>1.9557141681561216</c:v>
                </c:pt>
                <c:pt idx="250">
                  <c:v>-0.1927481873369544</c:v>
                </c:pt>
                <c:pt idx="251">
                  <c:v>-0.35769894819557602</c:v>
                </c:pt>
                <c:pt idx="252">
                  <c:v>-2.3933338243946549</c:v>
                </c:pt>
                <c:pt idx="253">
                  <c:v>0.67302725271295794</c:v>
                </c:pt>
                <c:pt idx="254">
                  <c:v>-0.98187390417244791</c:v>
                </c:pt>
                <c:pt idx="255">
                  <c:v>-5.6250601427825127E-2</c:v>
                </c:pt>
                <c:pt idx="256">
                  <c:v>7.4936053146155646E-2</c:v>
                </c:pt>
                <c:pt idx="257">
                  <c:v>0.6324791908085492</c:v>
                </c:pt>
                <c:pt idx="258">
                  <c:v>4.907236204902664E-3</c:v>
                </c:pt>
                <c:pt idx="259">
                  <c:v>0.39645574885043361</c:v>
                </c:pt>
                <c:pt idx="260">
                  <c:v>0.4892379547786373</c:v>
                </c:pt>
                <c:pt idx="261">
                  <c:v>-8.3882947087079912E-2</c:v>
                </c:pt>
                <c:pt idx="262">
                  <c:v>0.38580758679179833</c:v>
                </c:pt>
                <c:pt idx="263">
                  <c:v>0.69008379016762578</c:v>
                </c:pt>
                <c:pt idx="264">
                  <c:v>-1.0841400465709112</c:v>
                </c:pt>
                <c:pt idx="265">
                  <c:v>0.66668191008291677</c:v>
                </c:pt>
                <c:pt idx="266">
                  <c:v>-0.78532128698803549</c:v>
                </c:pt>
                <c:pt idx="267">
                  <c:v>0.24732063726882977</c:v>
                </c:pt>
                <c:pt idx="268">
                  <c:v>2.3671180839210466</c:v>
                </c:pt>
                <c:pt idx="269">
                  <c:v>1.1121129931749285</c:v>
                </c:pt>
                <c:pt idx="270">
                  <c:v>0.94257561944043888</c:v>
                </c:pt>
                <c:pt idx="271">
                  <c:v>2.0678554145869872</c:v>
                </c:pt>
                <c:pt idx="272">
                  <c:v>0.95194485342589252</c:v>
                </c:pt>
                <c:pt idx="273">
                  <c:v>1.2994760654285236</c:v>
                </c:pt>
                <c:pt idx="274">
                  <c:v>-2.4263499300439844E-2</c:v>
                </c:pt>
                <c:pt idx="275">
                  <c:v>-0.10278118061125027</c:v>
                </c:pt>
                <c:pt idx="276">
                  <c:v>-1.2523461538358172</c:v>
                </c:pt>
                <c:pt idx="277">
                  <c:v>-2.2501171707618557</c:v>
                </c:pt>
                <c:pt idx="278">
                  <c:v>-1.6660124192475794</c:v>
                </c:pt>
                <c:pt idx="279">
                  <c:v>1.6425930701046541</c:v>
                </c:pt>
                <c:pt idx="280">
                  <c:v>0.91808053240032028</c:v>
                </c:pt>
                <c:pt idx="281">
                  <c:v>-7.0910583708933383E-2</c:v>
                </c:pt>
                <c:pt idx="282">
                  <c:v>2.089326760629878</c:v>
                </c:pt>
                <c:pt idx="283">
                  <c:v>-0.13343507908193439</c:v>
                </c:pt>
                <c:pt idx="284">
                  <c:v>0.14622312462523013</c:v>
                </c:pt>
                <c:pt idx="285">
                  <c:v>-0.86214686466441015</c:v>
                </c:pt>
                <c:pt idx="286">
                  <c:v>1.0963431464714073</c:v>
                </c:pt>
                <c:pt idx="287">
                  <c:v>1.7227002816070944</c:v>
                </c:pt>
                <c:pt idx="288">
                  <c:v>-1.017347840335683</c:v>
                </c:pt>
                <c:pt idx="289">
                  <c:v>-0.53240514334025379</c:v>
                </c:pt>
                <c:pt idx="290">
                  <c:v>-2.0944192873220968E-2</c:v>
                </c:pt>
                <c:pt idx="291">
                  <c:v>0.77527349511406862</c:v>
                </c:pt>
                <c:pt idx="292">
                  <c:v>1.5156207941489623</c:v>
                </c:pt>
                <c:pt idx="293">
                  <c:v>1.1784579758646381</c:v>
                </c:pt>
                <c:pt idx="294">
                  <c:v>1.0454174675760184</c:v>
                </c:pt>
                <c:pt idx="295">
                  <c:v>0.83163501008758289</c:v>
                </c:pt>
                <c:pt idx="296">
                  <c:v>0.75697082946359329</c:v>
                </c:pt>
                <c:pt idx="297">
                  <c:v>1.4541545524415505</c:v>
                </c:pt>
                <c:pt idx="298">
                  <c:v>-1.6621652698583869</c:v>
                </c:pt>
                <c:pt idx="299">
                  <c:v>-1.5335338139615275</c:v>
                </c:pt>
                <c:pt idx="300">
                  <c:v>-0.94211408141858699</c:v>
                </c:pt>
                <c:pt idx="301">
                  <c:v>0.97192765483968935</c:v>
                </c:pt>
                <c:pt idx="302">
                  <c:v>-1.0473494246387176</c:v>
                </c:pt>
                <c:pt idx="303">
                  <c:v>0.52699642561185445</c:v>
                </c:pt>
                <c:pt idx="304">
                  <c:v>-1.3333430337403704</c:v>
                </c:pt>
                <c:pt idx="305">
                  <c:v>1.9338007788338016</c:v>
                </c:pt>
                <c:pt idx="306">
                  <c:v>-0.12275165670446342</c:v>
                </c:pt>
                <c:pt idx="307">
                  <c:v>-1.4153918398086538</c:v>
                </c:pt>
                <c:pt idx="308">
                  <c:v>5.861415440728019E-2</c:v>
                </c:pt>
                <c:pt idx="309">
                  <c:v>0.67202880815889876</c:v>
                </c:pt>
                <c:pt idx="310">
                  <c:v>1.1453404477301348</c:v>
                </c:pt>
                <c:pt idx="311">
                  <c:v>0.94467277714386699</c:v>
                </c:pt>
                <c:pt idx="312">
                  <c:v>-0.16703276643605283</c:v>
                </c:pt>
                <c:pt idx="313">
                  <c:v>2.1840350344307953</c:v>
                </c:pt>
                <c:pt idx="314">
                  <c:v>-1.1764395434220041</c:v>
                </c:pt>
                <c:pt idx="315">
                  <c:v>0.30669762270708995</c:v>
                </c:pt>
                <c:pt idx="316">
                  <c:v>-0.75724772207000701</c:v>
                </c:pt>
                <c:pt idx="317">
                  <c:v>-0.78724356639330328</c:v>
                </c:pt>
                <c:pt idx="318">
                  <c:v>0.45373385242483788</c:v>
                </c:pt>
                <c:pt idx="319">
                  <c:v>-0.43407038490618172</c:v>
                </c:pt>
                <c:pt idx="320">
                  <c:v>-1.9015596203801068</c:v>
                </c:pt>
                <c:pt idx="321">
                  <c:v>0.67080136334032769</c:v>
                </c:pt>
                <c:pt idx="322">
                  <c:v>0.54816622990784747</c:v>
                </c:pt>
                <c:pt idx="323">
                  <c:v>-0.25015244074180715</c:v>
                </c:pt>
                <c:pt idx="324">
                  <c:v>0.66708440413347214</c:v>
                </c:pt>
                <c:pt idx="325">
                  <c:v>0.89924522609192281</c:v>
                </c:pt>
                <c:pt idx="326">
                  <c:v>0.43091165740238518</c:v>
                </c:pt>
                <c:pt idx="327">
                  <c:v>-0.7755938383708515</c:v>
                </c:pt>
                <c:pt idx="328">
                  <c:v>0.34193985250678682</c:v>
                </c:pt>
                <c:pt idx="329">
                  <c:v>5.5582312101845659E-2</c:v>
                </c:pt>
                <c:pt idx="330">
                  <c:v>0.3954940523263864</c:v>
                </c:pt>
                <c:pt idx="331">
                  <c:v>-1.8987501070609045</c:v>
                </c:pt>
                <c:pt idx="332">
                  <c:v>0.63830498674743363</c:v>
                </c:pt>
                <c:pt idx="333">
                  <c:v>1.7737228779602523</c:v>
                </c:pt>
                <c:pt idx="334">
                  <c:v>0.44181675652457253</c:v>
                </c:pt>
                <c:pt idx="335">
                  <c:v>-0.815779175290402</c:v>
                </c:pt>
                <c:pt idx="336">
                  <c:v>-0.36888860713267907</c:v>
                </c:pt>
                <c:pt idx="337">
                  <c:v>0.1934231596788514</c:v>
                </c:pt>
                <c:pt idx="338">
                  <c:v>0.94846827413580526</c:v>
                </c:pt>
                <c:pt idx="339">
                  <c:v>-0.44365962326540248</c:v>
                </c:pt>
                <c:pt idx="340">
                  <c:v>-0.12750425559836648</c:v>
                </c:pt>
                <c:pt idx="341">
                  <c:v>1.3482715004155741</c:v>
                </c:pt>
                <c:pt idx="342">
                  <c:v>0.34765144294454392</c:v>
                </c:pt>
                <c:pt idx="343">
                  <c:v>-0.28485012000157939</c:v>
                </c:pt>
                <c:pt idx="344">
                  <c:v>0.6021495092590996</c:v>
                </c:pt>
                <c:pt idx="345">
                  <c:v>1.0971972533169572</c:v>
                </c:pt>
                <c:pt idx="346">
                  <c:v>-0.52695466927303991</c:v>
                </c:pt>
                <c:pt idx="347">
                  <c:v>-0.15711815408431598</c:v>
                </c:pt>
                <c:pt idx="348">
                  <c:v>0.61815721560395875</c:v>
                </c:pt>
                <c:pt idx="349">
                  <c:v>0.35947587466196168</c:v>
                </c:pt>
                <c:pt idx="350">
                  <c:v>0.13982377997526482</c:v>
                </c:pt>
                <c:pt idx="351">
                  <c:v>0.86825833729137647</c:v>
                </c:pt>
                <c:pt idx="352">
                  <c:v>1.3972614000035657</c:v>
                </c:pt>
                <c:pt idx="353">
                  <c:v>2.0034570615733465</c:v>
                </c:pt>
                <c:pt idx="354">
                  <c:v>0.674587707903756</c:v>
                </c:pt>
                <c:pt idx="355">
                  <c:v>5.6607797560299766E-2</c:v>
                </c:pt>
                <c:pt idx="356">
                  <c:v>-0.32331813283505423</c:v>
                </c:pt>
                <c:pt idx="357">
                  <c:v>-1.1251433708460159</c:v>
                </c:pt>
                <c:pt idx="358">
                  <c:v>-1.269815483514726</c:v>
                </c:pt>
                <c:pt idx="359">
                  <c:v>-0.67850180852952047</c:v>
                </c:pt>
                <c:pt idx="360">
                  <c:v>-0.44886053321638136</c:v>
                </c:pt>
                <c:pt idx="361">
                  <c:v>1.6189065206497373</c:v>
                </c:pt>
                <c:pt idx="362">
                  <c:v>-0.17184643376527023</c:v>
                </c:pt>
                <c:pt idx="363">
                  <c:v>0.36752873794131485</c:v>
                </c:pt>
                <c:pt idx="364">
                  <c:v>-0.11397476634383788</c:v>
                </c:pt>
                <c:pt idx="365">
                  <c:v>2.8467565111159692</c:v>
                </c:pt>
                <c:pt idx="366">
                  <c:v>-0.71297471235693877</c:v>
                </c:pt>
                <c:pt idx="367">
                  <c:v>-0.1958634062345484</c:v>
                </c:pt>
                <c:pt idx="368">
                  <c:v>0.62227774125612589</c:v>
                </c:pt>
                <c:pt idx="369">
                  <c:v>0.70979172112211197</c:v>
                </c:pt>
                <c:pt idx="370">
                  <c:v>0.26542644558051609</c:v>
                </c:pt>
                <c:pt idx="371">
                  <c:v>-0.16035297597790008</c:v>
                </c:pt>
                <c:pt idx="372">
                  <c:v>0.55696790368625471</c:v>
                </c:pt>
                <c:pt idx="373">
                  <c:v>1.5859765057906006</c:v>
                </c:pt>
                <c:pt idx="374">
                  <c:v>2.092341761557341</c:v>
                </c:pt>
                <c:pt idx="375">
                  <c:v>-2.2645078298142476</c:v>
                </c:pt>
                <c:pt idx="376">
                  <c:v>-0.6253185266753396</c:v>
                </c:pt>
                <c:pt idx="377">
                  <c:v>1.1988612429808707</c:v>
                </c:pt>
                <c:pt idx="378">
                  <c:v>-0.59655519473540231</c:v>
                </c:pt>
                <c:pt idx="379">
                  <c:v>-0.78230227571846922</c:v>
                </c:pt>
                <c:pt idx="380">
                  <c:v>0.45167489098784336</c:v>
                </c:pt>
                <c:pt idx="381">
                  <c:v>0.43736031882496862</c:v>
                </c:pt>
                <c:pt idx="382">
                  <c:v>0.60993179978552459</c:v>
                </c:pt>
                <c:pt idx="383">
                  <c:v>0.5461970988517012</c:v>
                </c:pt>
                <c:pt idx="384">
                  <c:v>-0.20758971467314929</c:v>
                </c:pt>
                <c:pt idx="385">
                  <c:v>0.62688967866666212</c:v>
                </c:pt>
                <c:pt idx="386">
                  <c:v>0.54096531857216845</c:v>
                </c:pt>
                <c:pt idx="387">
                  <c:v>-1.305038106737735</c:v>
                </c:pt>
                <c:pt idx="388">
                  <c:v>-0.14708697093049949</c:v>
                </c:pt>
                <c:pt idx="389">
                  <c:v>1.6324185235323392</c:v>
                </c:pt>
                <c:pt idx="390">
                  <c:v>1.0921293913156715</c:v>
                </c:pt>
                <c:pt idx="391">
                  <c:v>-0.86519888775993237</c:v>
                </c:pt>
                <c:pt idx="392">
                  <c:v>0.22597730393071871</c:v>
                </c:pt>
                <c:pt idx="393">
                  <c:v>-1.0330838752184366</c:v>
                </c:pt>
                <c:pt idx="394">
                  <c:v>0.54025738945396717</c:v>
                </c:pt>
                <c:pt idx="395">
                  <c:v>-2.002314450568742</c:v>
                </c:pt>
                <c:pt idx="396">
                  <c:v>1.1480961072491311</c:v>
                </c:pt>
                <c:pt idx="397">
                  <c:v>0.82990341437035664</c:v>
                </c:pt>
                <c:pt idx="398">
                  <c:v>-1.3907635044261806</c:v>
                </c:pt>
                <c:pt idx="399">
                  <c:v>0.31210628176945771</c:v>
                </c:pt>
                <c:pt idx="400">
                  <c:v>1.820399915563325</c:v>
                </c:pt>
                <c:pt idx="401">
                  <c:v>1.2541808673007269</c:v>
                </c:pt>
                <c:pt idx="402">
                  <c:v>-6.215724871741634E-2</c:v>
                </c:pt>
                <c:pt idx="403">
                  <c:v>-0.83841968126160893</c:v>
                </c:pt>
                <c:pt idx="404">
                  <c:v>-9.5429710051871217E-2</c:v>
                </c:pt>
                <c:pt idx="405">
                  <c:v>1.5308797831683116</c:v>
                </c:pt>
                <c:pt idx="406">
                  <c:v>1.0640114062938069E-2</c:v>
                </c:pt>
                <c:pt idx="407">
                  <c:v>1.6628827148248078</c:v>
                </c:pt>
                <c:pt idx="408">
                  <c:v>1.2475533355635655</c:v>
                </c:pt>
                <c:pt idx="409">
                  <c:v>9.0974828365530586E-2</c:v>
                </c:pt>
                <c:pt idx="410">
                  <c:v>2.7227120188058938</c:v>
                </c:pt>
                <c:pt idx="411">
                  <c:v>4.458571663924029E-2</c:v>
                </c:pt>
                <c:pt idx="412">
                  <c:v>-0.90507472836243885</c:v>
                </c:pt>
                <c:pt idx="413">
                  <c:v>0.26210165784822859</c:v>
                </c:pt>
                <c:pt idx="414">
                  <c:v>-0.23930626386429849</c:v>
                </c:pt>
                <c:pt idx="415">
                  <c:v>0.63645087514104881</c:v>
                </c:pt>
                <c:pt idx="416">
                  <c:v>-2.1538759910084559</c:v>
                </c:pt>
                <c:pt idx="417">
                  <c:v>-0.23727471204855402</c:v>
                </c:pt>
                <c:pt idx="418">
                  <c:v>0.61137508953130093</c:v>
                </c:pt>
                <c:pt idx="419">
                  <c:v>-0.81549087311195878</c:v>
                </c:pt>
                <c:pt idx="420">
                  <c:v>0.70209692634223686</c:v>
                </c:pt>
                <c:pt idx="421">
                  <c:v>-1.0182484278316228</c:v>
                </c:pt>
                <c:pt idx="422">
                  <c:v>0.61472715001023426</c:v>
                </c:pt>
                <c:pt idx="423">
                  <c:v>0.48249929133199304</c:v>
                </c:pt>
                <c:pt idx="424">
                  <c:v>0.10590623524442092</c:v>
                </c:pt>
                <c:pt idx="425">
                  <c:v>1.9278042517963163</c:v>
                </c:pt>
                <c:pt idx="426">
                  <c:v>1.5443051489202242</c:v>
                </c:pt>
                <c:pt idx="427">
                  <c:v>0.54190709542335902</c:v>
                </c:pt>
                <c:pt idx="428">
                  <c:v>-9.8518371146845529E-2</c:v>
                </c:pt>
                <c:pt idx="429">
                  <c:v>-0.53391684334388412</c:v>
                </c:pt>
                <c:pt idx="430">
                  <c:v>-0.33671653570203569</c:v>
                </c:pt>
                <c:pt idx="431">
                  <c:v>2.4859976808022596E-2</c:v>
                </c:pt>
                <c:pt idx="432">
                  <c:v>1.5895130532783988</c:v>
                </c:pt>
                <c:pt idx="433">
                  <c:v>1.4575188787750797</c:v>
                </c:pt>
                <c:pt idx="434">
                  <c:v>-0.54148799394926395</c:v>
                </c:pt>
                <c:pt idx="435">
                  <c:v>0.63325552022002951</c:v>
                </c:pt>
                <c:pt idx="436">
                  <c:v>0.98152200859832717</c:v>
                </c:pt>
                <c:pt idx="437">
                  <c:v>-1.1014183176537382</c:v>
                </c:pt>
                <c:pt idx="438">
                  <c:v>2.3902162164135174</c:v>
                </c:pt>
                <c:pt idx="439">
                  <c:v>0.21059956753335857</c:v>
                </c:pt>
                <c:pt idx="440">
                  <c:v>0.64686639178575744</c:v>
                </c:pt>
                <c:pt idx="441">
                  <c:v>-2.8877544310707239E-2</c:v>
                </c:pt>
                <c:pt idx="442">
                  <c:v>-1.9136400843228412</c:v>
                </c:pt>
                <c:pt idx="443">
                  <c:v>2.0112093525171062</c:v>
                </c:pt>
                <c:pt idx="444">
                  <c:v>-0.26622428365652795</c:v>
                </c:pt>
                <c:pt idx="445">
                  <c:v>-0.81215646521077001</c:v>
                </c:pt>
                <c:pt idx="446">
                  <c:v>1.4325889060043421E-2</c:v>
                </c:pt>
                <c:pt idx="447">
                  <c:v>1.1542629926375474</c:v>
                </c:pt>
                <c:pt idx="448">
                  <c:v>-0.15605466657551795</c:v>
                </c:pt>
                <c:pt idx="449">
                  <c:v>0.42730175837643597</c:v>
                </c:pt>
                <c:pt idx="450">
                  <c:v>-0.90616023515224375</c:v>
                </c:pt>
                <c:pt idx="451">
                  <c:v>-1.8628604522350856</c:v>
                </c:pt>
                <c:pt idx="452">
                  <c:v>-0.60921295239399265</c:v>
                </c:pt>
                <c:pt idx="453">
                  <c:v>0.37835075926711309</c:v>
                </c:pt>
                <c:pt idx="454">
                  <c:v>1.0357886127096503</c:v>
                </c:pt>
                <c:pt idx="455">
                  <c:v>-0.20889491489824588</c:v>
                </c:pt>
                <c:pt idx="456">
                  <c:v>-2.645948994378252E-2</c:v>
                </c:pt>
                <c:pt idx="457">
                  <c:v>-0.4615742328228456</c:v>
                </c:pt>
                <c:pt idx="458">
                  <c:v>0.59940329730781106</c:v>
                </c:pt>
                <c:pt idx="459">
                  <c:v>0.90001725153434931</c:v>
                </c:pt>
                <c:pt idx="460">
                  <c:v>-0.78808165007132391</c:v>
                </c:pt>
                <c:pt idx="461">
                  <c:v>-0.76528924450681834</c:v>
                </c:pt>
                <c:pt idx="462">
                  <c:v>0.90490739313127599</c:v>
                </c:pt>
                <c:pt idx="463">
                  <c:v>0.12922999601776911</c:v>
                </c:pt>
                <c:pt idx="464">
                  <c:v>-1.6290605746174227</c:v>
                </c:pt>
                <c:pt idx="465">
                  <c:v>-2.0375394223166867</c:v>
                </c:pt>
                <c:pt idx="466">
                  <c:v>0.24161891508523517</c:v>
                </c:pt>
                <c:pt idx="467">
                  <c:v>1.0469190174769079</c:v>
                </c:pt>
                <c:pt idx="468">
                  <c:v>-0.65841958546902379</c:v>
                </c:pt>
                <c:pt idx="469">
                  <c:v>0.44868642376010398</c:v>
                </c:pt>
                <c:pt idx="470">
                  <c:v>-5.3819347932253903E-2</c:v>
                </c:pt>
                <c:pt idx="471">
                  <c:v>-0.62475287239091448</c:v>
                </c:pt>
                <c:pt idx="472">
                  <c:v>-0.56421577457601668</c:v>
                </c:pt>
                <c:pt idx="473">
                  <c:v>1.4412965357087526</c:v>
                </c:pt>
                <c:pt idx="474">
                  <c:v>-1.1651661446285937</c:v>
                </c:pt>
                <c:pt idx="475">
                  <c:v>1.0534528137370502</c:v>
                </c:pt>
                <c:pt idx="476">
                  <c:v>-0.79317389883949652</c:v>
                </c:pt>
                <c:pt idx="477">
                  <c:v>-0.73687397950305578</c:v>
                </c:pt>
                <c:pt idx="478">
                  <c:v>0.52423625021803955</c:v>
                </c:pt>
                <c:pt idx="479">
                  <c:v>-1.0891467904723051</c:v>
                </c:pt>
                <c:pt idx="480">
                  <c:v>-0.94160690482202314</c:v>
                </c:pt>
                <c:pt idx="481">
                  <c:v>1.3936095207357204</c:v>
                </c:pt>
                <c:pt idx="482">
                  <c:v>0.21778842381742297</c:v>
                </c:pt>
                <c:pt idx="483">
                  <c:v>-1.0908913635753348</c:v>
                </c:pt>
                <c:pt idx="484">
                  <c:v>-1.1651409991075796</c:v>
                </c:pt>
                <c:pt idx="485">
                  <c:v>1.4637872632446769</c:v>
                </c:pt>
                <c:pt idx="486">
                  <c:v>-1.087709191147785</c:v>
                </c:pt>
                <c:pt idx="487">
                  <c:v>0.21465234618983658</c:v>
                </c:pt>
                <c:pt idx="488">
                  <c:v>-0.75874016645787157</c:v>
                </c:pt>
                <c:pt idx="489">
                  <c:v>-2.1146831663042573</c:v>
                </c:pt>
                <c:pt idx="490">
                  <c:v>-0.53915990554379734</c:v>
                </c:pt>
                <c:pt idx="491">
                  <c:v>-1.3445662195944419</c:v>
                </c:pt>
                <c:pt idx="492">
                  <c:v>0.94826226907206523</c:v>
                </c:pt>
                <c:pt idx="493">
                  <c:v>2.1631422769683144E-2</c:v>
                </c:pt>
                <c:pt idx="494">
                  <c:v>8.3255371403332112E-3</c:v>
                </c:pt>
                <c:pt idx="495">
                  <c:v>-0.82541737429052597</c:v>
                </c:pt>
                <c:pt idx="496">
                  <c:v>-0.85233934652168053</c:v>
                </c:pt>
                <c:pt idx="497">
                  <c:v>-0.81663612499820204</c:v>
                </c:pt>
                <c:pt idx="498">
                  <c:v>-1.7575336999162354</c:v>
                </c:pt>
                <c:pt idx="499">
                  <c:v>0.18915932443814276</c:v>
                </c:pt>
                <c:pt idx="500">
                  <c:v>-0.92517210883596901</c:v>
                </c:pt>
                <c:pt idx="501">
                  <c:v>1.6200479299424777</c:v>
                </c:pt>
                <c:pt idx="502">
                  <c:v>-0.90415697500195358</c:v>
                </c:pt>
                <c:pt idx="503">
                  <c:v>0.15633911368245651</c:v>
                </c:pt>
                <c:pt idx="504">
                  <c:v>2.0316290400075546E-2</c:v>
                </c:pt>
                <c:pt idx="505">
                  <c:v>2.2295899149480647</c:v>
                </c:pt>
                <c:pt idx="506">
                  <c:v>-0.69210221813642181</c:v>
                </c:pt>
                <c:pt idx="507">
                  <c:v>0.79657927522294181</c:v>
                </c:pt>
                <c:pt idx="508">
                  <c:v>-0.3783697683055996</c:v>
                </c:pt>
                <c:pt idx="509">
                  <c:v>0.69077272134976098</c:v>
                </c:pt>
                <c:pt idx="510">
                  <c:v>-0.23560864202959014</c:v>
                </c:pt>
                <c:pt idx="511">
                  <c:v>-0.92727484298376994</c:v>
                </c:pt>
                <c:pt idx="512">
                  <c:v>-0.95823432793081131</c:v>
                </c:pt>
                <c:pt idx="513">
                  <c:v>9.1763769813252849E-2</c:v>
                </c:pt>
                <c:pt idx="514">
                  <c:v>-0.4840654029187777</c:v>
                </c:pt>
                <c:pt idx="515">
                  <c:v>0.74773224431102048</c:v>
                </c:pt>
                <c:pt idx="516">
                  <c:v>0.20884514148711228</c:v>
                </c:pt>
                <c:pt idx="517">
                  <c:v>0.3353451046037923</c:v>
                </c:pt>
                <c:pt idx="518">
                  <c:v>-0.81593154508805654</c:v>
                </c:pt>
                <c:pt idx="519">
                  <c:v>0.17020641961735639</c:v>
                </c:pt>
                <c:pt idx="520">
                  <c:v>1.3693661789091138</c:v>
                </c:pt>
                <c:pt idx="521">
                  <c:v>0.16564954391531331</c:v>
                </c:pt>
                <c:pt idx="522">
                  <c:v>-1.2926586795482713</c:v>
                </c:pt>
                <c:pt idx="523">
                  <c:v>-0.48982465895379501</c:v>
                </c:pt>
                <c:pt idx="524">
                  <c:v>-1.307213484766875</c:v>
                </c:pt>
                <c:pt idx="525">
                  <c:v>-0.21114459029516461</c:v>
                </c:pt>
                <c:pt idx="526">
                  <c:v>0.83377868377849762</c:v>
                </c:pt>
                <c:pt idx="527">
                  <c:v>-0.54057296668924526</c:v>
                </c:pt>
                <c:pt idx="528">
                  <c:v>2.341053587382361</c:v>
                </c:pt>
                <c:pt idx="529">
                  <c:v>-1.8198339016236842</c:v>
                </c:pt>
                <c:pt idx="530">
                  <c:v>0.95322491941030396</c:v>
                </c:pt>
                <c:pt idx="531">
                  <c:v>-0.26851775101564768</c:v>
                </c:pt>
                <c:pt idx="532">
                  <c:v>-0.69148834555872907</c:v>
                </c:pt>
                <c:pt idx="533">
                  <c:v>-0.34937985938819616</c:v>
                </c:pt>
                <c:pt idx="534">
                  <c:v>0.80751725031687827</c:v>
                </c:pt>
                <c:pt idx="535">
                  <c:v>1.5000917931446385</c:v>
                </c:pt>
                <c:pt idx="536">
                  <c:v>-0.87191718003009744</c:v>
                </c:pt>
                <c:pt idx="537">
                  <c:v>-0.85589303346942924</c:v>
                </c:pt>
                <c:pt idx="538">
                  <c:v>-0.94828885782266692</c:v>
                </c:pt>
                <c:pt idx="539">
                  <c:v>-1.9942139812486701</c:v>
                </c:pt>
                <c:pt idx="540">
                  <c:v>5.3827258276320337E-2</c:v>
                </c:pt>
                <c:pt idx="541">
                  <c:v>-1.4378181320528958</c:v>
                </c:pt>
                <c:pt idx="542">
                  <c:v>-1.3956478318018788</c:v>
                </c:pt>
                <c:pt idx="543">
                  <c:v>0.14636638333246885</c:v>
                </c:pt>
                <c:pt idx="544">
                  <c:v>-0.32197556933980853</c:v>
                </c:pt>
                <c:pt idx="545">
                  <c:v>1.6639150877994677</c:v>
                </c:pt>
                <c:pt idx="546">
                  <c:v>1.7071230173232144</c:v>
                </c:pt>
                <c:pt idx="547">
                  <c:v>-0.17290704105578986</c:v>
                </c:pt>
                <c:pt idx="548">
                  <c:v>0.53065619864029201</c:v>
                </c:pt>
                <c:pt idx="549">
                  <c:v>0.72384151956075515</c:v>
                </c:pt>
                <c:pt idx="550">
                  <c:v>-0.17505097832915384</c:v>
                </c:pt>
                <c:pt idx="551">
                  <c:v>1.3077825518022885</c:v>
                </c:pt>
                <c:pt idx="552">
                  <c:v>-0.32609019133165063</c:v>
                </c:pt>
                <c:pt idx="553">
                  <c:v>0.60552166925782158</c:v>
                </c:pt>
                <c:pt idx="554">
                  <c:v>0.17993572812839809</c:v>
                </c:pt>
                <c:pt idx="555">
                  <c:v>0.51275170787074997</c:v>
                </c:pt>
                <c:pt idx="556">
                  <c:v>0.64731284454926752</c:v>
                </c:pt>
                <c:pt idx="557">
                  <c:v>0.45735107118006674</c:v>
                </c:pt>
                <c:pt idx="558">
                  <c:v>9.5489009548865397E-2</c:v>
                </c:pt>
                <c:pt idx="559">
                  <c:v>-1.1328154594480124</c:v>
                </c:pt>
                <c:pt idx="560">
                  <c:v>1.0244383134594943</c:v>
                </c:pt>
                <c:pt idx="561">
                  <c:v>0.75067554582979201</c:v>
                </c:pt>
                <c:pt idx="562">
                  <c:v>1.5892975519255256E-3</c:v>
                </c:pt>
                <c:pt idx="563">
                  <c:v>1.5590436054241856</c:v>
                </c:pt>
                <c:pt idx="564">
                  <c:v>-0.3932448567874488</c:v>
                </c:pt>
                <c:pt idx="565">
                  <c:v>-7.6576840947397612E-2</c:v>
                </c:pt>
                <c:pt idx="566">
                  <c:v>1.0032387187789646</c:v>
                </c:pt>
                <c:pt idx="567">
                  <c:v>-0.98961642475150913</c:v>
                </c:pt>
                <c:pt idx="568">
                  <c:v>-0.37414510396292133</c:v>
                </c:pt>
                <c:pt idx="569">
                  <c:v>2.1562229046388564</c:v>
                </c:pt>
                <c:pt idx="570">
                  <c:v>0.60585839833969746</c:v>
                </c:pt>
                <c:pt idx="571">
                  <c:v>0.57371647642734236</c:v>
                </c:pt>
                <c:pt idx="572">
                  <c:v>-0.43847349073186093</c:v>
                </c:pt>
                <c:pt idx="573">
                  <c:v>0.62110000376186791</c:v>
                </c:pt>
                <c:pt idx="574">
                  <c:v>-0.79672518426487016</c:v>
                </c:pt>
                <c:pt idx="575">
                  <c:v>2.7979149659926165E-3</c:v>
                </c:pt>
                <c:pt idx="576">
                  <c:v>0.18169733930111689</c:v>
                </c:pt>
                <c:pt idx="577">
                  <c:v>2.9489777551420104</c:v>
                </c:pt>
                <c:pt idx="578">
                  <c:v>-1.1965662743260779</c:v>
                </c:pt>
                <c:pt idx="579">
                  <c:v>-2.1732527426966071</c:v>
                </c:pt>
                <c:pt idx="580">
                  <c:v>-2.5908434200245991</c:v>
                </c:pt>
                <c:pt idx="581">
                  <c:v>-1.7924031530726889</c:v>
                </c:pt>
                <c:pt idx="582">
                  <c:v>-0.20473587510926064</c:v>
                </c:pt>
                <c:pt idx="583">
                  <c:v>0.29252892573019956</c:v>
                </c:pt>
                <c:pt idx="584">
                  <c:v>0.53208711893712191</c:v>
                </c:pt>
                <c:pt idx="585">
                  <c:v>-0.61068716426506686</c:v>
                </c:pt>
                <c:pt idx="586">
                  <c:v>-0.18269755532993565</c:v>
                </c:pt>
                <c:pt idx="587">
                  <c:v>0.56830801226201977</c:v>
                </c:pt>
                <c:pt idx="588">
                  <c:v>1.0141320428635043</c:v>
                </c:pt>
                <c:pt idx="589">
                  <c:v>1.0876814782625348</c:v>
                </c:pt>
                <c:pt idx="590">
                  <c:v>-1.0973619117473736</c:v>
                </c:pt>
                <c:pt idx="591">
                  <c:v>0.65369626741015852</c:v>
                </c:pt>
                <c:pt idx="592">
                  <c:v>1.1529127604492944</c:v>
                </c:pt>
                <c:pt idx="593">
                  <c:v>0.64385369463425701</c:v>
                </c:pt>
                <c:pt idx="594">
                  <c:v>-0.48231312468459364</c:v>
                </c:pt>
                <c:pt idx="595">
                  <c:v>-1.1656003931220125</c:v>
                </c:pt>
                <c:pt idx="596">
                  <c:v>-1.3161028930828813</c:v>
                </c:pt>
                <c:pt idx="597">
                  <c:v>-1.2197433396086439</c:v>
                </c:pt>
                <c:pt idx="598">
                  <c:v>0.6362251024044977</c:v>
                </c:pt>
                <c:pt idx="599">
                  <c:v>-0.43420924429407642</c:v>
                </c:pt>
                <c:pt idx="600">
                  <c:v>-1.5204441385343206</c:v>
                </c:pt>
                <c:pt idx="601">
                  <c:v>-0.60332676454068801</c:v>
                </c:pt>
                <c:pt idx="602">
                  <c:v>-1.1834127156001562</c:v>
                </c:pt>
                <c:pt idx="603">
                  <c:v>-0.99918774179265657</c:v>
                </c:pt>
                <c:pt idx="604">
                  <c:v>-0.7423098318309117</c:v>
                </c:pt>
                <c:pt idx="605">
                  <c:v>0.80915996431113324</c:v>
                </c:pt>
                <c:pt idx="606">
                  <c:v>0.67378305223647428</c:v>
                </c:pt>
                <c:pt idx="607">
                  <c:v>0.41051956271030066</c:v>
                </c:pt>
                <c:pt idx="608">
                  <c:v>-0.67477164927479993</c:v>
                </c:pt>
                <c:pt idx="609">
                  <c:v>0.31660740511030838</c:v>
                </c:pt>
                <c:pt idx="610">
                  <c:v>-0.48550730107477486</c:v>
                </c:pt>
                <c:pt idx="611">
                  <c:v>1.108228861616559</c:v>
                </c:pt>
                <c:pt idx="612">
                  <c:v>-0.21780927083043455</c:v>
                </c:pt>
                <c:pt idx="613">
                  <c:v>4.6291869043214341E-2</c:v>
                </c:pt>
                <c:pt idx="614">
                  <c:v>-0.60228392413648957</c:v>
                </c:pt>
                <c:pt idx="615">
                  <c:v>0.2987095033754712</c:v>
                </c:pt>
                <c:pt idx="616">
                  <c:v>-0.15543044748913362</c:v>
                </c:pt>
                <c:pt idx="617">
                  <c:v>1.4641212754565505E-3</c:v>
                </c:pt>
                <c:pt idx="618">
                  <c:v>-1.8115500343190871E-2</c:v>
                </c:pt>
                <c:pt idx="619">
                  <c:v>-1.2926823966213965</c:v>
                </c:pt>
                <c:pt idx="620">
                  <c:v>-1.7653982726031168</c:v>
                </c:pt>
                <c:pt idx="621">
                  <c:v>1.6414994442194635</c:v>
                </c:pt>
                <c:pt idx="622">
                  <c:v>-0.83434679975737835</c:v>
                </c:pt>
                <c:pt idx="623">
                  <c:v>-1.7376502320002736</c:v>
                </c:pt>
                <c:pt idx="624">
                  <c:v>-0.57437794516859908</c:v>
                </c:pt>
                <c:pt idx="625">
                  <c:v>1.4711880181736889</c:v>
                </c:pt>
                <c:pt idx="626">
                  <c:v>0.34080012384939751</c:v>
                </c:pt>
                <c:pt idx="627">
                  <c:v>0.59539625263309481</c:v>
                </c:pt>
                <c:pt idx="628">
                  <c:v>-0.54517921244594048</c:v>
                </c:pt>
                <c:pt idx="629">
                  <c:v>-0.45036992797856346</c:v>
                </c:pt>
                <c:pt idx="630">
                  <c:v>-0.88307279029252161</c:v>
                </c:pt>
                <c:pt idx="631">
                  <c:v>-1.9662555908932811</c:v>
                </c:pt>
                <c:pt idx="632">
                  <c:v>0.88542635519571389</c:v>
                </c:pt>
                <c:pt idx="633">
                  <c:v>-0.97089803908707339</c:v>
                </c:pt>
                <c:pt idx="634">
                  <c:v>0.30021166543700267</c:v>
                </c:pt>
                <c:pt idx="635">
                  <c:v>-1.3377796777007116</c:v>
                </c:pt>
                <c:pt idx="636">
                  <c:v>0.48904950412936404</c:v>
                </c:pt>
                <c:pt idx="637">
                  <c:v>1.0466471968969431</c:v>
                </c:pt>
                <c:pt idx="638">
                  <c:v>0.65222217950968919</c:v>
                </c:pt>
                <c:pt idx="639">
                  <c:v>-0.49294664416668504</c:v>
                </c:pt>
                <c:pt idx="640">
                  <c:v>1.1566045444356441</c:v>
                </c:pt>
                <c:pt idx="641">
                  <c:v>0.55985360956683083</c:v>
                </c:pt>
                <c:pt idx="642">
                  <c:v>-5.5536077582843117E-2</c:v>
                </c:pt>
                <c:pt idx="643">
                  <c:v>0.83914050786459171</c:v>
                </c:pt>
                <c:pt idx="644">
                  <c:v>0.25468565728787107</c:v>
                </c:pt>
                <c:pt idx="645">
                  <c:v>-2.6571809488133553</c:v>
                </c:pt>
                <c:pt idx="646">
                  <c:v>0.50105209097973369</c:v>
                </c:pt>
                <c:pt idx="647">
                  <c:v>-1.5189843148041147</c:v>
                </c:pt>
                <c:pt idx="648">
                  <c:v>0.7001424950895111</c:v>
                </c:pt>
                <c:pt idx="649">
                  <c:v>-0.77792841034260929</c:v>
                </c:pt>
                <c:pt idx="650">
                  <c:v>0.22376559708017188</c:v>
                </c:pt>
                <c:pt idx="651">
                  <c:v>-0.27931734672454073</c:v>
                </c:pt>
                <c:pt idx="652">
                  <c:v>-0.56477125179189269</c:v>
                </c:pt>
                <c:pt idx="653">
                  <c:v>-0.75942384737182855</c:v>
                </c:pt>
                <c:pt idx="654">
                  <c:v>0.5307296461728277</c:v>
                </c:pt>
                <c:pt idx="655">
                  <c:v>-0.80949492959515845</c:v>
                </c:pt>
                <c:pt idx="656">
                  <c:v>0.40825611720022764</c:v>
                </c:pt>
                <c:pt idx="657">
                  <c:v>0.17246645612459247</c:v>
                </c:pt>
                <c:pt idx="658">
                  <c:v>-2.0983834673034005</c:v>
                </c:pt>
                <c:pt idx="659">
                  <c:v>-0.48578886871388405</c:v>
                </c:pt>
                <c:pt idx="660">
                  <c:v>1.1718225717807282</c:v>
                </c:pt>
                <c:pt idx="661">
                  <c:v>1.0880595088360601</c:v>
                </c:pt>
                <c:pt idx="662">
                  <c:v>-0.33276555357396542</c:v>
                </c:pt>
                <c:pt idx="663">
                  <c:v>-0.2578255325882074</c:v>
                </c:pt>
                <c:pt idx="664">
                  <c:v>-0.78113931039097007</c:v>
                </c:pt>
                <c:pt idx="665">
                  <c:v>-0.28168937883633416</c:v>
                </c:pt>
                <c:pt idx="666">
                  <c:v>1.3936777200179611</c:v>
                </c:pt>
                <c:pt idx="667">
                  <c:v>0.95256655633889931</c:v>
                </c:pt>
                <c:pt idx="668">
                  <c:v>-0.41109428751586657</c:v>
                </c:pt>
                <c:pt idx="669">
                  <c:v>-1.1065257971647426</c:v>
                </c:pt>
                <c:pt idx="670">
                  <c:v>-0.56479201159868719</c:v>
                </c:pt>
                <c:pt idx="671">
                  <c:v>2.1749208666526698</c:v>
                </c:pt>
                <c:pt idx="672">
                  <c:v>-0.56468841465939534</c:v>
                </c:pt>
                <c:pt idx="673">
                  <c:v>1.9670208476162108</c:v>
                </c:pt>
                <c:pt idx="674">
                  <c:v>-0.36891506156691223</c:v>
                </c:pt>
                <c:pt idx="675">
                  <c:v>-0.5514009920282027</c:v>
                </c:pt>
                <c:pt idx="676">
                  <c:v>0.52689187729593678</c:v>
                </c:pt>
                <c:pt idx="677">
                  <c:v>-8.1666385020725485E-2</c:v>
                </c:pt>
                <c:pt idx="678">
                  <c:v>0.67598643330735164</c:v>
                </c:pt>
                <c:pt idx="679">
                  <c:v>-0.87244527282410289</c:v>
                </c:pt>
                <c:pt idx="680">
                  <c:v>-0.56975777993764698</c:v>
                </c:pt>
                <c:pt idx="681">
                  <c:v>0.23998568322694105</c:v>
                </c:pt>
                <c:pt idx="682">
                  <c:v>-1.9579673028277951</c:v>
                </c:pt>
                <c:pt idx="683">
                  <c:v>0.27849590155514536</c:v>
                </c:pt>
                <c:pt idx="684">
                  <c:v>-0.3709917895053878</c:v>
                </c:pt>
                <c:pt idx="685">
                  <c:v>-1.6409318980247294</c:v>
                </c:pt>
                <c:pt idx="686">
                  <c:v>0.85144172800412044</c:v>
                </c:pt>
                <c:pt idx="687">
                  <c:v>-0.95928671431750456</c:v>
                </c:pt>
                <c:pt idx="688">
                  <c:v>-6.4219715209368353E-2</c:v>
                </c:pt>
                <c:pt idx="689">
                  <c:v>-0.41743661732968368</c:v>
                </c:pt>
                <c:pt idx="690">
                  <c:v>3.863982070313246E-2</c:v>
                </c:pt>
                <c:pt idx="691">
                  <c:v>0.12487192811401991</c:v>
                </c:pt>
                <c:pt idx="692">
                  <c:v>-1.9321930105753875E-2</c:v>
                </c:pt>
                <c:pt idx="693">
                  <c:v>-1.263091550976625</c:v>
                </c:pt>
                <c:pt idx="694">
                  <c:v>-0.12551819307518755</c:v>
                </c:pt>
                <c:pt idx="695">
                  <c:v>-0.84384738528282199</c:v>
                </c:pt>
                <c:pt idx="696">
                  <c:v>0.56764717196456183</c:v>
                </c:pt>
                <c:pt idx="697">
                  <c:v>-1.319442624261856</c:v>
                </c:pt>
                <c:pt idx="698">
                  <c:v>0.18024344957154811</c:v>
                </c:pt>
                <c:pt idx="699">
                  <c:v>-0.26284359507526012</c:v>
                </c:pt>
                <c:pt idx="700">
                  <c:v>-0.13883463068717547</c:v>
                </c:pt>
                <c:pt idx="701">
                  <c:v>-0.12375498740192348</c:v>
                </c:pt>
                <c:pt idx="702">
                  <c:v>0.89983022687858727</c:v>
                </c:pt>
                <c:pt idx="703">
                  <c:v>0.90569494901788239</c:v>
                </c:pt>
                <c:pt idx="704">
                  <c:v>-0.59742035474668254</c:v>
                </c:pt>
                <c:pt idx="705">
                  <c:v>1.6129100611255853</c:v>
                </c:pt>
                <c:pt idx="706">
                  <c:v>0.77010087158432361</c:v>
                </c:pt>
                <c:pt idx="707">
                  <c:v>-0.2624471262856643</c:v>
                </c:pt>
                <c:pt idx="708">
                  <c:v>1.3669980522245386</c:v>
                </c:pt>
                <c:pt idx="709">
                  <c:v>-2.5215434651996467</c:v>
                </c:pt>
                <c:pt idx="710">
                  <c:v>-1.0198020286699789</c:v>
                </c:pt>
                <c:pt idx="711">
                  <c:v>2.1242983822540595</c:v>
                </c:pt>
                <c:pt idx="712">
                  <c:v>0.60109635807847595</c:v>
                </c:pt>
                <c:pt idx="713">
                  <c:v>-1.0062594243181524</c:v>
                </c:pt>
                <c:pt idx="714">
                  <c:v>-0.55313594457531512</c:v>
                </c:pt>
                <c:pt idx="715">
                  <c:v>1.4213198621444789</c:v>
                </c:pt>
                <c:pt idx="716">
                  <c:v>0.72513130606775678</c:v>
                </c:pt>
                <c:pt idx="717">
                  <c:v>0.95149545444655925</c:v>
                </c:pt>
                <c:pt idx="718">
                  <c:v>-1.4794749182658187</c:v>
                </c:pt>
                <c:pt idx="719">
                  <c:v>5.9844225214524035E-3</c:v>
                </c:pt>
                <c:pt idx="720">
                  <c:v>0.48446392427277829</c:v>
                </c:pt>
                <c:pt idx="721">
                  <c:v>-0.47342010425108111</c:v>
                </c:pt>
                <c:pt idx="722">
                  <c:v>1.1466467667364171</c:v>
                </c:pt>
                <c:pt idx="723">
                  <c:v>-0.29776730754041719</c:v>
                </c:pt>
                <c:pt idx="724">
                  <c:v>4.7459441658182236E-2</c:v>
                </c:pt>
                <c:pt idx="725">
                  <c:v>-0.38005483925957373</c:v>
                </c:pt>
                <c:pt idx="726">
                  <c:v>1.30362990205278</c:v>
                </c:pt>
                <c:pt idx="727">
                  <c:v>-0.12529640373721579</c:v>
                </c:pt>
                <c:pt idx="728">
                  <c:v>0.88660328931233068</c:v>
                </c:pt>
                <c:pt idx="729">
                  <c:v>-1.564658979514858</c:v>
                </c:pt>
                <c:pt idx="730">
                  <c:v>-0.41595351753021587</c:v>
                </c:pt>
                <c:pt idx="731">
                  <c:v>-0.53353640767819854</c:v>
                </c:pt>
                <c:pt idx="732">
                  <c:v>0.52808247942410236</c:v>
                </c:pt>
                <c:pt idx="733">
                  <c:v>-0.49445102785397116</c:v>
                </c:pt>
                <c:pt idx="734">
                  <c:v>2.0914659533175115</c:v>
                </c:pt>
                <c:pt idx="735">
                  <c:v>-9.2549658801421686E-2</c:v>
                </c:pt>
                <c:pt idx="736">
                  <c:v>2.2848392631385646</c:v>
                </c:pt>
                <c:pt idx="737">
                  <c:v>-5.1441697494998245E-2</c:v>
                </c:pt>
                <c:pt idx="738">
                  <c:v>0.62675044301669358</c:v>
                </c:pt>
                <c:pt idx="739">
                  <c:v>1.2683661548291549</c:v>
                </c:pt>
                <c:pt idx="740">
                  <c:v>-0.45193475687289042</c:v>
                </c:pt>
                <c:pt idx="741">
                  <c:v>0.36637807823631263</c:v>
                </c:pt>
                <c:pt idx="742">
                  <c:v>-1.2658491240375909</c:v>
                </c:pt>
                <c:pt idx="743">
                  <c:v>0.87873592975158155</c:v>
                </c:pt>
                <c:pt idx="744">
                  <c:v>-1.1644798596947792</c:v>
                </c:pt>
                <c:pt idx="745">
                  <c:v>0.59868634839519363</c:v>
                </c:pt>
                <c:pt idx="746">
                  <c:v>-1.1147549266765717</c:v>
                </c:pt>
                <c:pt idx="747">
                  <c:v>1.9052842772810903</c:v>
                </c:pt>
                <c:pt idx="748">
                  <c:v>-0.40038028405025244</c:v>
                </c:pt>
                <c:pt idx="749">
                  <c:v>-7.7122792197081375E-2</c:v>
                </c:pt>
                <c:pt idx="750">
                  <c:v>-1.0654310254013528</c:v>
                </c:pt>
                <c:pt idx="751">
                  <c:v>-2.9594128691829598E-2</c:v>
                </c:pt>
                <c:pt idx="752">
                  <c:v>0.11925065476545453</c:v>
                </c:pt>
                <c:pt idx="753">
                  <c:v>1.0605553468165232</c:v>
                </c:pt>
                <c:pt idx="754">
                  <c:v>-1.6455952209045948</c:v>
                </c:pt>
                <c:pt idx="755">
                  <c:v>-0.57354885657676835</c:v>
                </c:pt>
                <c:pt idx="756">
                  <c:v>-0.19408696618523932</c:v>
                </c:pt>
                <c:pt idx="757">
                  <c:v>1.348326282603318</c:v>
                </c:pt>
                <c:pt idx="758">
                  <c:v>1.2898698165404909</c:v>
                </c:pt>
                <c:pt idx="759">
                  <c:v>1.087985574350903</c:v>
                </c:pt>
                <c:pt idx="760">
                  <c:v>3.0205791191323744E-2</c:v>
                </c:pt>
                <c:pt idx="761">
                  <c:v>-1.0226800449803697</c:v>
                </c:pt>
                <c:pt idx="762">
                  <c:v>0.66950566705927206</c:v>
                </c:pt>
                <c:pt idx="763">
                  <c:v>1.746638721660001</c:v>
                </c:pt>
                <c:pt idx="764">
                  <c:v>-0.54632430491422557</c:v>
                </c:pt>
                <c:pt idx="765">
                  <c:v>-0.5022950379968153</c:v>
                </c:pt>
                <c:pt idx="766">
                  <c:v>-0.76001582932324319</c:v>
                </c:pt>
                <c:pt idx="767">
                  <c:v>-0.48304536065844844</c:v>
                </c:pt>
                <c:pt idx="768">
                  <c:v>-2.4904453869238461</c:v>
                </c:pt>
                <c:pt idx="769">
                  <c:v>0.15530080362012727</c:v>
                </c:pt>
                <c:pt idx="770">
                  <c:v>-0.71816194242901954</c:v>
                </c:pt>
                <c:pt idx="771">
                  <c:v>6.0353099061826343E-2</c:v>
                </c:pt>
                <c:pt idx="772">
                  <c:v>0.37187771036447154</c:v>
                </c:pt>
                <c:pt idx="773">
                  <c:v>0.13087108533499572</c:v>
                </c:pt>
                <c:pt idx="774">
                  <c:v>-0.96126641485096131</c:v>
                </c:pt>
                <c:pt idx="775">
                  <c:v>1.6021008437441406</c:v>
                </c:pt>
                <c:pt idx="776">
                  <c:v>-0.32718694706239027</c:v>
                </c:pt>
                <c:pt idx="777">
                  <c:v>1.3930658148783093</c:v>
                </c:pt>
                <c:pt idx="778">
                  <c:v>-0.74239094486909019</c:v>
                </c:pt>
                <c:pt idx="779">
                  <c:v>0.34902300594499219</c:v>
                </c:pt>
                <c:pt idx="780">
                  <c:v>-0.1842417838065955</c:v>
                </c:pt>
                <c:pt idx="781">
                  <c:v>-0.10211609224533615</c:v>
                </c:pt>
                <c:pt idx="782">
                  <c:v>1.5720698800079498</c:v>
                </c:pt>
                <c:pt idx="783">
                  <c:v>0.41172688529408391</c:v>
                </c:pt>
                <c:pt idx="784">
                  <c:v>-1.3318396262071972</c:v>
                </c:pt>
                <c:pt idx="785">
                  <c:v>0.21252354664107648</c:v>
                </c:pt>
                <c:pt idx="786">
                  <c:v>-0.98237143642781777</c:v>
                </c:pt>
                <c:pt idx="787">
                  <c:v>-1.4148209451919342</c:v>
                </c:pt>
                <c:pt idx="788">
                  <c:v>-1.8322748303775069</c:v>
                </c:pt>
                <c:pt idx="789">
                  <c:v>1.2868839707473152</c:v>
                </c:pt>
                <c:pt idx="790">
                  <c:v>-1.3502265242434812</c:v>
                </c:pt>
                <c:pt idx="791">
                  <c:v>0.97858690081971289</c:v>
                </c:pt>
                <c:pt idx="792">
                  <c:v>-1.438679619990741</c:v>
                </c:pt>
                <c:pt idx="793">
                  <c:v>-0.29473956447753369</c:v>
                </c:pt>
                <c:pt idx="794">
                  <c:v>-2.1570670987258773</c:v>
                </c:pt>
                <c:pt idx="795">
                  <c:v>0.27048665984968018</c:v>
                </c:pt>
                <c:pt idx="796">
                  <c:v>-1.2172525226306448</c:v>
                </c:pt>
                <c:pt idx="797">
                  <c:v>-0.20801075205909766</c:v>
                </c:pt>
                <c:pt idx="798">
                  <c:v>-0.30677735216730151</c:v>
                </c:pt>
                <c:pt idx="799">
                  <c:v>-7.5551552531478647E-2</c:v>
                </c:pt>
                <c:pt idx="800">
                  <c:v>-8.1640271243068982E-2</c:v>
                </c:pt>
                <c:pt idx="801">
                  <c:v>0.80005701243104332</c:v>
                </c:pt>
                <c:pt idx="802">
                  <c:v>0.78032196798736531</c:v>
                </c:pt>
                <c:pt idx="803">
                  <c:v>0.77275599380132998</c:v>
                </c:pt>
                <c:pt idx="804">
                  <c:v>-0.50152435359718428</c:v>
                </c:pt>
                <c:pt idx="805">
                  <c:v>-2.7596614540034849</c:v>
                </c:pt>
                <c:pt idx="806">
                  <c:v>0.63678733817337918</c:v>
                </c:pt>
                <c:pt idx="807">
                  <c:v>-0.28484478519415296</c:v>
                </c:pt>
                <c:pt idx="808">
                  <c:v>-0.43657289907563263</c:v>
                </c:pt>
                <c:pt idx="809">
                  <c:v>-0.7148557864581071</c:v>
                </c:pt>
                <c:pt idx="810">
                  <c:v>-4.9170857317156966E-2</c:v>
                </c:pt>
                <c:pt idx="811">
                  <c:v>0.4019739259959596</c:v>
                </c:pt>
                <c:pt idx="812">
                  <c:v>2.7925049104187791</c:v>
                </c:pt>
                <c:pt idx="813">
                  <c:v>0.75180020471994036</c:v>
                </c:pt>
                <c:pt idx="814">
                  <c:v>-1.5879152901807676</c:v>
                </c:pt>
                <c:pt idx="815">
                  <c:v>0.30432925498581881</c:v>
                </c:pt>
                <c:pt idx="816">
                  <c:v>-0.74863008884426718</c:v>
                </c:pt>
                <c:pt idx="817">
                  <c:v>2.1412236626723438</c:v>
                </c:pt>
                <c:pt idx="818">
                  <c:v>-0.49002913726117747</c:v>
                </c:pt>
                <c:pt idx="819">
                  <c:v>0.92940876359602043</c:v>
                </c:pt>
                <c:pt idx="820">
                  <c:v>0.92552692905007483</c:v>
                </c:pt>
                <c:pt idx="821">
                  <c:v>-1.8345574600290508</c:v>
                </c:pt>
                <c:pt idx="822">
                  <c:v>1.89677784503888E-2</c:v>
                </c:pt>
                <c:pt idx="823">
                  <c:v>0.79369146567865534</c:v>
                </c:pt>
                <c:pt idx="824">
                  <c:v>-0.60286407338677728</c:v>
                </c:pt>
                <c:pt idx="825">
                  <c:v>7.8550353394247596E-2</c:v>
                </c:pt>
                <c:pt idx="826">
                  <c:v>-0.20545887119703435</c:v>
                </c:pt>
                <c:pt idx="827">
                  <c:v>-0.8531404274087856</c:v>
                </c:pt>
                <c:pt idx="828">
                  <c:v>1.775368134611355</c:v>
                </c:pt>
                <c:pt idx="829">
                  <c:v>-1.903568955279008</c:v>
                </c:pt>
                <c:pt idx="830">
                  <c:v>1.5103133888782925E-2</c:v>
                </c:pt>
                <c:pt idx="831">
                  <c:v>-0.3121305316364415</c:v>
                </c:pt>
                <c:pt idx="832">
                  <c:v>-0.84006728717527013</c:v>
                </c:pt>
                <c:pt idx="833">
                  <c:v>0.61881355266572713</c:v>
                </c:pt>
                <c:pt idx="834">
                  <c:v>-0.24860438680200836</c:v>
                </c:pt>
                <c:pt idx="835">
                  <c:v>-0.82604302946097574</c:v>
                </c:pt>
                <c:pt idx="836">
                  <c:v>-0.45483500211525069</c:v>
                </c:pt>
                <c:pt idx="837">
                  <c:v>0.31832348322317494</c:v>
                </c:pt>
                <c:pt idx="838">
                  <c:v>-2.1711357366872508</c:v>
                </c:pt>
                <c:pt idx="839">
                  <c:v>0.76435233458754714</c:v>
                </c:pt>
                <c:pt idx="840">
                  <c:v>-0.11590052616122098</c:v>
                </c:pt>
                <c:pt idx="841">
                  <c:v>-0.54603748288572018</c:v>
                </c:pt>
                <c:pt idx="842">
                  <c:v>-0.93691775917773945</c:v>
                </c:pt>
                <c:pt idx="843">
                  <c:v>-0.26599366858353235</c:v>
                </c:pt>
                <c:pt idx="844">
                  <c:v>-0.79317587212314133</c:v>
                </c:pt>
                <c:pt idx="845">
                  <c:v>-7.0183085235134474E-2</c:v>
                </c:pt>
                <c:pt idx="846">
                  <c:v>-0.70289383603154698</c:v>
                </c:pt>
                <c:pt idx="847">
                  <c:v>-0.20864782434851054</c:v>
                </c:pt>
                <c:pt idx="848">
                  <c:v>-0.75274056769437947</c:v>
                </c:pt>
                <c:pt idx="849">
                  <c:v>0.17897115429244467</c:v>
                </c:pt>
                <c:pt idx="850">
                  <c:v>0.42073708034187851</c:v>
                </c:pt>
                <c:pt idx="851">
                  <c:v>-0.6968366590776055</c:v>
                </c:pt>
                <c:pt idx="852">
                  <c:v>-1.3579487967483744E-2</c:v>
                </c:pt>
                <c:pt idx="853">
                  <c:v>0.15653912377871682</c:v>
                </c:pt>
                <c:pt idx="854">
                  <c:v>0.96014659364888766</c:v>
                </c:pt>
                <c:pt idx="855">
                  <c:v>-1.3561775731669481</c:v>
                </c:pt>
                <c:pt idx="856">
                  <c:v>-0.19142971930012556</c:v>
                </c:pt>
                <c:pt idx="857">
                  <c:v>0.20336341704691746</c:v>
                </c:pt>
                <c:pt idx="858">
                  <c:v>-1.4309859147524078</c:v>
                </c:pt>
                <c:pt idx="859">
                  <c:v>-0.47540247355130583</c:v>
                </c:pt>
                <c:pt idx="860">
                  <c:v>-1.1255397400271689</c:v>
                </c:pt>
                <c:pt idx="861">
                  <c:v>2.3871177034202553</c:v>
                </c:pt>
                <c:pt idx="862">
                  <c:v>-1.2999429421001114</c:v>
                </c:pt>
                <c:pt idx="863">
                  <c:v>0.68176565020795221</c:v>
                </c:pt>
                <c:pt idx="864">
                  <c:v>-1.1389571995128067</c:v>
                </c:pt>
                <c:pt idx="865">
                  <c:v>-9.1793256306434909E-2</c:v>
                </c:pt>
                <c:pt idx="866">
                  <c:v>-0.78622200120954089</c:v>
                </c:pt>
                <c:pt idx="867">
                  <c:v>1.1565256110542246</c:v>
                </c:pt>
                <c:pt idx="868">
                  <c:v>-1.3153179096284418</c:v>
                </c:pt>
                <c:pt idx="869">
                  <c:v>0.66180344277399017</c:v>
                </c:pt>
                <c:pt idx="870">
                  <c:v>1.9513698109935436</c:v>
                </c:pt>
                <c:pt idx="871">
                  <c:v>-0.94109775998976897</c:v>
                </c:pt>
                <c:pt idx="872">
                  <c:v>-0.53571359930235207</c:v>
                </c:pt>
                <c:pt idx="873">
                  <c:v>2.7194909584639528E-2</c:v>
                </c:pt>
                <c:pt idx="874">
                  <c:v>1.1316301302656548</c:v>
                </c:pt>
                <c:pt idx="875">
                  <c:v>-0.93475056232670639</c:v>
                </c:pt>
                <c:pt idx="876">
                  <c:v>-0.22754362934011566</c:v>
                </c:pt>
                <c:pt idx="877">
                  <c:v>0.1726585272378709</c:v>
                </c:pt>
                <c:pt idx="878">
                  <c:v>-1.2619405079703241</c:v>
                </c:pt>
                <c:pt idx="879">
                  <c:v>0.67254490746136764</c:v>
                </c:pt>
                <c:pt idx="880">
                  <c:v>-0.58841093302165437</c:v>
                </c:pt>
                <c:pt idx="881">
                  <c:v>1.605953036695752</c:v>
                </c:pt>
                <c:pt idx="882">
                  <c:v>-0.45691442876938532</c:v>
                </c:pt>
                <c:pt idx="883">
                  <c:v>0.10450117122205559</c:v>
                </c:pt>
                <c:pt idx="884">
                  <c:v>-0.66322039511885322</c:v>
                </c:pt>
                <c:pt idx="885">
                  <c:v>1.9279942452523202</c:v>
                </c:pt>
                <c:pt idx="886">
                  <c:v>-0.7517775895598352</c:v>
                </c:pt>
                <c:pt idx="887">
                  <c:v>0.34147452528759059</c:v>
                </c:pt>
                <c:pt idx="888">
                  <c:v>-0.72090193293078941</c:v>
                </c:pt>
                <c:pt idx="889">
                  <c:v>2.0095978444754485</c:v>
                </c:pt>
                <c:pt idx="890">
                  <c:v>-1.7904605197307859</c:v>
                </c:pt>
                <c:pt idx="891">
                  <c:v>-0.49265156094122775</c:v>
                </c:pt>
                <c:pt idx="892">
                  <c:v>-9.9658383286444094E-2</c:v>
                </c:pt>
                <c:pt idx="893">
                  <c:v>0.67868923953682092</c:v>
                </c:pt>
                <c:pt idx="894">
                  <c:v>-1.233807829734717</c:v>
                </c:pt>
                <c:pt idx="895">
                  <c:v>-0.33788258276204164</c:v>
                </c:pt>
                <c:pt idx="896">
                  <c:v>0.95637541923491753</c:v>
                </c:pt>
                <c:pt idx="897">
                  <c:v>-1.2297036913213497</c:v>
                </c:pt>
                <c:pt idx="898">
                  <c:v>0.44164389243934254</c:v>
                </c:pt>
                <c:pt idx="899">
                  <c:v>3.9183711669559272E-2</c:v>
                </c:pt>
                <c:pt idx="900">
                  <c:v>0.38091665932638819</c:v>
                </c:pt>
                <c:pt idx="901">
                  <c:v>0.78431540079549045</c:v>
                </c:pt>
                <c:pt idx="902">
                  <c:v>-1.543184135830881E-2</c:v>
                </c:pt>
                <c:pt idx="903">
                  <c:v>-9.7865437967024016E-2</c:v>
                </c:pt>
                <c:pt idx="904">
                  <c:v>-1.0504443422511611</c:v>
                </c:pt>
                <c:pt idx="905">
                  <c:v>0.16224703178434871</c:v>
                </c:pt>
                <c:pt idx="906">
                  <c:v>-0.19380884795910652</c:v>
                </c:pt>
                <c:pt idx="907">
                  <c:v>5.9308111410355194E-3</c:v>
                </c:pt>
                <c:pt idx="908">
                  <c:v>0.26617642346140941</c:v>
                </c:pt>
                <c:pt idx="909">
                  <c:v>0.12760049987620381</c:v>
                </c:pt>
                <c:pt idx="910">
                  <c:v>0.23501291645527103</c:v>
                </c:pt>
                <c:pt idx="911">
                  <c:v>0.21515186818663054</c:v>
                </c:pt>
                <c:pt idx="912">
                  <c:v>0.36157591016041218</c:v>
                </c:pt>
                <c:pt idx="913">
                  <c:v>0.26198052187702481</c:v>
                </c:pt>
                <c:pt idx="914">
                  <c:v>0.1850518661549839</c:v>
                </c:pt>
                <c:pt idx="915">
                  <c:v>-0.43540248989781682</c:v>
                </c:pt>
                <c:pt idx="916">
                  <c:v>-0.4125255954338593</c:v>
                </c:pt>
                <c:pt idx="917">
                  <c:v>0.98797915901100319</c:v>
                </c:pt>
                <c:pt idx="918">
                  <c:v>3.4342025832871963</c:v>
                </c:pt>
                <c:pt idx="919">
                  <c:v>-1.2786237627483299</c:v>
                </c:pt>
                <c:pt idx="920">
                  <c:v>3.8682873229661414E-2</c:v>
                </c:pt>
                <c:pt idx="921">
                  <c:v>-1.9643565545486084</c:v>
                </c:pt>
                <c:pt idx="922">
                  <c:v>0.30896975647826047</c:v>
                </c:pt>
                <c:pt idx="923">
                  <c:v>0.27762624576509609</c:v>
                </c:pt>
                <c:pt idx="924">
                  <c:v>1.544245874946889</c:v>
                </c:pt>
                <c:pt idx="925">
                  <c:v>-0.83025005289488951</c:v>
                </c:pt>
                <c:pt idx="926">
                  <c:v>0.75822609654106443</c:v>
                </c:pt>
                <c:pt idx="927">
                  <c:v>-0.66405654529797453</c:v>
                </c:pt>
                <c:pt idx="928">
                  <c:v>-5.2894173842945647E-2</c:v>
                </c:pt>
                <c:pt idx="929">
                  <c:v>0.41628810614746048</c:v>
                </c:pt>
                <c:pt idx="930">
                  <c:v>1.0039660169372104</c:v>
                </c:pt>
                <c:pt idx="931">
                  <c:v>-2.1773663358388822</c:v>
                </c:pt>
                <c:pt idx="932">
                  <c:v>0.65063862001576434</c:v>
                </c:pt>
                <c:pt idx="933">
                  <c:v>0.15290406092080813</c:v>
                </c:pt>
                <c:pt idx="934">
                  <c:v>-0.57791116878386117</c:v>
                </c:pt>
                <c:pt idx="935">
                  <c:v>0.86974219875386505</c:v>
                </c:pt>
                <c:pt idx="936">
                  <c:v>-1.5508706803236822</c:v>
                </c:pt>
                <c:pt idx="937">
                  <c:v>-0.57423804229236708</c:v>
                </c:pt>
                <c:pt idx="938">
                  <c:v>0.35010953616334084</c:v>
                </c:pt>
                <c:pt idx="939">
                  <c:v>-0.41062050090635543</c:v>
                </c:pt>
                <c:pt idx="940">
                  <c:v>0.91667324116257531</c:v>
                </c:pt>
                <c:pt idx="941">
                  <c:v>-0.15257304919975295</c:v>
                </c:pt>
                <c:pt idx="942">
                  <c:v>1.9935390748722628</c:v>
                </c:pt>
                <c:pt idx="943">
                  <c:v>0.56455557671536072</c:v>
                </c:pt>
                <c:pt idx="944">
                  <c:v>-1.1500422389429081</c:v>
                </c:pt>
                <c:pt idx="945">
                  <c:v>-1.3456122536877697</c:v>
                </c:pt>
                <c:pt idx="946">
                  <c:v>0.71658226319876539</c:v>
                </c:pt>
                <c:pt idx="947">
                  <c:v>0.12130574511798133</c:v>
                </c:pt>
                <c:pt idx="948">
                  <c:v>0.72737915854937729</c:v>
                </c:pt>
                <c:pt idx="949">
                  <c:v>-1.274164195906496</c:v>
                </c:pt>
                <c:pt idx="950">
                  <c:v>-0.53382781653721512</c:v>
                </c:pt>
                <c:pt idx="951">
                  <c:v>0.77847248511408829</c:v>
                </c:pt>
                <c:pt idx="952">
                  <c:v>0.28334444049520913</c:v>
                </c:pt>
                <c:pt idx="953">
                  <c:v>-1.8040296250309691</c:v>
                </c:pt>
                <c:pt idx="954">
                  <c:v>-0.66757402316459691</c:v>
                </c:pt>
                <c:pt idx="955">
                  <c:v>-0.57000267104785973</c:v>
                </c:pt>
                <c:pt idx="956">
                  <c:v>-0.22304250986693941</c:v>
                </c:pt>
                <c:pt idx="957">
                  <c:v>-0.29644869356523773</c:v>
                </c:pt>
                <c:pt idx="958">
                  <c:v>1.0069876225402601</c:v>
                </c:pt>
                <c:pt idx="959">
                  <c:v>-4.9432081154892331E-2</c:v>
                </c:pt>
                <c:pt idx="960">
                  <c:v>-1.2926712262905293</c:v>
                </c:pt>
                <c:pt idx="961">
                  <c:v>-0.33642260691077397</c:v>
                </c:pt>
                <c:pt idx="962">
                  <c:v>0.21826828771286544</c:v>
                </c:pt>
                <c:pt idx="963">
                  <c:v>1.2331671505464805</c:v>
                </c:pt>
                <c:pt idx="964">
                  <c:v>0.72304625503339792</c:v>
                </c:pt>
                <c:pt idx="965">
                  <c:v>0.38572843647896443</c:v>
                </c:pt>
                <c:pt idx="966">
                  <c:v>0.31910739644053632</c:v>
                </c:pt>
                <c:pt idx="967">
                  <c:v>0.29318258915266687</c:v>
                </c:pt>
                <c:pt idx="968">
                  <c:v>0.1107098342666188</c:v>
                </c:pt>
                <c:pt idx="969">
                  <c:v>0.60267455397829894</c:v>
                </c:pt>
                <c:pt idx="970">
                  <c:v>-4.894897064803809E-2</c:v>
                </c:pt>
                <c:pt idx="971">
                  <c:v>-0.57717334068594162</c:v>
                </c:pt>
                <c:pt idx="972">
                  <c:v>-1.6702584272759293</c:v>
                </c:pt>
                <c:pt idx="973">
                  <c:v>0.55392718538994434</c:v>
                </c:pt>
                <c:pt idx="974">
                  <c:v>0.63923681050989356</c:v>
                </c:pt>
                <c:pt idx="975">
                  <c:v>-2.1119104337605057</c:v>
                </c:pt>
                <c:pt idx="976">
                  <c:v>0.23074712840732972</c:v>
                </c:pt>
                <c:pt idx="977">
                  <c:v>-0.53676554510140428</c:v>
                </c:pt>
                <c:pt idx="978">
                  <c:v>0.42461743561640736</c:v>
                </c:pt>
                <c:pt idx="979">
                  <c:v>1.1049134497325188</c:v>
                </c:pt>
                <c:pt idx="980">
                  <c:v>0.3025456922267849</c:v>
                </c:pt>
                <c:pt idx="981">
                  <c:v>2.478133528680917</c:v>
                </c:pt>
                <c:pt idx="982">
                  <c:v>-0.71959584369259277</c:v>
                </c:pt>
                <c:pt idx="983">
                  <c:v>-1.4066207157999899</c:v>
                </c:pt>
                <c:pt idx="984">
                  <c:v>-0.1640853163258883</c:v>
                </c:pt>
                <c:pt idx="985">
                  <c:v>-0.31200028289697535</c:v>
                </c:pt>
                <c:pt idx="986">
                  <c:v>0.83999592757452268</c:v>
                </c:pt>
                <c:pt idx="987">
                  <c:v>-1.2266541252677186</c:v>
                </c:pt>
                <c:pt idx="988">
                  <c:v>0.42033340884356835</c:v>
                </c:pt>
                <c:pt idx="989">
                  <c:v>-0.33112880672378808</c:v>
                </c:pt>
                <c:pt idx="990">
                  <c:v>-0.29390124002138185</c:v>
                </c:pt>
                <c:pt idx="991">
                  <c:v>0.16596687787082737</c:v>
                </c:pt>
                <c:pt idx="992">
                  <c:v>4.5032390182123773E-2</c:v>
                </c:pt>
                <c:pt idx="993">
                  <c:v>-0.57453679929275847</c:v>
                </c:pt>
                <c:pt idx="994">
                  <c:v>0.70012825148047031</c:v>
                </c:pt>
                <c:pt idx="995">
                  <c:v>1.7723159831039255</c:v>
                </c:pt>
                <c:pt idx="996">
                  <c:v>0.62669672249820596</c:v>
                </c:pt>
                <c:pt idx="997">
                  <c:v>0.45407090993777144</c:v>
                </c:pt>
                <c:pt idx="998">
                  <c:v>1.1601758754260698</c:v>
                </c:pt>
                <c:pt idx="999">
                  <c:v>0.55785718516657334</c:v>
                </c:pt>
              </c:numCache>
            </c:numRef>
          </c:xVal>
          <c:yVal>
            <c:numRef>
              <c:f>Model!$D$6:$D$1005</c:f>
              <c:numCache>
                <c:formatCode>General</c:formatCode>
                <c:ptCount val="1000"/>
                <c:pt idx="0">
                  <c:v>0.11689037436668438</c:v>
                </c:pt>
                <c:pt idx="1">
                  <c:v>0.33205960908855664</c:v>
                </c:pt>
                <c:pt idx="2">
                  <c:v>0.39866972066853301</c:v>
                </c:pt>
                <c:pt idx="3">
                  <c:v>0.10936295129512896</c:v>
                </c:pt>
                <c:pt idx="4">
                  <c:v>0.38473894561390032</c:v>
                </c:pt>
                <c:pt idx="5">
                  <c:v>0.35781836467039835</c:v>
                </c:pt>
                <c:pt idx="6">
                  <c:v>0.23665815907556159</c:v>
                </c:pt>
                <c:pt idx="7">
                  <c:v>0.35695326636365832</c:v>
                </c:pt>
                <c:pt idx="8">
                  <c:v>0.2617912211632053</c:v>
                </c:pt>
                <c:pt idx="9">
                  <c:v>0.33673506836646822</c:v>
                </c:pt>
                <c:pt idx="10">
                  <c:v>0.28698934297166007</c:v>
                </c:pt>
                <c:pt idx="11">
                  <c:v>0.394773911043592</c:v>
                </c:pt>
                <c:pt idx="12">
                  <c:v>0.34559838512473962</c:v>
                </c:pt>
                <c:pt idx="13">
                  <c:v>0.34057698709760187</c:v>
                </c:pt>
                <c:pt idx="14">
                  <c:v>0.39628613282460784</c:v>
                </c:pt>
                <c:pt idx="15">
                  <c:v>0.15844472217211464</c:v>
                </c:pt>
                <c:pt idx="16">
                  <c:v>0.31414665920761925</c:v>
                </c:pt>
                <c:pt idx="17">
                  <c:v>0.39641694878165518</c:v>
                </c:pt>
                <c:pt idx="18">
                  <c:v>0.36570448854010507</c:v>
                </c:pt>
                <c:pt idx="19">
                  <c:v>0.39630883554457069</c:v>
                </c:pt>
                <c:pt idx="20">
                  <c:v>0.3981212390397455</c:v>
                </c:pt>
                <c:pt idx="21">
                  <c:v>0.38822050407623737</c:v>
                </c:pt>
                <c:pt idx="22">
                  <c:v>0.29743505584484747</c:v>
                </c:pt>
                <c:pt idx="23">
                  <c:v>0.39157732471915718</c:v>
                </c:pt>
                <c:pt idx="24">
                  <c:v>0.38823616520500942</c:v>
                </c:pt>
                <c:pt idx="25">
                  <c:v>5.1672318257905303E-2</c:v>
                </c:pt>
                <c:pt idx="26">
                  <c:v>9.8597285325806583E-2</c:v>
                </c:pt>
                <c:pt idx="27">
                  <c:v>0.37504919803881148</c:v>
                </c:pt>
                <c:pt idx="28">
                  <c:v>0.39414207245524741</c:v>
                </c:pt>
                <c:pt idx="29">
                  <c:v>0.30561389790988458</c:v>
                </c:pt>
                <c:pt idx="30">
                  <c:v>0.39627696906704496</c:v>
                </c:pt>
                <c:pt idx="31">
                  <c:v>0.30564436099820175</c:v>
                </c:pt>
                <c:pt idx="32">
                  <c:v>0.21318106143357657</c:v>
                </c:pt>
                <c:pt idx="33">
                  <c:v>3.3102108326893392E-2</c:v>
                </c:pt>
                <c:pt idx="34">
                  <c:v>0.36755252157183171</c:v>
                </c:pt>
                <c:pt idx="35">
                  <c:v>0.34419194570670603</c:v>
                </c:pt>
                <c:pt idx="36">
                  <c:v>0.39891935809415441</c:v>
                </c:pt>
                <c:pt idx="37">
                  <c:v>0.22559822223399276</c:v>
                </c:pt>
                <c:pt idx="38">
                  <c:v>0.28362333050997807</c:v>
                </c:pt>
                <c:pt idx="39">
                  <c:v>0.39847846959472472</c:v>
                </c:pt>
                <c:pt idx="40">
                  <c:v>0.19472139969744939</c:v>
                </c:pt>
                <c:pt idx="41">
                  <c:v>0.33908071952011665</c:v>
                </c:pt>
                <c:pt idx="42">
                  <c:v>0.21149715601813676</c:v>
                </c:pt>
                <c:pt idx="43">
                  <c:v>0.37395593926238191</c:v>
                </c:pt>
                <c:pt idx="44">
                  <c:v>0.39331860690689951</c:v>
                </c:pt>
                <c:pt idx="45">
                  <c:v>0.39893985128245957</c:v>
                </c:pt>
                <c:pt idx="46">
                  <c:v>0.14270554710484215</c:v>
                </c:pt>
                <c:pt idx="47">
                  <c:v>0.3800982683425454</c:v>
                </c:pt>
                <c:pt idx="48">
                  <c:v>0.30089745815653723</c:v>
                </c:pt>
                <c:pt idx="49">
                  <c:v>0.39866218605900167</c:v>
                </c:pt>
                <c:pt idx="50">
                  <c:v>0.36631607341829192</c:v>
                </c:pt>
                <c:pt idx="51">
                  <c:v>0.37520903921812232</c:v>
                </c:pt>
                <c:pt idx="52">
                  <c:v>0.265137449179351</c:v>
                </c:pt>
                <c:pt idx="53">
                  <c:v>0.34948491597561404</c:v>
                </c:pt>
                <c:pt idx="54">
                  <c:v>0.35631167682160608</c:v>
                </c:pt>
                <c:pt idx="55">
                  <c:v>0.21753891168989153</c:v>
                </c:pt>
                <c:pt idx="56">
                  <c:v>0.28392835246261061</c:v>
                </c:pt>
                <c:pt idx="57">
                  <c:v>0.1696590945054848</c:v>
                </c:pt>
                <c:pt idx="58">
                  <c:v>0.39239466628783065</c:v>
                </c:pt>
                <c:pt idx="59">
                  <c:v>0.16829280573543834</c:v>
                </c:pt>
                <c:pt idx="60">
                  <c:v>0.36520496293383026</c:v>
                </c:pt>
                <c:pt idx="61">
                  <c:v>0.37774520376246618</c:v>
                </c:pt>
                <c:pt idx="62">
                  <c:v>0.39892289691721849</c:v>
                </c:pt>
                <c:pt idx="63">
                  <c:v>0.15148812648629906</c:v>
                </c:pt>
                <c:pt idx="64">
                  <c:v>0.25489861791348473</c:v>
                </c:pt>
                <c:pt idx="65">
                  <c:v>0.26015775867543034</c:v>
                </c:pt>
                <c:pt idx="66">
                  <c:v>0.39879242411527843</c:v>
                </c:pt>
                <c:pt idx="67">
                  <c:v>0.39776839054744867</c:v>
                </c:pt>
                <c:pt idx="68">
                  <c:v>0.35908166780431017</c:v>
                </c:pt>
                <c:pt idx="69">
                  <c:v>0.18796280652231631</c:v>
                </c:pt>
                <c:pt idx="70">
                  <c:v>0.16969273428120638</c:v>
                </c:pt>
                <c:pt idx="71">
                  <c:v>0.34027166602549036</c:v>
                </c:pt>
                <c:pt idx="72">
                  <c:v>0.28587196390131303</c:v>
                </c:pt>
                <c:pt idx="73">
                  <c:v>6.0908992702526601E-2</c:v>
                </c:pt>
                <c:pt idx="74">
                  <c:v>0.30969178366548156</c:v>
                </c:pt>
                <c:pt idx="75">
                  <c:v>3.4030750518658004E-2</c:v>
                </c:pt>
                <c:pt idx="76">
                  <c:v>0.3834555962974594</c:v>
                </c:pt>
                <c:pt idx="77">
                  <c:v>0.37777714972454102</c:v>
                </c:pt>
                <c:pt idx="78">
                  <c:v>0.22797246921344694</c:v>
                </c:pt>
                <c:pt idx="79">
                  <c:v>0.38490288338520923</c:v>
                </c:pt>
                <c:pt idx="80">
                  <c:v>0.19817022601757475</c:v>
                </c:pt>
                <c:pt idx="81">
                  <c:v>0.37249717961945616</c:v>
                </c:pt>
                <c:pt idx="82">
                  <c:v>0.37917618328739539</c:v>
                </c:pt>
                <c:pt idx="83">
                  <c:v>0.32843985157859512</c:v>
                </c:pt>
                <c:pt idx="84">
                  <c:v>0.24234547889826435</c:v>
                </c:pt>
                <c:pt idx="85">
                  <c:v>0.29365688751261426</c:v>
                </c:pt>
                <c:pt idx="86">
                  <c:v>0.39288222642858722</c:v>
                </c:pt>
                <c:pt idx="87">
                  <c:v>0.16804604266040954</c:v>
                </c:pt>
                <c:pt idx="88">
                  <c:v>0.37392530536053181</c:v>
                </c:pt>
                <c:pt idx="89">
                  <c:v>0.27910772634406655</c:v>
                </c:pt>
                <c:pt idx="90">
                  <c:v>0.2546330717222236</c:v>
                </c:pt>
                <c:pt idx="91">
                  <c:v>0.14907261033866981</c:v>
                </c:pt>
                <c:pt idx="92">
                  <c:v>0.23527177000614574</c:v>
                </c:pt>
                <c:pt idx="93">
                  <c:v>0.32867129393139949</c:v>
                </c:pt>
                <c:pt idx="94">
                  <c:v>0.38169280555026913</c:v>
                </c:pt>
                <c:pt idx="95">
                  <c:v>0.19542561740531322</c:v>
                </c:pt>
                <c:pt idx="96">
                  <c:v>0.396568299662512</c:v>
                </c:pt>
                <c:pt idx="97">
                  <c:v>0.39149636444525177</c:v>
                </c:pt>
                <c:pt idx="98">
                  <c:v>0.29047616951070004</c:v>
                </c:pt>
                <c:pt idx="99">
                  <c:v>0.34705651243012037</c:v>
                </c:pt>
                <c:pt idx="100">
                  <c:v>0.12292705409422434</c:v>
                </c:pt>
                <c:pt idx="101">
                  <c:v>0.30011761382072749</c:v>
                </c:pt>
                <c:pt idx="102">
                  <c:v>0.2197087209389684</c:v>
                </c:pt>
                <c:pt idx="103">
                  <c:v>0.39642439859361633</c:v>
                </c:pt>
                <c:pt idx="104">
                  <c:v>0.39538372361716478</c:v>
                </c:pt>
                <c:pt idx="105">
                  <c:v>0.3584409691930841</c:v>
                </c:pt>
                <c:pt idx="106">
                  <c:v>0.39284898415772385</c:v>
                </c:pt>
                <c:pt idx="107">
                  <c:v>0.25877650487674569</c:v>
                </c:pt>
                <c:pt idx="108">
                  <c:v>7.5293117497752277E-2</c:v>
                </c:pt>
                <c:pt idx="109">
                  <c:v>0.39632931760535361</c:v>
                </c:pt>
                <c:pt idx="110">
                  <c:v>0.35169724674889674</c:v>
                </c:pt>
                <c:pt idx="111">
                  <c:v>0.35469946917811507</c:v>
                </c:pt>
                <c:pt idx="112">
                  <c:v>0.37419832186940855</c:v>
                </c:pt>
                <c:pt idx="113">
                  <c:v>0.19174097291675171</c:v>
                </c:pt>
                <c:pt idx="114">
                  <c:v>0.39863713525492223</c:v>
                </c:pt>
                <c:pt idx="115">
                  <c:v>0.34902302829152848</c:v>
                </c:pt>
                <c:pt idx="116">
                  <c:v>0.35092092147965248</c:v>
                </c:pt>
                <c:pt idx="117">
                  <c:v>0.36901476456522792</c:v>
                </c:pt>
                <c:pt idx="118">
                  <c:v>7.2355951938336974E-3</c:v>
                </c:pt>
                <c:pt idx="119">
                  <c:v>0.39349124300082527</c:v>
                </c:pt>
                <c:pt idx="120">
                  <c:v>0.37850119470525889</c:v>
                </c:pt>
                <c:pt idx="121">
                  <c:v>7.9375100677544358E-2</c:v>
                </c:pt>
                <c:pt idx="122">
                  <c:v>0.13594490988952371</c:v>
                </c:pt>
                <c:pt idx="123">
                  <c:v>0.37018048771601653</c:v>
                </c:pt>
                <c:pt idx="124">
                  <c:v>0.20602878645201933</c:v>
                </c:pt>
                <c:pt idx="125">
                  <c:v>0.33064113197905165</c:v>
                </c:pt>
                <c:pt idx="126">
                  <c:v>0.3480252183613779</c:v>
                </c:pt>
                <c:pt idx="127">
                  <c:v>0.31503246902460802</c:v>
                </c:pt>
                <c:pt idx="128">
                  <c:v>0.39824643860628489</c:v>
                </c:pt>
                <c:pt idx="129">
                  <c:v>0.39700644518717731</c:v>
                </c:pt>
                <c:pt idx="130">
                  <c:v>0.36928618881563818</c:v>
                </c:pt>
                <c:pt idx="131">
                  <c:v>3.7536724674003707E-2</c:v>
                </c:pt>
                <c:pt idx="132">
                  <c:v>0.20604905630147066</c:v>
                </c:pt>
                <c:pt idx="133">
                  <c:v>0.16063156565359527</c:v>
                </c:pt>
                <c:pt idx="134">
                  <c:v>0.28581371414927148</c:v>
                </c:pt>
                <c:pt idx="135">
                  <c:v>0.32825162223504223</c:v>
                </c:pt>
                <c:pt idx="136">
                  <c:v>0.38646021863000912</c:v>
                </c:pt>
                <c:pt idx="137">
                  <c:v>4.8142179998336934E-2</c:v>
                </c:pt>
                <c:pt idx="138">
                  <c:v>0.26629977687057099</c:v>
                </c:pt>
                <c:pt idx="139">
                  <c:v>0.35462792037093205</c:v>
                </c:pt>
                <c:pt idx="140">
                  <c:v>0.2716529891587483</c:v>
                </c:pt>
                <c:pt idx="141">
                  <c:v>0.23814362819743515</c:v>
                </c:pt>
                <c:pt idx="142">
                  <c:v>0.37913238252129017</c:v>
                </c:pt>
                <c:pt idx="143">
                  <c:v>9.1138642430218839E-2</c:v>
                </c:pt>
                <c:pt idx="144">
                  <c:v>0.26281033154835398</c:v>
                </c:pt>
                <c:pt idx="145">
                  <c:v>0.29581853990250201</c:v>
                </c:pt>
                <c:pt idx="146">
                  <c:v>0.26693751380975156</c:v>
                </c:pt>
                <c:pt idx="147">
                  <c:v>1.6347896988306368E-2</c:v>
                </c:pt>
                <c:pt idx="148">
                  <c:v>0.18108768217703625</c:v>
                </c:pt>
                <c:pt idx="149">
                  <c:v>3.5138568713328086E-2</c:v>
                </c:pt>
                <c:pt idx="150">
                  <c:v>0.13496782332396662</c:v>
                </c:pt>
                <c:pt idx="151">
                  <c:v>0.39894130007410245</c:v>
                </c:pt>
                <c:pt idx="152">
                  <c:v>0.39392377647858945</c:v>
                </c:pt>
                <c:pt idx="153">
                  <c:v>0.29724369898280606</c:v>
                </c:pt>
                <c:pt idx="154">
                  <c:v>0.24058522449707387</c:v>
                </c:pt>
                <c:pt idx="155">
                  <c:v>0.20632916925449934</c:v>
                </c:pt>
                <c:pt idx="156">
                  <c:v>0.27625854583956988</c:v>
                </c:pt>
                <c:pt idx="157">
                  <c:v>0.34611168298519374</c:v>
                </c:pt>
                <c:pt idx="158">
                  <c:v>7.8003439570033348E-2</c:v>
                </c:pt>
                <c:pt idx="159">
                  <c:v>0.38330457037759352</c:v>
                </c:pt>
                <c:pt idx="160">
                  <c:v>0.27424176708728637</c:v>
                </c:pt>
                <c:pt idx="161">
                  <c:v>0.13409005329686957</c:v>
                </c:pt>
                <c:pt idx="162">
                  <c:v>0.3988494208693511</c:v>
                </c:pt>
                <c:pt idx="163">
                  <c:v>9.8963414876550193E-2</c:v>
                </c:pt>
                <c:pt idx="164">
                  <c:v>0.34708043193910715</c:v>
                </c:pt>
                <c:pt idx="165">
                  <c:v>7.742390501933008E-2</c:v>
                </c:pt>
                <c:pt idx="166">
                  <c:v>0.1856571247413849</c:v>
                </c:pt>
                <c:pt idx="167">
                  <c:v>0.33838647873668271</c:v>
                </c:pt>
                <c:pt idx="168">
                  <c:v>0.18457744690855998</c:v>
                </c:pt>
                <c:pt idx="169">
                  <c:v>0.35535114938871565</c:v>
                </c:pt>
                <c:pt idx="170">
                  <c:v>0.33386662373504372</c:v>
                </c:pt>
                <c:pt idx="171">
                  <c:v>0.1030237939982664</c:v>
                </c:pt>
                <c:pt idx="172">
                  <c:v>0.39521922992551167</c:v>
                </c:pt>
                <c:pt idx="173">
                  <c:v>0.39565839631512323</c:v>
                </c:pt>
                <c:pt idx="174">
                  <c:v>0.31122025423170607</c:v>
                </c:pt>
                <c:pt idx="175">
                  <c:v>0.39525956362577885</c:v>
                </c:pt>
                <c:pt idx="176">
                  <c:v>0.19285732060984101</c:v>
                </c:pt>
                <c:pt idx="177">
                  <c:v>0.11722427589097298</c:v>
                </c:pt>
                <c:pt idx="178">
                  <c:v>0.38154636868922548</c:v>
                </c:pt>
                <c:pt idx="179">
                  <c:v>0.18269888039941462</c:v>
                </c:pt>
                <c:pt idx="180">
                  <c:v>0.34556683151242013</c:v>
                </c:pt>
                <c:pt idx="181">
                  <c:v>0.11812151142242751</c:v>
                </c:pt>
                <c:pt idx="182">
                  <c:v>0.26581152893415561</c:v>
                </c:pt>
                <c:pt idx="183">
                  <c:v>0.38738714959777593</c:v>
                </c:pt>
                <c:pt idx="184">
                  <c:v>0.33385661820994988</c:v>
                </c:pt>
                <c:pt idx="185">
                  <c:v>0.3965446599104977</c:v>
                </c:pt>
                <c:pt idx="186">
                  <c:v>0.39521925149409654</c:v>
                </c:pt>
                <c:pt idx="187">
                  <c:v>0.35073182306897022</c:v>
                </c:pt>
                <c:pt idx="188">
                  <c:v>0.35456889598012808</c:v>
                </c:pt>
                <c:pt idx="189">
                  <c:v>0.20180530261487484</c:v>
                </c:pt>
                <c:pt idx="190">
                  <c:v>0.37955367741763685</c:v>
                </c:pt>
                <c:pt idx="191">
                  <c:v>0.37623523582327917</c:v>
                </c:pt>
                <c:pt idx="192">
                  <c:v>0.1276535277840406</c:v>
                </c:pt>
                <c:pt idx="193">
                  <c:v>0.36631165274878963</c:v>
                </c:pt>
                <c:pt idx="194">
                  <c:v>0.39161510756903328</c:v>
                </c:pt>
                <c:pt idx="195">
                  <c:v>0.28387519967228803</c:v>
                </c:pt>
                <c:pt idx="196">
                  <c:v>0.2399146602094662</c:v>
                </c:pt>
                <c:pt idx="197">
                  <c:v>0.28733213201886476</c:v>
                </c:pt>
                <c:pt idx="198">
                  <c:v>0.39644551123045663</c:v>
                </c:pt>
                <c:pt idx="199">
                  <c:v>6.366250768668473E-2</c:v>
                </c:pt>
                <c:pt idx="200">
                  <c:v>0.36213033281995727</c:v>
                </c:pt>
                <c:pt idx="201">
                  <c:v>0.29279832881594203</c:v>
                </c:pt>
                <c:pt idx="202">
                  <c:v>0.3237794189416634</c:v>
                </c:pt>
                <c:pt idx="203">
                  <c:v>0.29294613491025245</c:v>
                </c:pt>
                <c:pt idx="204">
                  <c:v>0.21940431137133179</c:v>
                </c:pt>
                <c:pt idx="205">
                  <c:v>0.39258838762706555</c:v>
                </c:pt>
                <c:pt idx="206">
                  <c:v>0.33462833996906799</c:v>
                </c:pt>
                <c:pt idx="207">
                  <c:v>0.28609440723492913</c:v>
                </c:pt>
                <c:pt idx="208">
                  <c:v>0.39744201733909573</c:v>
                </c:pt>
                <c:pt idx="209">
                  <c:v>0.1770772814586338</c:v>
                </c:pt>
                <c:pt idx="210">
                  <c:v>8.7698427608691287E-2</c:v>
                </c:pt>
                <c:pt idx="211">
                  <c:v>0.38075277210215458</c:v>
                </c:pt>
                <c:pt idx="212">
                  <c:v>9.6378908429285107E-2</c:v>
                </c:pt>
                <c:pt idx="213">
                  <c:v>0.2705112441746228</c:v>
                </c:pt>
                <c:pt idx="214">
                  <c:v>0.36021722926445554</c:v>
                </c:pt>
                <c:pt idx="215">
                  <c:v>0.39885901946307784</c:v>
                </c:pt>
                <c:pt idx="216">
                  <c:v>0.29977437300419052</c:v>
                </c:pt>
                <c:pt idx="217">
                  <c:v>0.26218088528719602</c:v>
                </c:pt>
                <c:pt idx="218">
                  <c:v>0.36654880081533059</c:v>
                </c:pt>
                <c:pt idx="219">
                  <c:v>0.38074058730534621</c:v>
                </c:pt>
                <c:pt idx="220">
                  <c:v>0.32000644650819005</c:v>
                </c:pt>
                <c:pt idx="221">
                  <c:v>7.4678182419868682E-3</c:v>
                </c:pt>
                <c:pt idx="222">
                  <c:v>0.38977650909077083</c:v>
                </c:pt>
                <c:pt idx="223">
                  <c:v>6.8365417579438939E-2</c:v>
                </c:pt>
                <c:pt idx="224">
                  <c:v>0.21945377220379547</c:v>
                </c:pt>
                <c:pt idx="225">
                  <c:v>9.7256929007565024E-2</c:v>
                </c:pt>
                <c:pt idx="226">
                  <c:v>0.26389622578318461</c:v>
                </c:pt>
                <c:pt idx="227">
                  <c:v>0.39745609999211035</c:v>
                </c:pt>
                <c:pt idx="228">
                  <c:v>0.32284357587550855</c:v>
                </c:pt>
                <c:pt idx="229">
                  <c:v>0.36917502335176011</c:v>
                </c:pt>
                <c:pt idx="230">
                  <c:v>0.24152255194959263</c:v>
                </c:pt>
                <c:pt idx="231">
                  <c:v>0.16422395726416117</c:v>
                </c:pt>
                <c:pt idx="232">
                  <c:v>0.37815511890561276</c:v>
                </c:pt>
                <c:pt idx="233">
                  <c:v>0.16777223126268553</c:v>
                </c:pt>
                <c:pt idx="234">
                  <c:v>6.1089919903495792E-2</c:v>
                </c:pt>
                <c:pt idx="235">
                  <c:v>0.39694980783498646</c:v>
                </c:pt>
                <c:pt idx="236">
                  <c:v>9.2767841818787652E-2</c:v>
                </c:pt>
                <c:pt idx="237">
                  <c:v>0.395835383432938</c:v>
                </c:pt>
                <c:pt idx="238">
                  <c:v>0.39719468040592404</c:v>
                </c:pt>
                <c:pt idx="239">
                  <c:v>0.39012493828279954</c:v>
                </c:pt>
                <c:pt idx="240">
                  <c:v>1.3049045190908921E-2</c:v>
                </c:pt>
                <c:pt idx="241">
                  <c:v>0.30187029849589248</c:v>
                </c:pt>
                <c:pt idx="242">
                  <c:v>0.38036144390739907</c:v>
                </c:pt>
                <c:pt idx="243">
                  <c:v>0.37079959050621414</c:v>
                </c:pt>
                <c:pt idx="244">
                  <c:v>9.5520955093650023E-2</c:v>
                </c:pt>
                <c:pt idx="245">
                  <c:v>0.39847424074598681</c:v>
                </c:pt>
                <c:pt idx="246">
                  <c:v>0.13680309706783397</c:v>
                </c:pt>
                <c:pt idx="247">
                  <c:v>0.37038348776840174</c:v>
                </c:pt>
                <c:pt idx="248">
                  <c:v>0.11535967657396452</c:v>
                </c:pt>
                <c:pt idx="249">
                  <c:v>5.8933388169572332E-2</c:v>
                </c:pt>
                <c:pt idx="250">
                  <c:v>0.39159996211672288</c:v>
                </c:pt>
                <c:pt idx="251">
                  <c:v>0.37421948254438486</c:v>
                </c:pt>
                <c:pt idx="252">
                  <c:v>2.2755192208043562E-2</c:v>
                </c:pt>
                <c:pt idx="253">
                  <c:v>0.31808985454526056</c:v>
                </c:pt>
                <c:pt idx="254">
                  <c:v>0.24635622656017378</c:v>
                </c:pt>
                <c:pt idx="255">
                  <c:v>0.39831162674957654</c:v>
                </c:pt>
                <c:pt idx="256">
                  <c:v>0.39782373875777116</c:v>
                </c:pt>
                <c:pt idx="257">
                  <c:v>0.32662142626314339</c:v>
                </c:pt>
                <c:pt idx="258">
                  <c:v>0.39893747697237186</c:v>
                </c:pt>
                <c:pt idx="259">
                  <c:v>0.36879029098716193</c:v>
                </c:pt>
                <c:pt idx="260">
                  <c:v>0.35394440669950966</c:v>
                </c:pt>
                <c:pt idx="261">
                  <c:v>0.3975411979524206</c:v>
                </c:pt>
                <c:pt idx="262">
                  <c:v>0.37032944403638957</c:v>
                </c:pt>
                <c:pt idx="263">
                  <c:v>0.3144134775153189</c:v>
                </c:pt>
                <c:pt idx="264">
                  <c:v>0.22165828195115661</c:v>
                </c:pt>
                <c:pt idx="265">
                  <c:v>0.3194447591824548</c:v>
                </c:pt>
                <c:pt idx="266">
                  <c:v>0.2930818682700384</c:v>
                </c:pt>
                <c:pt idx="267">
                  <c:v>0.38692582073422876</c:v>
                </c:pt>
                <c:pt idx="268">
                  <c:v>2.4220338986448795E-2</c:v>
                </c:pt>
                <c:pt idx="269">
                  <c:v>0.2149529336664161</c:v>
                </c:pt>
                <c:pt idx="270">
                  <c:v>0.25585025875264678</c:v>
                </c:pt>
                <c:pt idx="271">
                  <c:v>4.7030848523015506E-2</c:v>
                </c:pt>
                <c:pt idx="272">
                  <c:v>0.25358960799745661</c:v>
                </c:pt>
                <c:pt idx="273">
                  <c:v>0.17148532997907392</c:v>
                </c:pt>
                <c:pt idx="274">
                  <c:v>0.3988248655526262</c:v>
                </c:pt>
                <c:pt idx="275">
                  <c:v>0.39684062837752626</c:v>
                </c:pt>
                <c:pt idx="276">
                  <c:v>0.18211371529242698</c:v>
                </c:pt>
                <c:pt idx="277">
                  <c:v>3.1731285062581882E-2</c:v>
                </c:pt>
                <c:pt idx="278">
                  <c:v>9.9585647742247388E-2</c:v>
                </c:pt>
                <c:pt idx="279">
                  <c:v>0.10351957743708345</c:v>
                </c:pt>
                <c:pt idx="280">
                  <c:v>0.26174763484831026</c:v>
                </c:pt>
                <c:pt idx="281">
                  <c:v>0.3979405372931375</c:v>
                </c:pt>
                <c:pt idx="282">
                  <c:v>4.497800486208163E-2</c:v>
                </c:pt>
                <c:pt idx="283">
                  <c:v>0.39540647467903933</c:v>
                </c:pt>
                <c:pt idx="284">
                  <c:v>0.39470006394972551</c:v>
                </c:pt>
                <c:pt idx="285">
                  <c:v>0.2751092076745002</c:v>
                </c:pt>
                <c:pt idx="286">
                  <c:v>0.21872879827522171</c:v>
                </c:pt>
                <c:pt idx="287">
                  <c:v>9.046550480351058E-2</c:v>
                </c:pt>
                <c:pt idx="288">
                  <c:v>0.23777347427195442</c:v>
                </c:pt>
                <c:pt idx="289">
                  <c:v>0.34622509511532762</c:v>
                </c:pt>
                <c:pt idx="290">
                  <c:v>0.39885479014258785</c:v>
                </c:pt>
                <c:pt idx="291">
                  <c:v>0.29538873943871985</c:v>
                </c:pt>
                <c:pt idx="292">
                  <c:v>0.1265026871139022</c:v>
                </c:pt>
                <c:pt idx="293">
                  <c:v>0.19922506097364986</c:v>
                </c:pt>
                <c:pt idx="294">
                  <c:v>0.23098849521580517</c:v>
                </c:pt>
                <c:pt idx="295">
                  <c:v>0.28231073198425066</c:v>
                </c:pt>
                <c:pt idx="296">
                  <c:v>0.29955987899782432</c:v>
                </c:pt>
                <c:pt idx="297">
                  <c:v>0.13859195143072003</c:v>
                </c:pt>
                <c:pt idx="298">
                  <c:v>0.10022524004790125</c:v>
                </c:pt>
                <c:pt idx="299">
                  <c:v>0.12309467398511043</c:v>
                </c:pt>
                <c:pt idx="300">
                  <c:v>0.25596155939052639</c:v>
                </c:pt>
                <c:pt idx="301">
                  <c:v>0.24876161356724313</c:v>
                </c:pt>
                <c:pt idx="302">
                  <c:v>0.23052200796783689</c:v>
                </c:pt>
                <c:pt idx="303">
                  <c:v>0.34721845302023113</c:v>
                </c:pt>
                <c:pt idx="304">
                  <c:v>0.16400795339601867</c:v>
                </c:pt>
                <c:pt idx="305">
                  <c:v>6.1499190963958325E-2</c:v>
                </c:pt>
                <c:pt idx="306">
                  <c:v>0.39594794918592791</c:v>
                </c:pt>
                <c:pt idx="307">
                  <c:v>0.14651820920956793</c:v>
                </c:pt>
                <c:pt idx="308">
                  <c:v>0.39825756181931804</c:v>
                </c:pt>
                <c:pt idx="309">
                  <c:v>0.31830351786839212</c:v>
                </c:pt>
                <c:pt idx="310">
                  <c:v>0.20704048941448328</c:v>
                </c:pt>
                <c:pt idx="311">
                  <c:v>0.25534444996306876</c:v>
                </c:pt>
                <c:pt idx="312">
                  <c:v>0.39341568410486566</c:v>
                </c:pt>
                <c:pt idx="313">
                  <c:v>3.6738021610878767E-2</c:v>
                </c:pt>
                <c:pt idx="314">
                  <c:v>0.19969910248875081</c:v>
                </c:pt>
                <c:pt idx="315">
                  <c:v>0.38061373040344137</c:v>
                </c:pt>
                <c:pt idx="316">
                  <c:v>0.29949708645776157</c:v>
                </c:pt>
                <c:pt idx="317">
                  <c:v>0.29263922296021</c:v>
                </c:pt>
                <c:pt idx="318">
                  <c:v>0.35991919263786532</c:v>
                </c:pt>
                <c:pt idx="319">
                  <c:v>0.36307455405605421</c:v>
                </c:pt>
                <c:pt idx="320">
                  <c:v>6.5421585063186877E-2</c:v>
                </c:pt>
                <c:pt idx="321">
                  <c:v>0.31856594786761017</c:v>
                </c:pt>
                <c:pt idx="322">
                  <c:v>0.34328933641215947</c:v>
                </c:pt>
                <c:pt idx="323">
                  <c:v>0.38665337659744137</c:v>
                </c:pt>
                <c:pt idx="324">
                  <c:v>0.31935902644380065</c:v>
                </c:pt>
                <c:pt idx="325">
                  <c:v>0.26626598624419956</c:v>
                </c:pt>
                <c:pt idx="326">
                  <c:v>0.36357089688696681</c:v>
                </c:pt>
                <c:pt idx="327">
                  <c:v>0.29531537252751366</c:v>
                </c:pt>
                <c:pt idx="328">
                  <c:v>0.3762881906916225</c:v>
                </c:pt>
                <c:pt idx="329">
                  <c:v>0.39832651128440288</c:v>
                </c:pt>
                <c:pt idx="330">
                  <c:v>0.36893075590767294</c:v>
                </c:pt>
                <c:pt idx="331">
                  <c:v>6.5771772784019453E-2</c:v>
                </c:pt>
                <c:pt idx="332">
                  <c:v>0.32541461825276269</c:v>
                </c:pt>
                <c:pt idx="333">
                  <c:v>8.2745557074872397E-2</c:v>
                </c:pt>
                <c:pt idx="334">
                  <c:v>0.36184492012930558</c:v>
                </c:pt>
                <c:pt idx="335">
                  <c:v>0.28602205246226664</c:v>
                </c:pt>
                <c:pt idx="336">
                  <c:v>0.37270131826314268</c:v>
                </c:pt>
                <c:pt idx="337">
                  <c:v>0.39154892920244394</c:v>
                </c:pt>
                <c:pt idx="338">
                  <c:v>0.25442871849393572</c:v>
                </c:pt>
                <c:pt idx="339">
                  <c:v>0.36154980855878482</c:v>
                </c:pt>
                <c:pt idx="340">
                  <c:v>0.39571255567639957</c:v>
                </c:pt>
                <c:pt idx="341">
                  <c:v>0.16075777457936152</c:v>
                </c:pt>
                <c:pt idx="342">
                  <c:v>0.37554788368960251</c:v>
                </c:pt>
                <c:pt idx="343">
                  <c:v>0.38308118973018129</c:v>
                </c:pt>
                <c:pt idx="344">
                  <c:v>0.33279434946336872</c:v>
                </c:pt>
                <c:pt idx="345">
                  <c:v>0.21852399805813003</c:v>
                </c:pt>
                <c:pt idx="346">
                  <c:v>0.34722609349687678</c:v>
                </c:pt>
                <c:pt idx="347">
                  <c:v>0.39404837801724002</c:v>
                </c:pt>
                <c:pt idx="348">
                  <c:v>0.3295597174777109</c:v>
                </c:pt>
                <c:pt idx="349">
                  <c:v>0.37398111202993384</c:v>
                </c:pt>
                <c:pt idx="350">
                  <c:v>0.39506148106467154</c:v>
                </c:pt>
                <c:pt idx="351">
                  <c:v>0.27365836233802554</c:v>
                </c:pt>
                <c:pt idx="352">
                  <c:v>0.15030206499318607</c:v>
                </c:pt>
                <c:pt idx="353">
                  <c:v>5.3618633468045393E-2</c:v>
                </c:pt>
                <c:pt idx="354">
                  <c:v>0.31775557588794467</c:v>
                </c:pt>
                <c:pt idx="355">
                  <c:v>0.39830359834510498</c:v>
                </c:pt>
                <c:pt idx="356">
                  <c:v>0.37862619983427021</c:v>
                </c:pt>
                <c:pt idx="357">
                  <c:v>0.21184247230362271</c:v>
                </c:pt>
                <c:pt idx="358">
                  <c:v>0.17814557706049863</c:v>
                </c:pt>
                <c:pt idx="359">
                  <c:v>0.31691525181067054</c:v>
                </c:pt>
                <c:pt idx="360">
                  <c:v>0.3607116395181017</c:v>
                </c:pt>
                <c:pt idx="361">
                  <c:v>0.10759644245296829</c:v>
                </c:pt>
                <c:pt idx="362">
                  <c:v>0.39309493491976355</c:v>
                </c:pt>
                <c:pt idx="363">
                  <c:v>0.37288798236735254</c:v>
                </c:pt>
                <c:pt idx="364">
                  <c:v>0.39635949777462309</c:v>
                </c:pt>
                <c:pt idx="365">
                  <c:v>6.9365562167330109E-3</c:v>
                </c:pt>
                <c:pt idx="366">
                  <c:v>0.30940474543050955</c:v>
                </c:pt>
                <c:pt idx="367">
                  <c:v>0.39136299639190164</c:v>
                </c:pt>
                <c:pt idx="368">
                  <c:v>0.32871856269824756</c:v>
                </c:pt>
                <c:pt idx="369">
                  <c:v>0.31010613259337527</c:v>
                </c:pt>
                <c:pt idx="370">
                  <c:v>0.38513393109603017</c:v>
                </c:pt>
                <c:pt idx="371">
                  <c:v>0.39384609349040239</c:v>
                </c:pt>
                <c:pt idx="372">
                  <c:v>0.34162379702464862</c:v>
                </c:pt>
                <c:pt idx="373">
                  <c:v>0.11342660857839117</c:v>
                </c:pt>
                <c:pt idx="374">
                  <c:v>4.4695361300608701E-2</c:v>
                </c:pt>
                <c:pt idx="375">
                  <c:v>3.0717081181196003E-2</c:v>
                </c:pt>
                <c:pt idx="376">
                  <c:v>0.32809562839476825</c:v>
                </c:pt>
                <c:pt idx="377">
                  <c:v>0.19445146717257022</c:v>
                </c:pt>
                <c:pt idx="378">
                  <c:v>0.33391207025071196</c:v>
                </c:pt>
                <c:pt idx="379">
                  <c:v>0.29377621983280561</c:v>
                </c:pt>
                <c:pt idx="380">
                  <c:v>0.36025483002063097</c:v>
                </c:pt>
                <c:pt idx="381">
                  <c:v>0.3625544687167907</c:v>
                </c:pt>
                <c:pt idx="382">
                  <c:v>0.3312284589439215</c:v>
                </c:pt>
                <c:pt idx="383">
                  <c:v>0.34365942054225457</c:v>
                </c:pt>
                <c:pt idx="384">
                  <c:v>0.39043831824253616</c:v>
                </c:pt>
                <c:pt idx="385">
                  <c:v>0.32777303787346568</c:v>
                </c:pt>
                <c:pt idx="386">
                  <c:v>0.3446381437258807</c:v>
                </c:pt>
                <c:pt idx="387">
                  <c:v>0.17024771368197034</c:v>
                </c:pt>
                <c:pt idx="388">
                  <c:v>0.39465006358376292</c:v>
                </c:pt>
                <c:pt idx="389">
                  <c:v>0.10525875245177668</c:v>
                </c:pt>
                <c:pt idx="390">
                  <c:v>0.21973965123267553</c:v>
                </c:pt>
                <c:pt idx="391">
                  <c:v>0.27438498859996879</c:v>
                </c:pt>
                <c:pt idx="392">
                  <c:v>0.38888507962043228</c:v>
                </c:pt>
                <c:pt idx="393">
                  <c:v>0.23396829135813832</c:v>
                </c:pt>
                <c:pt idx="394">
                  <c:v>0.3447700669901968</c:v>
                </c:pt>
                <c:pt idx="395">
                  <c:v>5.3741481262048446E-2</c:v>
                </c:pt>
                <c:pt idx="396">
                  <c:v>0.20638728128699121</c:v>
                </c:pt>
                <c:pt idx="397">
                  <c:v>0.28271714415065619</c:v>
                </c:pt>
                <c:pt idx="398">
                  <c:v>0.15166970804952459</c:v>
                </c:pt>
                <c:pt idx="399">
                  <c:v>0.37997732512542082</c:v>
                </c:pt>
                <c:pt idx="400">
                  <c:v>7.6087867173743232E-2</c:v>
                </c:pt>
                <c:pt idx="401">
                  <c:v>0.18169544782221744</c:v>
                </c:pt>
                <c:pt idx="402">
                  <c:v>0.39817236283819579</c:v>
                </c:pt>
                <c:pt idx="403">
                  <c:v>0.28071585478970007</c:v>
                </c:pt>
                <c:pt idx="404">
                  <c:v>0.39712986020731578</c:v>
                </c:pt>
                <c:pt idx="405">
                  <c:v>0.12359626060001433</c:v>
                </c:pt>
                <c:pt idx="406">
                  <c:v>0.39891969850840975</c:v>
                </c:pt>
                <c:pt idx="407">
                  <c:v>0.10010576570829982</c:v>
                </c:pt>
                <c:pt idx="408">
                  <c:v>0.18320799337349489</c:v>
                </c:pt>
                <c:pt idx="409">
                  <c:v>0.39729478477996755</c:v>
                </c:pt>
                <c:pt idx="410">
                  <c:v>9.798569220429456E-3</c:v>
                </c:pt>
                <c:pt idx="411">
                  <c:v>0.39854595148566152</c:v>
                </c:pt>
                <c:pt idx="412">
                  <c:v>0.26486933100165266</c:v>
                </c:pt>
                <c:pt idx="413">
                  <c:v>0.38547182608772157</c:v>
                </c:pt>
                <c:pt idx="414">
                  <c:v>0.38768106408494013</c:v>
                </c:pt>
                <c:pt idx="415">
                  <c:v>0.32579941075070862</c:v>
                </c:pt>
                <c:pt idx="416">
                  <c:v>3.9221530891898032E-2</c:v>
                </c:pt>
                <c:pt idx="417">
                  <c:v>0.38786878571824862</c:v>
                </c:pt>
                <c:pt idx="418">
                  <c:v>0.33093665939732564</c:v>
                </c:pt>
                <c:pt idx="419">
                  <c:v>0.28608931827166223</c:v>
                </c:pt>
                <c:pt idx="420">
                  <c:v>0.31179524264308489</c:v>
                </c:pt>
                <c:pt idx="421">
                  <c:v>0.23755562709254921</c:v>
                </c:pt>
                <c:pt idx="422">
                  <c:v>0.33025728800279741</c:v>
                </c:pt>
                <c:pt idx="423">
                  <c:v>0.35510515706969537</c:v>
                </c:pt>
                <c:pt idx="424">
                  <c:v>0.39671124776494171</c:v>
                </c:pt>
                <c:pt idx="425">
                  <c:v>6.2215373348849037E-2</c:v>
                </c:pt>
                <c:pt idx="426">
                  <c:v>0.12107104829725203</c:v>
                </c:pt>
                <c:pt idx="427">
                  <c:v>0.34446245336817283</c:v>
                </c:pt>
                <c:pt idx="428">
                  <c:v>0.39701092970478208</c:v>
                </c:pt>
                <c:pt idx="429">
                  <c:v>0.34594615721894678</c:v>
                </c:pt>
                <c:pt idx="430">
                  <c:v>0.37695572229979829</c:v>
                </c:pt>
                <c:pt idx="431">
                  <c:v>0.39881902260204466</c:v>
                </c:pt>
                <c:pt idx="432">
                  <c:v>0.11279148769349237</c:v>
                </c:pt>
                <c:pt idx="433">
                  <c:v>0.13791480022014188</c:v>
                </c:pt>
                <c:pt idx="434">
                  <c:v>0.34454066426123359</c:v>
                </c:pt>
                <c:pt idx="435">
                  <c:v>0.32646099214838059</c:v>
                </c:pt>
                <c:pt idx="436">
                  <c:v>0.24644134629298839</c:v>
                </c:pt>
                <c:pt idx="437">
                  <c:v>0.21751234130384539</c:v>
                </c:pt>
                <c:pt idx="438">
                  <c:v>2.2925503141226607E-2</c:v>
                </c:pt>
                <c:pt idx="439">
                  <c:v>0.39019267549415426</c:v>
                </c:pt>
                <c:pt idx="440">
                  <c:v>0.32362928588965928</c:v>
                </c:pt>
                <c:pt idx="441">
                  <c:v>0.39877597358492672</c:v>
                </c:pt>
                <c:pt idx="442">
                  <c:v>6.393120348304604E-2</c:v>
                </c:pt>
                <c:pt idx="443">
                  <c:v>5.2790709350108912E-2</c:v>
                </c:pt>
                <c:pt idx="444">
                  <c:v>0.38505225839725832</c:v>
                </c:pt>
                <c:pt idx="445">
                  <c:v>0.28686671028453103</c:v>
                </c:pt>
                <c:pt idx="446">
                  <c:v>0.39890134482078698</c:v>
                </c:pt>
                <c:pt idx="447">
                  <c:v>0.20492728680199868</c:v>
                </c:pt>
                <c:pt idx="448">
                  <c:v>0.39411400344801839</c:v>
                </c:pt>
                <c:pt idx="449">
                  <c:v>0.36413451621882936</c:v>
                </c:pt>
                <c:pt idx="450">
                  <c:v>0.26460907810836298</c:v>
                </c:pt>
                <c:pt idx="451">
                  <c:v>7.0364734941045323E-2</c:v>
                </c:pt>
                <c:pt idx="452">
                  <c:v>0.33137363158511451</c:v>
                </c:pt>
                <c:pt idx="453">
                  <c:v>0.37138605357528076</c:v>
                </c:pt>
                <c:pt idx="454">
                  <c:v>0.23331459142103039</c:v>
                </c:pt>
                <c:pt idx="455">
                  <c:v>0.39033221234159399</c:v>
                </c:pt>
                <c:pt idx="456">
                  <c:v>0.39880265417666477</c:v>
                </c:pt>
                <c:pt idx="457">
                  <c:v>0.3586300513665816</c:v>
                </c:pt>
                <c:pt idx="458">
                  <c:v>0.33334386651698472</c:v>
                </c:pt>
                <c:pt idx="459">
                  <c:v>0.26608111855028649</c:v>
                </c:pt>
                <c:pt idx="460">
                  <c:v>0.29244610760380474</c:v>
                </c:pt>
                <c:pt idx="461">
                  <c:v>0.29766923842554915</c:v>
                </c:pt>
                <c:pt idx="462">
                  <c:v>0.26490944502625391</c:v>
                </c:pt>
                <c:pt idx="463">
                  <c:v>0.3956249038408422</c:v>
                </c:pt>
                <c:pt idx="464">
                  <c:v>0.10583672409994453</c:v>
                </c:pt>
                <c:pt idx="465">
                  <c:v>5.0050540105923969E-2</c:v>
                </c:pt>
                <c:pt idx="466">
                  <c:v>0.38746553221475516</c:v>
                </c:pt>
                <c:pt idx="467">
                  <c:v>0.23062592628532455</c:v>
                </c:pt>
                <c:pt idx="468">
                  <c:v>0.32119826181171379</c:v>
                </c:pt>
                <c:pt idx="469">
                  <c:v>0.36073982507797231</c:v>
                </c:pt>
                <c:pt idx="470">
                  <c:v>0.39836492599409878</c:v>
                </c:pt>
                <c:pt idx="471">
                  <c:v>0.32821164846486572</c:v>
                </c:pt>
                <c:pt idx="472">
                  <c:v>0.34023856238420208</c:v>
                </c:pt>
                <c:pt idx="473">
                  <c:v>0.14119598557096372</c:v>
                </c:pt>
                <c:pt idx="474">
                  <c:v>0.20235238818142365</c:v>
                </c:pt>
                <c:pt idx="475">
                  <c:v>0.22904885705697073</c:v>
                </c:pt>
                <c:pt idx="476">
                  <c:v>0.29127106512599943</c:v>
                </c:pt>
                <c:pt idx="477">
                  <c:v>0.30409042716168438</c:v>
                </c:pt>
                <c:pt idx="478">
                  <c:v>0.34772256080910924</c:v>
                </c:pt>
                <c:pt idx="479">
                  <c:v>0.22045561457486604</c:v>
                </c:pt>
                <c:pt idx="480">
                  <c:v>0.2560838587735238</c:v>
                </c:pt>
                <c:pt idx="481">
                  <c:v>0.1510699534824132</c:v>
                </c:pt>
                <c:pt idx="482">
                  <c:v>0.38959231530720756</c:v>
                </c:pt>
                <c:pt idx="483">
                  <c:v>0.22003679056586217</c:v>
                </c:pt>
                <c:pt idx="484">
                  <c:v>0.20235831686819383</c:v>
                </c:pt>
                <c:pt idx="485">
                  <c:v>0.13665782444562305</c:v>
                </c:pt>
                <c:pt idx="486">
                  <c:v>0.22080083663946651</c:v>
                </c:pt>
                <c:pt idx="487">
                  <c:v>0.38985658117556221</c:v>
                </c:pt>
                <c:pt idx="488">
                  <c:v>0.29915846781282635</c:v>
                </c:pt>
                <c:pt idx="489">
                  <c:v>4.2643476111611345E-2</c:v>
                </c:pt>
                <c:pt idx="490">
                  <c:v>0.344974342225358</c:v>
                </c:pt>
                <c:pt idx="491">
                  <c:v>0.16156177646617415</c:v>
                </c:pt>
                <c:pt idx="492">
                  <c:v>0.25447843059200009</c:v>
                </c:pt>
                <c:pt idx="493">
                  <c:v>0.39884895509206686</c:v>
                </c:pt>
                <c:pt idx="494">
                  <c:v>0.39892845438497404</c:v>
                </c:pt>
                <c:pt idx="495">
                  <c:v>0.28376880078879496</c:v>
                </c:pt>
                <c:pt idx="496">
                  <c:v>0.27743191867081007</c:v>
                </c:pt>
                <c:pt idx="497">
                  <c:v>0.28582206459900905</c:v>
                </c:pt>
                <c:pt idx="498">
                  <c:v>8.5144889918507757E-2</c:v>
                </c:pt>
                <c:pt idx="499">
                  <c:v>0.39186842023076507</c:v>
                </c:pt>
                <c:pt idx="500">
                  <c:v>0.26004248728336549</c:v>
                </c:pt>
                <c:pt idx="501">
                  <c:v>0.10739773560734552</c:v>
                </c:pt>
                <c:pt idx="502">
                  <c:v>0.26508932059802648</c:v>
                </c:pt>
                <c:pt idx="503">
                  <c:v>0.39409649344897568</c:v>
                </c:pt>
                <c:pt idx="504">
                  <c:v>0.39885995685315384</c:v>
                </c:pt>
                <c:pt idx="505">
                  <c:v>3.3224287223716675E-2</c:v>
                </c:pt>
                <c:pt idx="506">
                  <c:v>0.31397520116340621</c:v>
                </c:pt>
                <c:pt idx="507">
                  <c:v>0.29048370300862214</c:v>
                </c:pt>
                <c:pt idx="508">
                  <c:v>0.37138338247804009</c:v>
                </c:pt>
                <c:pt idx="509">
                  <c:v>0.31426395993193051</c:v>
                </c:pt>
                <c:pt idx="510">
                  <c:v>0.38802160834289406</c:v>
                </c:pt>
                <c:pt idx="511">
                  <c:v>0.25953652095530549</c:v>
                </c:pt>
                <c:pt idx="512">
                  <c:v>0.2520708584129559</c:v>
                </c:pt>
                <c:pt idx="513">
                  <c:v>0.39726614680683653</c:v>
                </c:pt>
                <c:pt idx="514">
                  <c:v>0.35483648886621033</c:v>
                </c:pt>
                <c:pt idx="515">
                  <c:v>0.30164927190812163</c:v>
                </c:pt>
                <c:pt idx="516">
                  <c:v>0.39033627032420176</c:v>
                </c:pt>
                <c:pt idx="517">
                  <c:v>0.37712947978412575</c:v>
                </c:pt>
                <c:pt idx="518">
                  <c:v>0.28598649877998444</c:v>
                </c:pt>
                <c:pt idx="519">
                  <c:v>0.39320520791539643</c:v>
                </c:pt>
                <c:pt idx="520">
                  <c:v>0.15621525248779464</c:v>
                </c:pt>
                <c:pt idx="521">
                  <c:v>0.39350621428776877</c:v>
                </c:pt>
                <c:pt idx="522">
                  <c:v>0.17300725237670264</c:v>
                </c:pt>
                <c:pt idx="523">
                  <c:v>0.35384276490162758</c:v>
                </c:pt>
                <c:pt idx="524">
                  <c:v>0.16976467245936713</c:v>
                </c:pt>
                <c:pt idx="525">
                  <c:v>0.3901478331945511</c:v>
                </c:pt>
                <c:pt idx="526">
                  <c:v>0.28180724222658382</c:v>
                </c:pt>
                <c:pt idx="527">
                  <c:v>0.34471127397601209</c:v>
                </c:pt>
                <c:pt idx="528">
                  <c:v>2.5752991529880972E-2</c:v>
                </c:pt>
                <c:pt idx="529">
                  <c:v>7.616629416397365E-2</c:v>
                </c:pt>
                <c:pt idx="530">
                  <c:v>0.2532805765045289</c:v>
                </c:pt>
                <c:pt idx="531">
                  <c:v>0.38481621415151362</c:v>
                </c:pt>
                <c:pt idx="532">
                  <c:v>0.31410856663242243</c:v>
                </c:pt>
                <c:pt idx="533">
                  <c:v>0.37532172920927304</c:v>
                </c:pt>
                <c:pt idx="534">
                  <c:v>0.28794649769844066</c:v>
                </c:pt>
                <c:pt idx="535">
                  <c:v>0.12949976310689276</c:v>
                </c:pt>
                <c:pt idx="536">
                  <c:v>0.27278855229523091</c:v>
                </c:pt>
                <c:pt idx="537">
                  <c:v>0.27659111690574173</c:v>
                </c:pt>
                <c:pt idx="538">
                  <c:v>0.25447201439053158</c:v>
                </c:pt>
                <c:pt idx="539">
                  <c:v>5.4618466741337919E-2</c:v>
                </c:pt>
                <c:pt idx="540">
                  <c:v>0.39836475638594682</c:v>
                </c:pt>
                <c:pt idx="541">
                  <c:v>0.141904778021085</c:v>
                </c:pt>
                <c:pt idx="542">
                  <c:v>0.15064111869022453</c:v>
                </c:pt>
                <c:pt idx="543">
                  <c:v>0.39469179191352177</c:v>
                </c:pt>
                <c:pt idx="544">
                  <c:v>0.37879024634365094</c:v>
                </c:pt>
                <c:pt idx="545">
                  <c:v>9.9934006793703137E-2</c:v>
                </c:pt>
                <c:pt idx="546">
                  <c:v>9.2914735277597194E-2</c:v>
                </c:pt>
                <c:pt idx="547">
                  <c:v>0.39302307429090977</c:v>
                </c:pt>
                <c:pt idx="548">
                  <c:v>0.34654710175756165</c:v>
                </c:pt>
                <c:pt idx="549">
                  <c:v>0.3069986877221732</c:v>
                </c:pt>
                <c:pt idx="550">
                  <c:v>0.39287650398838481</c:v>
                </c:pt>
                <c:pt idx="551">
                  <c:v>0.16963840535278688</c:v>
                </c:pt>
                <c:pt idx="552">
                  <c:v>0.37828555212772269</c:v>
                </c:pt>
                <c:pt idx="553">
                  <c:v>0.33211739300547893</c:v>
                </c:pt>
                <c:pt idx="554">
                  <c:v>0.39253602350789385</c:v>
                </c:pt>
                <c:pt idx="555">
                  <c:v>0.34979930957620725</c:v>
                </c:pt>
                <c:pt idx="556">
                  <c:v>0.32353580452765046</c:v>
                </c:pt>
                <c:pt idx="557">
                  <c:v>0.3593266073309358</c:v>
                </c:pt>
                <c:pt idx="558">
                  <c:v>0.39712761218384812</c:v>
                </c:pt>
                <c:pt idx="559">
                  <c:v>0.21001549489195465</c:v>
                </c:pt>
                <c:pt idx="560">
                  <c:v>0.23605853802231458</c:v>
                </c:pt>
                <c:pt idx="561">
                  <c:v>0.30098482801840998</c:v>
                </c:pt>
                <c:pt idx="562">
                  <c:v>0.39894177656423851</c:v>
                </c:pt>
                <c:pt idx="563">
                  <c:v>0.11833366030808955</c:v>
                </c:pt>
                <c:pt idx="564">
                  <c:v>0.36925814783894145</c:v>
                </c:pt>
                <c:pt idx="565">
                  <c:v>0.39777429223909588</c:v>
                </c:pt>
                <c:pt idx="566">
                  <c:v>0.24118705212752833</c:v>
                </c:pt>
                <c:pt idx="567">
                  <c:v>0.24448315521331099</c:v>
                </c:pt>
                <c:pt idx="568">
                  <c:v>0.37197418859470316</c:v>
                </c:pt>
                <c:pt idx="569">
                  <c:v>3.9023660377919447E-2</c:v>
                </c:pt>
                <c:pt idx="570">
                  <c:v>0.33204966342478398</c:v>
                </c:pt>
                <c:pt idx="571">
                  <c:v>0.33840433844551671</c:v>
                </c:pt>
                <c:pt idx="572">
                  <c:v>0.36237777489659012</c:v>
                </c:pt>
                <c:pt idx="573">
                  <c:v>0.32895933405872874</c:v>
                </c:pt>
                <c:pt idx="574">
                  <c:v>0.29044993950449277</c:v>
                </c:pt>
                <c:pt idx="575">
                  <c:v>0.39894071887894544</c:v>
                </c:pt>
                <c:pt idx="576">
                  <c:v>0.39241100953748453</c:v>
                </c:pt>
                <c:pt idx="577">
                  <c:v>5.1581698978123963E-3</c:v>
                </c:pt>
                <c:pt idx="578">
                  <c:v>0.19498669419733297</c:v>
                </c:pt>
                <c:pt idx="579">
                  <c:v>3.7611242334332454E-2</c:v>
                </c:pt>
                <c:pt idx="580">
                  <c:v>1.3909637319557506E-2</c:v>
                </c:pt>
                <c:pt idx="581">
                  <c:v>8.0034853952773072E-2</c:v>
                </c:pt>
                <c:pt idx="582">
                  <c:v>0.3906681023811181</c:v>
                </c:pt>
                <c:pt idx="583">
                  <c:v>0.38223291945393501</c:v>
                </c:pt>
                <c:pt idx="584">
                  <c:v>0.3462837046480865</c:v>
                </c:pt>
                <c:pt idx="585">
                  <c:v>0.33107579579447272</c:v>
                </c:pt>
                <c:pt idx="586">
                  <c:v>0.3923395043236293</c:v>
                </c:pt>
                <c:pt idx="587">
                  <c:v>0.33945104775790041</c:v>
                </c:pt>
                <c:pt idx="588">
                  <c:v>0.23855141070158478</c:v>
                </c:pt>
                <c:pt idx="589">
                  <c:v>0.22080749237825781</c:v>
                </c:pt>
                <c:pt idx="590">
                  <c:v>0.21848451950984335</c:v>
                </c:pt>
                <c:pt idx="591">
                  <c:v>0.32219512515783894</c:v>
                </c:pt>
                <c:pt idx="592">
                  <c:v>0.20524673261872917</c:v>
                </c:pt>
                <c:pt idx="593">
                  <c:v>0.32425912210240432</c:v>
                </c:pt>
                <c:pt idx="594">
                  <c:v>0.35513704976670574</c:v>
                </c:pt>
                <c:pt idx="595">
                  <c:v>0.20225001043928939</c:v>
                </c:pt>
                <c:pt idx="596">
                  <c:v>0.16779673450178131</c:v>
                </c:pt>
                <c:pt idx="597">
                  <c:v>0.18960251196953806</c:v>
                </c:pt>
                <c:pt idx="598">
                  <c:v>0.32584622098770483</c:v>
                </c:pt>
                <c:pt idx="599">
                  <c:v>0.3630526669881628</c:v>
                </c:pt>
                <c:pt idx="600">
                  <c:v>0.12557981802087481</c:v>
                </c:pt>
                <c:pt idx="601">
                  <c:v>0.3325582901230501</c:v>
                </c:pt>
                <c:pt idx="602">
                  <c:v>0.19806275363984302</c:v>
                </c:pt>
                <c:pt idx="603">
                  <c:v>0.24216726718283821</c:v>
                </c:pt>
                <c:pt idx="604">
                  <c:v>0.3028703428554575</c:v>
                </c:pt>
                <c:pt idx="605">
                  <c:v>0.28756439617605956</c:v>
                </c:pt>
                <c:pt idx="606">
                  <c:v>0.3179280009496015</c:v>
                </c:pt>
                <c:pt idx="607">
                  <c:v>0.36670348917306073</c:v>
                </c:pt>
                <c:pt idx="608">
                  <c:v>0.31771614438952933</c:v>
                </c:pt>
                <c:pt idx="609">
                  <c:v>0.37944005301642164</c:v>
                </c:pt>
                <c:pt idx="610">
                  <c:v>0.35458854037800874</c:v>
                </c:pt>
                <c:pt idx="611">
                  <c:v>0.21588182271859863</c:v>
                </c:pt>
                <c:pt idx="612">
                  <c:v>0.38959054638468998</c:v>
                </c:pt>
                <c:pt idx="613">
                  <c:v>0.39851505520689223</c:v>
                </c:pt>
                <c:pt idx="614">
                  <c:v>0.33276741188732678</c:v>
                </c:pt>
                <c:pt idx="615">
                  <c:v>0.38153518025183475</c:v>
                </c:pt>
                <c:pt idx="616">
                  <c:v>0.39415232007944367</c:v>
                </c:pt>
                <c:pt idx="617">
                  <c:v>0.39894185280513089</c:v>
                </c:pt>
                <c:pt idx="618">
                  <c:v>0.39887682505782057</c:v>
                </c:pt>
                <c:pt idx="619">
                  <c:v>0.17300194833909321</c:v>
                </c:pt>
                <c:pt idx="620">
                  <c:v>8.3973495166710058E-2</c:v>
                </c:pt>
                <c:pt idx="621">
                  <c:v>0.10370564328516989</c:v>
                </c:pt>
                <c:pt idx="622">
                  <c:v>0.28167374108303184</c:v>
                </c:pt>
                <c:pt idx="623">
                  <c:v>8.8155524758254666E-2</c:v>
                </c:pt>
                <c:pt idx="624">
                  <c:v>0.33827586587676051</c:v>
                </c:pt>
                <c:pt idx="625">
                  <c:v>0.13518168025679417</c:v>
                </c:pt>
                <c:pt idx="626">
                  <c:v>0.37643462130522348</c:v>
                </c:pt>
                <c:pt idx="627">
                  <c:v>0.33414278343891451</c:v>
                </c:pt>
                <c:pt idx="628">
                  <c:v>0.34385035869420233</c:v>
                </c:pt>
                <c:pt idx="629">
                  <c:v>0.36046692673767905</c:v>
                </c:pt>
                <c:pt idx="630">
                  <c:v>0.27013125467440485</c:v>
                </c:pt>
                <c:pt idx="631">
                  <c:v>5.7727647685807383E-2</c:v>
                </c:pt>
                <c:pt idx="632">
                  <c:v>0.2695696586323359</c:v>
                </c:pt>
                <c:pt idx="633">
                  <c:v>0.24901054491541477</c:v>
                </c:pt>
                <c:pt idx="634">
                  <c:v>0.38136358970086143</c:v>
                </c:pt>
                <c:pt idx="635">
                  <c:v>0.1630390125134932</c:v>
                </c:pt>
                <c:pt idx="636">
                  <c:v>0.35397703460524266</c:v>
                </c:pt>
                <c:pt idx="637">
                  <c:v>0.2306915572754151</c:v>
                </c:pt>
                <c:pt idx="638">
                  <c:v>0.32250539347687307</c:v>
                </c:pt>
                <c:pt idx="639">
                  <c:v>0.35330035132691173</c:v>
                </c:pt>
                <c:pt idx="640">
                  <c:v>0.20437360371913407</c:v>
                </c:pt>
                <c:pt idx="641">
                  <c:v>0.34107374459255807</c:v>
                </c:pt>
                <c:pt idx="642">
                  <c:v>0.3983275344879984</c:v>
                </c:pt>
                <c:pt idx="643">
                  <c:v>0.28054618107021945</c:v>
                </c:pt>
                <c:pt idx="644">
                  <c:v>0.38621119369379425</c:v>
                </c:pt>
                <c:pt idx="645">
                  <c:v>1.1687401285388199E-2</c:v>
                </c:pt>
                <c:pt idx="646">
                  <c:v>0.35187997834368995</c:v>
                </c:pt>
                <c:pt idx="647">
                  <c:v>0.12585872798575132</c:v>
                </c:pt>
                <c:pt idx="648">
                  <c:v>0.31222278549372739</c:v>
                </c:pt>
                <c:pt idx="649">
                  <c:v>0.29478033149791333</c:v>
                </c:pt>
                <c:pt idx="650">
                  <c:v>0.3890785396134892</c:v>
                </c:pt>
                <c:pt idx="651">
                  <c:v>0.38367953338696786</c:v>
                </c:pt>
                <c:pt idx="652">
                  <c:v>0.34013189278757738</c:v>
                </c:pt>
                <c:pt idx="653">
                  <c:v>0.29900325385777549</c:v>
                </c:pt>
                <c:pt idx="654">
                  <c:v>0.34653359427818503</c:v>
                </c:pt>
                <c:pt idx="655">
                  <c:v>0.2874864490125934</c:v>
                </c:pt>
                <c:pt idx="656">
                  <c:v>0.36704344403350414</c:v>
                </c:pt>
                <c:pt idx="657">
                  <c:v>0.39305297787348437</c:v>
                </c:pt>
                <c:pt idx="658">
                  <c:v>4.4133103973726197E-2</c:v>
                </c:pt>
                <c:pt idx="659">
                  <c:v>0.35454005626857577</c:v>
                </c:pt>
                <c:pt idx="660">
                  <c:v>0.2007845968397825</c:v>
                </c:pt>
                <c:pt idx="661">
                  <c:v>0.22071670434042615</c:v>
                </c:pt>
                <c:pt idx="662">
                  <c:v>0.3774545971308757</c:v>
                </c:pt>
                <c:pt idx="663">
                  <c:v>0.38590056905114312</c:v>
                </c:pt>
                <c:pt idx="664">
                  <c:v>0.29404341739759082</c:v>
                </c:pt>
                <c:pt idx="665">
                  <c:v>0.38342433213788824</c:v>
                </c:pt>
                <c:pt idx="666">
                  <c:v>0.15105559564629853</c:v>
                </c:pt>
                <c:pt idx="667">
                  <c:v>0.25343952227206407</c:v>
                </c:pt>
                <c:pt idx="668">
                  <c:v>0.36661692035806481</c:v>
                </c:pt>
                <c:pt idx="669">
                  <c:v>0.21628934595662255</c:v>
                </c:pt>
                <c:pt idx="670">
                  <c:v>0.34012790484697658</c:v>
                </c:pt>
                <c:pt idx="671">
                  <c:v>3.7475086705565701E-2</c:v>
                </c:pt>
                <c:pt idx="672">
                  <c:v>0.34014780473379025</c:v>
                </c:pt>
                <c:pt idx="673">
                  <c:v>5.7640833893580844E-2</c:v>
                </c:pt>
                <c:pt idx="674">
                  <c:v>0.37269768105543777</c:v>
                </c:pt>
                <c:pt idx="675">
                  <c:v>0.34267936661718368</c:v>
                </c:pt>
                <c:pt idx="676">
                  <c:v>0.34723758220186784</c:v>
                </c:pt>
                <c:pt idx="677">
                  <c:v>0.397614143588845</c:v>
                </c:pt>
                <c:pt idx="678">
                  <c:v>0.31745558436070348</c:v>
                </c:pt>
                <c:pt idx="679">
                  <c:v>0.27266293683201898</c:v>
                </c:pt>
                <c:pt idx="680">
                  <c:v>0.33917112783287096</c:v>
                </c:pt>
                <c:pt idx="681">
                  <c:v>0.38761794694816432</c:v>
                </c:pt>
                <c:pt idx="682">
                  <c:v>5.8674121323165483E-2</c:v>
                </c:pt>
                <c:pt idx="683">
                  <c:v>0.38376744693204079</c:v>
                </c:pt>
                <c:pt idx="684">
                  <c:v>0.37241145014817567</c:v>
                </c:pt>
                <c:pt idx="685">
                  <c:v>0.10380228653865847</c:v>
                </c:pt>
                <c:pt idx="686">
                  <c:v>0.27764414442228297</c:v>
                </c:pt>
                <c:pt idx="687">
                  <c:v>0.25181665058230251</c:v>
                </c:pt>
                <c:pt idx="688">
                  <c:v>0.39812047475393025</c:v>
                </c:pt>
                <c:pt idx="689">
                  <c:v>0.36565493240191127</c:v>
                </c:pt>
                <c:pt idx="690">
                  <c:v>0.39864457399462488</c:v>
                </c:pt>
                <c:pt idx="691">
                  <c:v>0.39584402070896496</c:v>
                </c:pt>
                <c:pt idx="692">
                  <c:v>0.39886781739791677</c:v>
                </c:pt>
                <c:pt idx="693">
                  <c:v>0.17966906172235839</c:v>
                </c:pt>
                <c:pt idx="694">
                  <c:v>0.39581199458907718</c:v>
                </c:pt>
                <c:pt idx="695">
                  <c:v>0.27943718897476111</c:v>
                </c:pt>
                <c:pt idx="696">
                  <c:v>0.33957848207057673</c:v>
                </c:pt>
                <c:pt idx="697">
                  <c:v>0.16705988257192966</c:v>
                </c:pt>
                <c:pt idx="698">
                  <c:v>0.39251427077375001</c:v>
                </c:pt>
                <c:pt idx="699">
                  <c:v>0.3853967673019269</c:v>
                </c:pt>
                <c:pt idx="700">
                  <c:v>0.39511593115661359</c:v>
                </c:pt>
                <c:pt idx="701">
                  <c:v>0.39589898776890675</c:v>
                </c:pt>
                <c:pt idx="702">
                  <c:v>0.26612590588083213</c:v>
                </c:pt>
                <c:pt idx="703">
                  <c:v>0.26472063845931038</c:v>
                </c:pt>
                <c:pt idx="704">
                  <c:v>0.33373965255210458</c:v>
                </c:pt>
                <c:pt idx="705">
                  <c:v>0.10864409029988426</c:v>
                </c:pt>
                <c:pt idx="706">
                  <c:v>0.29657171753283595</c:v>
                </c:pt>
                <c:pt idx="707">
                  <c:v>0.38543690102209194</c:v>
                </c:pt>
                <c:pt idx="708">
                  <c:v>0.1567222152134152</c:v>
                </c:pt>
                <c:pt idx="709">
                  <c:v>1.660536809547106E-2</c:v>
                </c:pt>
                <c:pt idx="710">
                  <c:v>0.23717983644099236</c:v>
                </c:pt>
                <c:pt idx="711">
                  <c:v>4.1783224756042479E-2</c:v>
                </c:pt>
                <c:pt idx="712">
                  <c:v>0.33300527474493158</c:v>
                </c:pt>
                <c:pt idx="713">
                  <c:v>0.24045614683157801</c:v>
                </c:pt>
                <c:pt idx="714">
                  <c:v>0.34235118234877315</c:v>
                </c:pt>
                <c:pt idx="715">
                  <c:v>0.14529144207302902</c:v>
                </c:pt>
                <c:pt idx="716">
                  <c:v>0.30671195206734853</c:v>
                </c:pt>
                <c:pt idx="717">
                  <c:v>0.253698091994421</c:v>
                </c:pt>
                <c:pt idx="718">
                  <c:v>0.13353902121667069</c:v>
                </c:pt>
                <c:pt idx="719">
                  <c:v>0.39893513674303083</c:v>
                </c:pt>
                <c:pt idx="720">
                  <c:v>0.3547680156473742</c:v>
                </c:pt>
                <c:pt idx="721">
                  <c:v>0.35664947911265055</c:v>
                </c:pt>
                <c:pt idx="722">
                  <c:v>0.20673077480620372</c:v>
                </c:pt>
                <c:pt idx="723">
                  <c:v>0.38164240631414736</c:v>
                </c:pt>
                <c:pt idx="724">
                  <c:v>0.3984932447832642</c:v>
                </c:pt>
                <c:pt idx="725">
                  <c:v>0.37114614443647792</c:v>
                </c:pt>
                <c:pt idx="726">
                  <c:v>0.17056070680840063</c:v>
                </c:pt>
                <c:pt idx="727">
                  <c:v>0.39582300385766894</c:v>
                </c:pt>
                <c:pt idx="728">
                  <c:v>0.26928870300775393</c:v>
                </c:pt>
                <c:pt idx="729">
                  <c:v>0.11730036703576932</c:v>
                </c:pt>
                <c:pt idx="730">
                  <c:v>0.36588097712644085</c:v>
                </c:pt>
                <c:pt idx="731">
                  <c:v>0.34601640824903829</c:v>
                </c:pt>
                <c:pt idx="732">
                  <c:v>0.34701957596492539</c:v>
                </c:pt>
                <c:pt idx="733">
                  <c:v>0.35303804816841589</c:v>
                </c:pt>
                <c:pt idx="734">
                  <c:v>4.4777323026998786E-2</c:v>
                </c:pt>
                <c:pt idx="735">
                  <c:v>0.39723737586910446</c:v>
                </c:pt>
                <c:pt idx="736">
                  <c:v>2.9328845406164841E-2</c:v>
                </c:pt>
                <c:pt idx="737">
                  <c:v>0.39841477929918512</c:v>
                </c:pt>
                <c:pt idx="738">
                  <c:v>0.32780164574269105</c:v>
                </c:pt>
                <c:pt idx="739">
                  <c:v>0.17847354704645271</c:v>
                </c:pt>
                <c:pt idx="740">
                  <c:v>0.36021253546654364</c:v>
                </c:pt>
                <c:pt idx="741">
                  <c:v>0.37304546327471894</c:v>
                </c:pt>
                <c:pt idx="742">
                  <c:v>0.17904367014285477</c:v>
                </c:pt>
                <c:pt idx="743">
                  <c:v>0.27116522695670747</c:v>
                </c:pt>
                <c:pt idx="744">
                  <c:v>0.20251421345002737</c:v>
                </c:pt>
                <c:pt idx="745">
                  <c:v>0.33348706330047589</c:v>
                </c:pt>
                <c:pt idx="746">
                  <c:v>0.21432155323973465</c:v>
                </c:pt>
                <c:pt idx="747">
                  <c:v>6.4959412848492284E-2</c:v>
                </c:pt>
                <c:pt idx="748">
                  <c:v>0.36821409903469132</c:v>
                </c:pt>
                <c:pt idx="749">
                  <c:v>0.39775760347019801</c:v>
                </c:pt>
                <c:pt idx="750">
                  <c:v>0.226160542207544</c:v>
                </c:pt>
                <c:pt idx="751">
                  <c:v>0.39876761933819976</c:v>
                </c:pt>
                <c:pt idx="752">
                  <c:v>0.39611571828020981</c:v>
                </c:pt>
                <c:pt idx="753">
                  <c:v>0.22733573279739616</c:v>
                </c:pt>
                <c:pt idx="754">
                  <c:v>0.10300988250169418</c:v>
                </c:pt>
                <c:pt idx="755">
                  <c:v>0.33843687833890623</c:v>
                </c:pt>
                <c:pt idx="756">
                  <c:v>0.3914985730340817</c:v>
                </c:pt>
                <c:pt idx="757">
                  <c:v>0.16074590100446876</c:v>
                </c:pt>
                <c:pt idx="758">
                  <c:v>0.17363140217388121</c:v>
                </c:pt>
                <c:pt idx="759">
                  <c:v>0.22073446003299868</c:v>
                </c:pt>
                <c:pt idx="760">
                  <c:v>0.39876032646981618</c:v>
                </c:pt>
                <c:pt idx="761">
                  <c:v>0.23648375316061107</c:v>
                </c:pt>
                <c:pt idx="762">
                  <c:v>0.31884268372121266</c:v>
                </c:pt>
                <c:pt idx="763">
                  <c:v>8.6785827768266696E-2</c:v>
                </c:pt>
                <c:pt idx="764">
                  <c:v>0.34363554127848395</c:v>
                </c:pt>
                <c:pt idx="765">
                  <c:v>0.35166063068975023</c:v>
                </c:pt>
                <c:pt idx="766">
                  <c:v>0.29886881023971801</c:v>
                </c:pt>
                <c:pt idx="767">
                  <c:v>0.35501155404472268</c:v>
                </c:pt>
                <c:pt idx="768">
                  <c:v>1.7951211992929227E-2</c:v>
                </c:pt>
                <c:pt idx="769">
                  <c:v>0.39416025925457943</c:v>
                </c:pt>
                <c:pt idx="770">
                  <c:v>0.30825842025853251</c:v>
                </c:pt>
                <c:pt idx="771">
                  <c:v>0.39821636869154081</c:v>
                </c:pt>
                <c:pt idx="772">
                  <c:v>0.37228892392920138</c:v>
                </c:pt>
                <c:pt idx="773">
                  <c:v>0.39554047678230697</c:v>
                </c:pt>
                <c:pt idx="774">
                  <c:v>0.25133838676185782</c:v>
                </c:pt>
                <c:pt idx="775">
                  <c:v>0.1105483729051434</c:v>
                </c:pt>
                <c:pt idx="776">
                  <c:v>0.3781500583528688</c:v>
                </c:pt>
                <c:pt idx="777">
                  <c:v>0.15118444228126143</c:v>
                </c:pt>
                <c:pt idx="778">
                  <c:v>0.30285210628022408</c:v>
                </c:pt>
                <c:pt idx="779">
                  <c:v>0.3753685023654863</c:v>
                </c:pt>
                <c:pt idx="780">
                  <c:v>0.39222836279794171</c:v>
                </c:pt>
                <c:pt idx="781">
                  <c:v>0.39686766898587506</c:v>
                </c:pt>
                <c:pt idx="782">
                  <c:v>0.11594487840007371</c:v>
                </c:pt>
                <c:pt idx="783">
                  <c:v>0.3665215179983074</c:v>
                </c:pt>
                <c:pt idx="784">
                  <c:v>0.16433686085768151</c:v>
                </c:pt>
                <c:pt idx="785">
                  <c:v>0.39003388378082671</c:v>
                </c:pt>
                <c:pt idx="786">
                  <c:v>0.24623587702452712</c:v>
                </c:pt>
                <c:pt idx="787">
                  <c:v>0.14663662567192701</c:v>
                </c:pt>
                <c:pt idx="788">
                  <c:v>7.4455469270335237E-2</c:v>
                </c:pt>
                <c:pt idx="789">
                  <c:v>0.17430063029927445</c:v>
                </c:pt>
                <c:pt idx="790">
                  <c:v>0.16033428426585761</c:v>
                </c:pt>
                <c:pt idx="791">
                  <c:v>0.24715127153973349</c:v>
                </c:pt>
                <c:pt idx="792">
                  <c:v>0.14172906204959629</c:v>
                </c:pt>
                <c:pt idx="793">
                  <c:v>0.38198488522244878</c:v>
                </c:pt>
                <c:pt idx="794">
                  <c:v>3.8952677486117193E-2</c:v>
                </c:pt>
                <c:pt idx="795">
                  <c:v>0.38461207510825624</c:v>
                </c:pt>
                <c:pt idx="796">
                  <c:v>0.19017884023660769</c:v>
                </c:pt>
                <c:pt idx="797">
                  <c:v>0.39040415963750907</c:v>
                </c:pt>
                <c:pt idx="798">
                  <c:v>0.3806044222224288</c:v>
                </c:pt>
                <c:pt idx="799">
                  <c:v>0.39780531496677196</c:v>
                </c:pt>
                <c:pt idx="800">
                  <c:v>0.39761499141318479</c:v>
                </c:pt>
                <c:pt idx="801">
                  <c:v>0.28967833977626783</c:v>
                </c:pt>
                <c:pt idx="802">
                  <c:v>0.2942311135152566</c:v>
                </c:pt>
                <c:pt idx="803">
                  <c:v>0.29596489011117261</c:v>
                </c:pt>
                <c:pt idx="804">
                  <c:v>0.35179668424731741</c:v>
                </c:pt>
                <c:pt idx="805">
                  <c:v>8.8547237653788611E-3</c:v>
                </c:pt>
                <c:pt idx="806">
                  <c:v>0.32572963238298075</c:v>
                </c:pt>
                <c:pt idx="807">
                  <c:v>0.38308177186321501</c:v>
                </c:pt>
                <c:pt idx="808">
                  <c:v>0.36267923652166956</c:v>
                </c:pt>
                <c:pt idx="809">
                  <c:v>0.3089895161673436</c:v>
                </c:pt>
                <c:pt idx="810">
                  <c:v>0.39846029581367992</c:v>
                </c:pt>
                <c:pt idx="811">
                  <c:v>0.36797876297151971</c:v>
                </c:pt>
                <c:pt idx="812">
                  <c:v>8.0830955227850568E-3</c:v>
                </c:pt>
                <c:pt idx="813">
                  <c:v>0.30073063744033823</c:v>
                </c:pt>
                <c:pt idx="814">
                  <c:v>0.11307816004021073</c:v>
                </c:pt>
                <c:pt idx="815">
                  <c:v>0.38088923004204062</c:v>
                </c:pt>
                <c:pt idx="816">
                  <c:v>0.30144670694218234</c:v>
                </c:pt>
                <c:pt idx="817">
                  <c:v>4.0301849410677416E-2</c:v>
                </c:pt>
                <c:pt idx="818">
                  <c:v>0.35380731891316336</c:v>
                </c:pt>
                <c:pt idx="819">
                  <c:v>0.25902288603180701</c:v>
                </c:pt>
                <c:pt idx="820">
                  <c:v>0.259957120842712</c:v>
                </c:pt>
                <c:pt idx="821">
                  <c:v>7.4144523492103265E-2</c:v>
                </c:pt>
                <c:pt idx="822">
                  <c:v>0.39887052180341476</c:v>
                </c:pt>
                <c:pt idx="823">
                  <c:v>0.29115147792446527</c:v>
                </c:pt>
                <c:pt idx="824">
                  <c:v>0.33265110243696527</c:v>
                </c:pt>
                <c:pt idx="825">
                  <c:v>0.3977134085044095</c:v>
                </c:pt>
                <c:pt idx="826">
                  <c:v>0.39061017661330366</c:v>
                </c:pt>
                <c:pt idx="827">
                  <c:v>0.27724246586338713</c:v>
                </c:pt>
                <c:pt idx="828">
                  <c:v>8.2504326887022958E-2</c:v>
                </c:pt>
                <c:pt idx="829">
                  <c:v>6.5171963059592095E-2</c:v>
                </c:pt>
                <c:pt idx="830">
                  <c:v>0.39889678270077</c:v>
                </c:pt>
                <c:pt idx="831">
                  <c:v>0.3799744491525856</c:v>
                </c:pt>
                <c:pt idx="832">
                  <c:v>0.28032796527657666</c:v>
                </c:pt>
                <c:pt idx="833">
                  <c:v>0.32942596484268621</c:v>
                </c:pt>
                <c:pt idx="834">
                  <c:v>0.38680267342761604</c:v>
                </c:pt>
                <c:pt idx="835">
                  <c:v>0.2836222373405804</c:v>
                </c:pt>
                <c:pt idx="836">
                  <c:v>0.35973919342894728</c:v>
                </c:pt>
                <c:pt idx="837">
                  <c:v>0.37923339208197987</c:v>
                </c:pt>
                <c:pt idx="838">
                  <c:v>3.7784597733378597E-2</c:v>
                </c:pt>
                <c:pt idx="839">
                  <c:v>0.29788261517158099</c:v>
                </c:pt>
                <c:pt idx="840">
                  <c:v>0.39627177636008615</c:v>
                </c:pt>
                <c:pt idx="841">
                  <c:v>0.34368937830933527</c:v>
                </c:pt>
                <c:pt idx="842">
                  <c:v>0.25721422604380112</c:v>
                </c:pt>
                <c:pt idx="843">
                  <c:v>0.38507588929464898</c:v>
                </c:pt>
                <c:pt idx="844">
                  <c:v>0.29127060924081866</c:v>
                </c:pt>
                <c:pt idx="845">
                  <c:v>0.39796096120578583</c:v>
                </c:pt>
                <c:pt idx="846">
                  <c:v>0.31162074060404094</c:v>
                </c:pt>
                <c:pt idx="847">
                  <c:v>0.39035234831693916</c:v>
                </c:pt>
                <c:pt idx="848">
                  <c:v>0.30051797364557259</c:v>
                </c:pt>
                <c:pt idx="849">
                  <c:v>0.39260397584135359</c:v>
                </c:pt>
                <c:pt idx="850">
                  <c:v>0.36514951519944555</c:v>
                </c:pt>
                <c:pt idx="851">
                  <c:v>0.31294456964155454</c:v>
                </c:pt>
                <c:pt idx="852">
                  <c:v>0.39890549912147255</c:v>
                </c:pt>
                <c:pt idx="853">
                  <c:v>0.39408416259780749</c:v>
                </c:pt>
                <c:pt idx="854">
                  <c:v>0.25160892700270032</c:v>
                </c:pt>
                <c:pt idx="855">
                  <c:v>0.15904830176888501</c:v>
                </c:pt>
                <c:pt idx="856">
                  <c:v>0.39169915251488618</c:v>
                </c:pt>
                <c:pt idx="857">
                  <c:v>0.3907775241408869</c:v>
                </c:pt>
                <c:pt idx="858">
                  <c:v>0.14330230239572883</c:v>
                </c:pt>
                <c:pt idx="859">
                  <c:v>0.35631422279516772</c:v>
                </c:pt>
                <c:pt idx="860">
                  <c:v>0.21174800088935142</c:v>
                </c:pt>
                <c:pt idx="861">
                  <c:v>2.3095811501047659E-2</c:v>
                </c:pt>
                <c:pt idx="862">
                  <c:v>0.17138130355183653</c:v>
                </c:pt>
                <c:pt idx="863">
                  <c:v>0.31621252812391398</c:v>
                </c:pt>
                <c:pt idx="864">
                  <c:v>0.20855545865360678</c:v>
                </c:pt>
                <c:pt idx="865">
                  <c:v>0.39726507171611736</c:v>
                </c:pt>
                <c:pt idx="866">
                  <c:v>0.29287451129645348</c:v>
                </c:pt>
                <c:pt idx="867">
                  <c:v>0.20439226216253231</c:v>
                </c:pt>
                <c:pt idx="868">
                  <c:v>0.16797012632253874</c:v>
                </c:pt>
                <c:pt idx="869">
                  <c:v>0.32048159452855629</c:v>
                </c:pt>
                <c:pt idx="870">
                  <c:v>5.9435677427134063E-2</c:v>
                </c:pt>
                <c:pt idx="871">
                  <c:v>0.25620662526034266</c:v>
                </c:pt>
                <c:pt idx="872">
                  <c:v>0.34561388600616766</c:v>
                </c:pt>
                <c:pt idx="873">
                  <c:v>0.39879478617716824</c:v>
                </c:pt>
                <c:pt idx="874">
                  <c:v>0.21029753681390587</c:v>
                </c:pt>
                <c:pt idx="875">
                  <c:v>0.25773642105550071</c:v>
                </c:pt>
                <c:pt idx="876">
                  <c:v>0.38874697967979122</c:v>
                </c:pt>
                <c:pt idx="877">
                  <c:v>0.39303995063539604</c:v>
                </c:pt>
                <c:pt idx="878">
                  <c:v>0.17993034845004718</c:v>
                </c:pt>
                <c:pt idx="879">
                  <c:v>0.31819309627967118</c:v>
                </c:pt>
                <c:pt idx="880">
                  <c:v>0.33552720220673748</c:v>
                </c:pt>
                <c:pt idx="881">
                  <c:v>0.10986739820247031</c:v>
                </c:pt>
                <c:pt idx="882">
                  <c:v>0.35939833735445875</c:v>
                </c:pt>
                <c:pt idx="883">
                  <c:v>0.39676989313805167</c:v>
                </c:pt>
                <c:pt idx="884">
                  <c:v>0.32018088429890684</c:v>
                </c:pt>
                <c:pt idx="885">
                  <c:v>6.2192588762296351E-2</c:v>
                </c:pt>
                <c:pt idx="886">
                  <c:v>0.30073575045385648</c:v>
                </c:pt>
                <c:pt idx="887">
                  <c:v>0.37634802739928574</c:v>
                </c:pt>
                <c:pt idx="888">
                  <c:v>0.30765128417663301</c:v>
                </c:pt>
                <c:pt idx="889">
                  <c:v>5.2962017067067046E-2</c:v>
                </c:pt>
                <c:pt idx="890">
                  <c:v>8.0313868081329051E-2</c:v>
                </c:pt>
                <c:pt idx="891">
                  <c:v>0.35335173085094174</c:v>
                </c:pt>
                <c:pt idx="892">
                  <c:v>0.39696608510774634</c:v>
                </c:pt>
                <c:pt idx="893">
                  <c:v>0.31687494597297006</c:v>
                </c:pt>
                <c:pt idx="894">
                  <c:v>0.18635917600577451</c:v>
                </c:pt>
                <c:pt idx="895">
                  <c:v>0.37680749206736375</c:v>
                </c:pt>
                <c:pt idx="896">
                  <c:v>0.25251982854394206</c:v>
                </c:pt>
                <c:pt idx="897">
                  <c:v>0.18730366214464533</c:v>
                </c:pt>
                <c:pt idx="898">
                  <c:v>0.36187255141211577</c:v>
                </c:pt>
                <c:pt idx="899">
                  <c:v>0.39863613726656316</c:v>
                </c:pt>
                <c:pt idx="900">
                  <c:v>0.3710244617616188</c:v>
                </c:pt>
                <c:pt idx="901">
                  <c:v>0.29331332956528189</c:v>
                </c:pt>
                <c:pt idx="902">
                  <c:v>0.39889478082744118</c:v>
                </c:pt>
                <c:pt idx="903">
                  <c:v>0.39703638398421137</c:v>
                </c:pt>
                <c:pt idx="904">
                  <c:v>0.2297748893517729</c:v>
                </c:pt>
                <c:pt idx="905">
                  <c:v>0.39372578747260156</c:v>
                </c:pt>
                <c:pt idx="906">
                  <c:v>0.39151969121201124</c:v>
                </c:pt>
                <c:pt idx="907">
                  <c:v>0.39893526416136299</c:v>
                </c:pt>
                <c:pt idx="908">
                  <c:v>0.38505716414863367</c:v>
                </c:pt>
                <c:pt idx="909">
                  <c:v>0.39570769786509069</c:v>
                </c:pt>
                <c:pt idx="910">
                  <c:v>0.38807600527642899</c:v>
                </c:pt>
                <c:pt idx="911">
                  <c:v>0.38981473296895897</c:v>
                </c:pt>
                <c:pt idx="912">
                  <c:v>0.37369807166882663</c:v>
                </c:pt>
                <c:pt idx="913">
                  <c:v>0.38548406216064818</c:v>
                </c:pt>
                <c:pt idx="914">
                  <c:v>0.39216969800688356</c:v>
                </c:pt>
                <c:pt idx="915">
                  <c:v>0.36286435315986365</c:v>
                </c:pt>
                <c:pt idx="916">
                  <c:v>0.36640089018214078</c:v>
                </c:pt>
                <c:pt idx="917">
                  <c:v>0.24487927560201739</c:v>
                </c:pt>
                <c:pt idx="918">
                  <c:v>1.0963023905405371E-3</c:v>
                </c:pt>
                <c:pt idx="919">
                  <c:v>0.17615730644095962</c:v>
                </c:pt>
                <c:pt idx="920">
                  <c:v>0.39864391046377484</c:v>
                </c:pt>
                <c:pt idx="921">
                  <c:v>5.7943500651502444E-2</c:v>
                </c:pt>
                <c:pt idx="922">
                  <c:v>0.3803476072732338</c:v>
                </c:pt>
                <c:pt idx="923">
                  <c:v>0.38386025980840549</c:v>
                </c:pt>
                <c:pt idx="924">
                  <c:v>0.12108213108471559</c:v>
                </c:pt>
                <c:pt idx="925">
                  <c:v>0.28263580779041592</c:v>
                </c:pt>
                <c:pt idx="926">
                  <c:v>0.29927513644012638</c:v>
                </c:pt>
                <c:pt idx="927">
                  <c:v>0.32000326475494256</c:v>
                </c:pt>
                <c:pt idx="928">
                  <c:v>0.39838459148227451</c:v>
                </c:pt>
                <c:pt idx="929">
                  <c:v>0.36583003932495323</c:v>
                </c:pt>
                <c:pt idx="930">
                  <c:v>0.24101106955398091</c:v>
                </c:pt>
                <c:pt idx="931">
                  <c:v>3.7276185546666091E-2</c:v>
                </c:pt>
                <c:pt idx="932">
                  <c:v>0.32283825485864448</c:v>
                </c:pt>
                <c:pt idx="933">
                  <c:v>0.39430586682185048</c:v>
                </c:pt>
                <c:pt idx="934">
                  <c:v>0.33758795584637352</c:v>
                </c:pt>
                <c:pt idx="935">
                  <c:v>0.27330571385997465</c:v>
                </c:pt>
                <c:pt idx="936">
                  <c:v>0.11984710581963248</c:v>
                </c:pt>
                <c:pt idx="937">
                  <c:v>0.33830304653475823</c:v>
                </c:pt>
                <c:pt idx="938">
                  <c:v>0.37522595910590517</c:v>
                </c:pt>
                <c:pt idx="939">
                  <c:v>0.36668829248921547</c:v>
                </c:pt>
                <c:pt idx="940">
                  <c:v>0.26208577357618545</c:v>
                </c:pt>
                <c:pt idx="941">
                  <c:v>0.39432580274118162</c:v>
                </c:pt>
                <c:pt idx="942">
                  <c:v>5.4692015193951109E-2</c:v>
                </c:pt>
                <c:pt idx="943">
                  <c:v>0.3401733178729156</c:v>
                </c:pt>
                <c:pt idx="944">
                  <c:v>0.20592626546938392</c:v>
                </c:pt>
                <c:pt idx="945">
                  <c:v>0.16133461740522195</c:v>
                </c:pt>
                <c:pt idx="946">
                  <c:v>0.30860794219565341</c:v>
                </c:pt>
                <c:pt idx="947">
                  <c:v>0.3960178174797977</c:v>
                </c:pt>
                <c:pt idx="948">
                  <c:v>0.30621164880686602</c:v>
                </c:pt>
                <c:pt idx="949">
                  <c:v>0.17716288200163427</c:v>
                </c:pt>
                <c:pt idx="950">
                  <c:v>0.34596260006685992</c:v>
                </c:pt>
                <c:pt idx="951">
                  <c:v>0.29465554815076389</c:v>
                </c:pt>
                <c:pt idx="952">
                  <c:v>0.38324509138297586</c:v>
                </c:pt>
                <c:pt idx="953">
                  <c:v>7.837894258343768E-2</c:v>
                </c:pt>
                <c:pt idx="954">
                  <c:v>0.31925469705213044</c:v>
                </c:pt>
                <c:pt idx="955">
                  <c:v>0.33912379688753103</c:v>
                </c:pt>
                <c:pt idx="956">
                  <c:v>0.38914139667669567</c:v>
                </c:pt>
                <c:pt idx="957">
                  <c:v>0.38179195194224291</c:v>
                </c:pt>
                <c:pt idx="958">
                  <c:v>0.24027995190096132</c:v>
                </c:pt>
                <c:pt idx="959">
                  <c:v>0.39845516418854199</c:v>
                </c:pt>
                <c:pt idx="960">
                  <c:v>0.17300444644085239</c:v>
                </c:pt>
                <c:pt idx="961">
                  <c:v>0.37699301542684455</c:v>
                </c:pt>
                <c:pt idx="962">
                  <c:v>0.38955155675789732</c:v>
                </c:pt>
                <c:pt idx="963">
                  <c:v>0.1865065082362298</c:v>
                </c:pt>
                <c:pt idx="964">
                  <c:v>0.3071753638689444</c:v>
                </c:pt>
                <c:pt idx="965">
                  <c:v>0.37034075172190978</c:v>
                </c:pt>
                <c:pt idx="966">
                  <c:v>0.37913865425728671</c:v>
                </c:pt>
                <c:pt idx="967">
                  <c:v>0.38215975595447027</c:v>
                </c:pt>
                <c:pt idx="968">
                  <c:v>0.39650490513219377</c:v>
                </c:pt>
                <c:pt idx="969">
                  <c:v>0.33268910549985936</c:v>
                </c:pt>
                <c:pt idx="970">
                  <c:v>0.39846463337282811</c:v>
                </c:pt>
                <c:pt idx="971">
                  <c:v>0.33773184181124571</c:v>
                </c:pt>
                <c:pt idx="972">
                  <c:v>9.8882783029119542E-2</c:v>
                </c:pt>
                <c:pt idx="973">
                  <c:v>0.342201273315688</c:v>
                </c:pt>
                <c:pt idx="974">
                  <c:v>0.32522098197870447</c:v>
                </c:pt>
                <c:pt idx="975">
                  <c:v>4.2894083628430855E-2</c:v>
                </c:pt>
                <c:pt idx="976">
                  <c:v>0.38846171806113228</c:v>
                </c:pt>
                <c:pt idx="977">
                  <c:v>0.34541898193051862</c:v>
                </c:pt>
                <c:pt idx="978">
                  <c:v>0.36455111049765559</c:v>
                </c:pt>
                <c:pt idx="979">
                  <c:v>0.21667529144045353</c:v>
                </c:pt>
                <c:pt idx="980">
                  <c:v>0.38109542299939564</c:v>
                </c:pt>
                <c:pt idx="981">
                  <c:v>1.8508754803954204E-2</c:v>
                </c:pt>
                <c:pt idx="982">
                  <c:v>0.30794083077577616</c:v>
                </c:pt>
                <c:pt idx="983">
                  <c:v>0.14834280222991875</c:v>
                </c:pt>
                <c:pt idx="984">
                  <c:v>0.39360770876395329</c:v>
                </c:pt>
                <c:pt idx="985">
                  <c:v>0.3799898939557787</c:v>
                </c:pt>
                <c:pt idx="986">
                  <c:v>0.28034476984952944</c:v>
                </c:pt>
                <c:pt idx="987">
                  <c:v>0.18800650706132824</c:v>
                </c:pt>
                <c:pt idx="988">
                  <c:v>0.3652115075462441</c:v>
                </c:pt>
                <c:pt idx="989">
                  <c:v>0.37765972903013206</c:v>
                </c:pt>
                <c:pt idx="990">
                  <c:v>0.38207914627002681</c:v>
                </c:pt>
                <c:pt idx="991">
                  <c:v>0.39348550988306891</c:v>
                </c:pt>
                <c:pt idx="992">
                  <c:v>0.39853797466084201</c:v>
                </c:pt>
                <c:pt idx="993">
                  <c:v>0.33824499794720431</c:v>
                </c:pt>
                <c:pt idx="994">
                  <c:v>0.31222589913678511</c:v>
                </c:pt>
                <c:pt idx="995">
                  <c:v>8.2952219535966293E-2</c:v>
                </c:pt>
                <c:pt idx="996">
                  <c:v>0.32781268232669197</c:v>
                </c:pt>
                <c:pt idx="997">
                  <c:v>0.35986413237787884</c:v>
                </c:pt>
                <c:pt idx="998">
                  <c:v>0.20352985766182316</c:v>
                </c:pt>
                <c:pt idx="999">
                  <c:v>0.3414544972161368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E3-D343-8A6E-67961E4B6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9880559"/>
        <c:axId val="1343075567"/>
      </c:scatterChart>
      <c:valAx>
        <c:axId val="1299880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075567"/>
        <c:crosses val="autoZero"/>
        <c:crossBetween val="midCat"/>
      </c:valAx>
      <c:valAx>
        <c:axId val="134307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p(x)</a:t>
                </a:r>
              </a:p>
            </c:rich>
          </c:tx>
          <c:layout>
            <c:manualLayout>
              <c:xMode val="edge"/>
              <c:yMode val="edge"/>
              <c:x val="0.35103244837758113"/>
              <c:y val="0.303048264800233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80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Paths compared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path(ckls)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Model!$F$6:$F$1005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</c:numCache>
            </c:numRef>
          </c:xVal>
          <c:yVal>
            <c:numRef>
              <c:f>Model!$H$6:$H$1005</c:f>
              <c:numCache>
                <c:formatCode>General</c:formatCode>
                <c:ptCount val="1000"/>
                <c:pt idx="0">
                  <c:v>0.01</c:v>
                </c:pt>
                <c:pt idx="1">
                  <c:v>1.4963957560739654E-2</c:v>
                </c:pt>
                <c:pt idx="2">
                  <c:v>1.3056725026942275E-2</c:v>
                </c:pt>
                <c:pt idx="3">
                  <c:v>1.318233294856278E-2</c:v>
                </c:pt>
                <c:pt idx="4">
                  <c:v>1.8278537819402373E-2</c:v>
                </c:pt>
                <c:pt idx="5">
                  <c:v>1.7435220625474399E-2</c:v>
                </c:pt>
                <c:pt idx="6">
                  <c:v>1.5968409312536413E-2</c:v>
                </c:pt>
                <c:pt idx="7">
                  <c:v>1.9208530320132134E-2</c:v>
                </c:pt>
                <c:pt idx="8">
                  <c:v>2.0707997271202122E-2</c:v>
                </c:pt>
                <c:pt idx="9">
                  <c:v>1.7813274492776993E-2</c:v>
                </c:pt>
                <c:pt idx="10">
                  <c:v>1.5980187802920733E-2</c:v>
                </c:pt>
                <c:pt idx="11">
                  <c:v>1.8555189336895792E-2</c:v>
                </c:pt>
                <c:pt idx="12">
                  <c:v>1.9021668234114355E-2</c:v>
                </c:pt>
                <c:pt idx="13">
                  <c:v>1.7335426186806797E-2</c:v>
                </c:pt>
                <c:pt idx="14">
                  <c:v>1.5565066513688051E-2</c:v>
                </c:pt>
                <c:pt idx="15">
                  <c:v>1.5207990163411832E-2</c:v>
                </c:pt>
                <c:pt idx="16">
                  <c:v>1.0919002740205037E-2</c:v>
                </c:pt>
                <c:pt idx="17">
                  <c:v>8.741787323882054E-3</c:v>
                </c:pt>
                <c:pt idx="18">
                  <c:v>9.1072889992883221E-3</c:v>
                </c:pt>
                <c:pt idx="19">
                  <c:v>1.0435401749073706E-2</c:v>
                </c:pt>
                <c:pt idx="20">
                  <c:v>1.0080409016329608E-2</c:v>
                </c:pt>
                <c:pt idx="21">
                  <c:v>9.8864149573077726E-3</c:v>
                </c:pt>
                <c:pt idx="22">
                  <c:v>1.063357613943899E-2</c:v>
                </c:pt>
                <c:pt idx="23">
                  <c:v>8.2192057674176332E-3</c:v>
                </c:pt>
                <c:pt idx="24">
                  <c:v>7.6179128649306871E-3</c:v>
                </c:pt>
                <c:pt idx="25">
                  <c:v>8.3647541933746881E-3</c:v>
                </c:pt>
                <c:pt idx="26">
                  <c:v>1.476749971535184E-2</c:v>
                </c:pt>
                <c:pt idx="27">
                  <c:v>2.0063315309748118E-2</c:v>
                </c:pt>
                <c:pt idx="28">
                  <c:v>1.8959917655215465E-2</c:v>
                </c:pt>
                <c:pt idx="29">
                  <c:v>1.946006457801204E-2</c:v>
                </c:pt>
                <c:pt idx="30">
                  <c:v>1.7159464365895209E-2</c:v>
                </c:pt>
                <c:pt idx="31">
                  <c:v>1.7533900359641353E-2</c:v>
                </c:pt>
                <c:pt idx="32">
                  <c:v>1.9850369396865863E-2</c:v>
                </c:pt>
                <c:pt idx="33">
                  <c:v>1.6318116326343723E-2</c:v>
                </c:pt>
                <c:pt idx="34">
                  <c:v>2.3382290308164296E-2</c:v>
                </c:pt>
                <c:pt idx="35">
                  <c:v>2.4670190506102068E-2</c:v>
                </c:pt>
                <c:pt idx="36">
                  <c:v>2.6395962482723672E-2</c:v>
                </c:pt>
                <c:pt idx="37">
                  <c:v>2.6437222548509318E-2</c:v>
                </c:pt>
                <c:pt idx="38">
                  <c:v>2.3068009246479511E-2</c:v>
                </c:pt>
                <c:pt idx="39">
                  <c:v>2.0463539782345989E-2</c:v>
                </c:pt>
                <c:pt idx="40">
                  <c:v>2.0624023925469692E-2</c:v>
                </c:pt>
                <c:pt idx="41">
                  <c:v>2.441943278582448E-2</c:v>
                </c:pt>
                <c:pt idx="42">
                  <c:v>2.2623779506833676E-2</c:v>
                </c:pt>
                <c:pt idx="43">
                  <c:v>1.9068919216953278E-2</c:v>
                </c:pt>
                <c:pt idx="44">
                  <c:v>2.021436684110723E-2</c:v>
                </c:pt>
                <c:pt idx="45">
                  <c:v>1.9689489743780104E-2</c:v>
                </c:pt>
                <c:pt idx="46">
                  <c:v>1.9708556117037524E-2</c:v>
                </c:pt>
                <c:pt idx="47">
                  <c:v>1.5182198093226459E-2</c:v>
                </c:pt>
                <c:pt idx="48">
                  <c:v>1.4206942859911521E-2</c:v>
                </c:pt>
                <c:pt idx="49">
                  <c:v>1.6590589363185547E-2</c:v>
                </c:pt>
                <c:pt idx="50">
                  <c:v>1.6480411193503988E-2</c:v>
                </c:pt>
                <c:pt idx="51">
                  <c:v>1.518246918485973E-2</c:v>
                </c:pt>
                <c:pt idx="52">
                  <c:v>1.6298501724161547E-2</c:v>
                </c:pt>
                <c:pt idx="53">
                  <c:v>1.91654322742911E-2</c:v>
                </c:pt>
                <c:pt idx="54">
                  <c:v>2.080051507896168E-2</c:v>
                </c:pt>
                <c:pt idx="55">
                  <c:v>1.9305032877267644E-2</c:v>
                </c:pt>
                <c:pt idx="56">
                  <c:v>1.5830462550716955E-2</c:v>
                </c:pt>
                <c:pt idx="57">
                  <c:v>1.3230834951523968E-2</c:v>
                </c:pt>
                <c:pt idx="58">
                  <c:v>1.7374788517842386E-2</c:v>
                </c:pt>
                <c:pt idx="59">
                  <c:v>1.6807749192699568E-2</c:v>
                </c:pt>
                <c:pt idx="60">
                  <c:v>1.2661284687754456E-2</c:v>
                </c:pt>
                <c:pt idx="61">
                  <c:v>1.3999364319548045E-2</c:v>
                </c:pt>
                <c:pt idx="62">
                  <c:v>1.2963006569980104E-2</c:v>
                </c:pt>
                <c:pt idx="63">
                  <c:v>1.3002883453308038E-2</c:v>
                </c:pt>
                <c:pt idx="64">
                  <c:v>8.6108798190710628E-3</c:v>
                </c:pt>
                <c:pt idx="65">
                  <c:v>5.6268570031382048E-3</c:v>
                </c:pt>
                <c:pt idx="66">
                  <c:v>2.7121584292391365E-3</c:v>
                </c:pt>
                <c:pt idx="67">
                  <c:v>2.8085710725777582E-3</c:v>
                </c:pt>
                <c:pt idx="68">
                  <c:v>3.0610593724816229E-3</c:v>
                </c:pt>
                <c:pt idx="69">
                  <c:v>4.521731531304583E-3</c:v>
                </c:pt>
                <c:pt idx="70">
                  <c:v>8.410899546178156E-3</c:v>
                </c:pt>
                <c:pt idx="71">
                  <c:v>1.2554855644798114E-2</c:v>
                </c:pt>
                <c:pt idx="72">
                  <c:v>1.0779938591054569E-2</c:v>
                </c:pt>
                <c:pt idx="73">
                  <c:v>8.2071064886004522E-3</c:v>
                </c:pt>
                <c:pt idx="74">
                  <c:v>1.4347249680208236E-2</c:v>
                </c:pt>
                <c:pt idx="75">
                  <c:v>1.2105307505222308E-2</c:v>
                </c:pt>
                <c:pt idx="76">
                  <c:v>1.9130580713339326E-2</c:v>
                </c:pt>
                <c:pt idx="77">
                  <c:v>2.0028531881743906E-2</c:v>
                </c:pt>
                <c:pt idx="78">
                  <c:v>2.1080677246048583E-2</c:v>
                </c:pt>
                <c:pt idx="79">
                  <c:v>1.7743148806599052E-2</c:v>
                </c:pt>
                <c:pt idx="80">
                  <c:v>1.8597845923697169E-2</c:v>
                </c:pt>
                <c:pt idx="81">
                  <c:v>1.4865156399393759E-2</c:v>
                </c:pt>
                <c:pt idx="82">
                  <c:v>1.6044885316352852E-2</c:v>
                </c:pt>
                <c:pt idx="83">
                  <c:v>1.7061405672823004E-2</c:v>
                </c:pt>
                <c:pt idx="84">
                  <c:v>1.5097578720362815E-2</c:v>
                </c:pt>
                <c:pt idx="85">
                  <c:v>1.8263449012208971E-2</c:v>
                </c:pt>
                <c:pt idx="86">
                  <c:v>1.5796123892321511E-2</c:v>
                </c:pt>
                <c:pt idx="87">
                  <c:v>1.6357840893322925E-2</c:v>
                </c:pt>
                <c:pt idx="88">
                  <c:v>1.2207891170945829E-2</c:v>
                </c:pt>
                <c:pt idx="89">
                  <c:v>1.1078595809609203E-2</c:v>
                </c:pt>
                <c:pt idx="90">
                  <c:v>1.3760384964696474E-2</c:v>
                </c:pt>
                <c:pt idx="91">
                  <c:v>1.6765650951207398E-2</c:v>
                </c:pt>
                <c:pt idx="92">
                  <c:v>2.121105279611029E-2</c:v>
                </c:pt>
                <c:pt idx="93">
                  <c:v>1.7969084212205937E-2</c:v>
                </c:pt>
                <c:pt idx="94">
                  <c:v>1.6008741642423194E-2</c:v>
                </c:pt>
                <c:pt idx="95">
                  <c:v>1.6957360260126605E-2</c:v>
                </c:pt>
                <c:pt idx="96">
                  <c:v>1.3187736752476016E-2</c:v>
                </c:pt>
                <c:pt idx="97">
                  <c:v>1.2850919407538491E-2</c:v>
                </c:pt>
                <c:pt idx="98">
                  <c:v>1.3473483101680249E-2</c:v>
                </c:pt>
                <c:pt idx="99">
                  <c:v>1.0963027952914666E-2</c:v>
                </c:pt>
                <c:pt idx="100">
                  <c:v>1.2641237608065339E-2</c:v>
                </c:pt>
                <c:pt idx="101">
                  <c:v>7.7977046902723644E-3</c:v>
                </c:pt>
                <c:pt idx="102">
                  <c:v>5.420956345483249E-3</c:v>
                </c:pt>
                <c:pt idx="103">
                  <c:v>1.976390299689055E-3</c:v>
                </c:pt>
                <c:pt idx="104">
                  <c:v>2.3420407961831937E-3</c:v>
                </c:pt>
                <c:pt idx="105">
                  <c:v>2.7751268074324041E-3</c:v>
                </c:pt>
                <c:pt idx="106">
                  <c:v>4.2480837930129823E-3</c:v>
                </c:pt>
                <c:pt idx="107">
                  <c:v>3.702835193032575E-3</c:v>
                </c:pt>
                <c:pt idx="108">
                  <c:v>7.7018017775239925E-4</c:v>
                </c:pt>
                <c:pt idx="109">
                  <c:v>-4.9947180777431526E-3</c:v>
                </c:pt>
                <c:pt idx="110">
                  <c:v>-4.6216921929787998E-3</c:v>
                </c:pt>
                <c:pt idx="111">
                  <c:v>-3.0234892720232666E-3</c:v>
                </c:pt>
                <c:pt idx="112">
                  <c:v>-1.4799166890107412E-3</c:v>
                </c:pt>
                <c:pt idx="113">
                  <c:v>-3.3812549801132846E-4</c:v>
                </c:pt>
                <c:pt idx="114">
                  <c:v>3.4998878964994304E-3</c:v>
                </c:pt>
                <c:pt idx="115">
                  <c:v>3.3858303391266042E-3</c:v>
                </c:pt>
                <c:pt idx="116">
                  <c:v>5.0305993495464926E-3</c:v>
                </c:pt>
                <c:pt idx="117">
                  <c:v>6.6416945077928564E-3</c:v>
                </c:pt>
                <c:pt idx="118">
                  <c:v>7.8998705215962781E-3</c:v>
                </c:pt>
                <c:pt idx="119">
                  <c:v>1.6864307079050012E-2</c:v>
                </c:pt>
                <c:pt idx="120">
                  <c:v>1.6348064983133122E-2</c:v>
                </c:pt>
                <c:pt idx="121">
                  <c:v>1.7382076475162513E-2</c:v>
                </c:pt>
                <c:pt idx="122">
                  <c:v>1.1707676883644054E-2</c:v>
                </c:pt>
                <c:pt idx="123">
                  <c:v>7.0763185842972467E-3</c:v>
                </c:pt>
                <c:pt idx="124">
                  <c:v>5.8622871650520379E-3</c:v>
                </c:pt>
                <c:pt idx="125">
                  <c:v>2.2363169217030502E-3</c:v>
                </c:pt>
                <c:pt idx="126">
                  <c:v>4.1840466020388357E-3</c:v>
                </c:pt>
                <c:pt idx="127">
                  <c:v>5.8461523398520817E-3</c:v>
                </c:pt>
                <c:pt idx="128">
                  <c:v>3.6823625525497622E-3</c:v>
                </c:pt>
                <c:pt idx="129">
                  <c:v>3.8788493208028454E-3</c:v>
                </c:pt>
                <c:pt idx="130">
                  <c:v>3.576556626877721E-3</c:v>
                </c:pt>
                <c:pt idx="131">
                  <c:v>2.3432603331714451E-3</c:v>
                </c:pt>
                <c:pt idx="132">
                  <c:v>9.228339770722337E-3</c:v>
                </c:pt>
                <c:pt idx="133">
                  <c:v>1.2872530326867531E-2</c:v>
                </c:pt>
                <c:pt idx="134">
                  <c:v>8.6157925342107804E-3</c:v>
                </c:pt>
                <c:pt idx="135">
                  <c:v>1.1207474260716372E-2</c:v>
                </c:pt>
                <c:pt idx="136">
                  <c:v>1.319137903482186E-2</c:v>
                </c:pt>
                <c:pt idx="137">
                  <c:v>1.2402716680154576E-2</c:v>
                </c:pt>
                <c:pt idx="138">
                  <c:v>1.8914795607012459E-2</c:v>
                </c:pt>
                <c:pt idx="139">
                  <c:v>1.6079687319519649E-2</c:v>
                </c:pt>
                <c:pt idx="140">
                  <c:v>1.4553493950190385E-2</c:v>
                </c:pt>
                <c:pt idx="141">
                  <c:v>1.7334370720607353E-2</c:v>
                </c:pt>
                <c:pt idx="142">
                  <c:v>1.4130339743438629E-2</c:v>
                </c:pt>
                <c:pt idx="143">
                  <c:v>1.5148196816349931E-2</c:v>
                </c:pt>
                <c:pt idx="144">
                  <c:v>9.7226506101452878E-3</c:v>
                </c:pt>
                <c:pt idx="145">
                  <c:v>1.2620914045368544E-2</c:v>
                </c:pt>
                <c:pt idx="146">
                  <c:v>1.0183959739846635E-2</c:v>
                </c:pt>
                <c:pt idx="147">
                  <c:v>7.3581498332258629E-3</c:v>
                </c:pt>
                <c:pt idx="148">
                  <c:v>1.5360808142487222E-2</c:v>
                </c:pt>
                <c:pt idx="149">
                  <c:v>1.1394764796882603E-2</c:v>
                </c:pt>
                <c:pt idx="150">
                  <c:v>1.8374303041871654E-2</c:v>
                </c:pt>
                <c:pt idx="151">
                  <c:v>1.3726758701771077E-2</c:v>
                </c:pt>
                <c:pt idx="152">
                  <c:v>1.3728375577664676E-2</c:v>
                </c:pt>
                <c:pt idx="153">
                  <c:v>1.4240178969865597E-2</c:v>
                </c:pt>
                <c:pt idx="154">
                  <c:v>1.6674716238280374E-2</c:v>
                </c:pt>
                <c:pt idx="155">
                  <c:v>1.3502664025181143E-2</c:v>
                </c:pt>
                <c:pt idx="156">
                  <c:v>9.8799395195031149E-3</c:v>
                </c:pt>
                <c:pt idx="157">
                  <c:v>1.2599964466346987E-2</c:v>
                </c:pt>
                <c:pt idx="158">
                  <c:v>1.092314676036427E-2</c:v>
                </c:pt>
                <c:pt idx="159">
                  <c:v>5.2187999913366513E-3</c:v>
                </c:pt>
                <c:pt idx="160">
                  <c:v>4.3339979572354966E-3</c:v>
                </c:pt>
                <c:pt idx="161">
                  <c:v>7.0814713009544157E-3</c:v>
                </c:pt>
                <c:pt idx="162">
                  <c:v>1.1760463641040001E-2</c:v>
                </c:pt>
                <c:pt idx="163">
                  <c:v>1.1701053963304618E-2</c:v>
                </c:pt>
                <c:pt idx="164">
                  <c:v>1.6990161332896884E-2</c:v>
                </c:pt>
                <c:pt idx="165">
                  <c:v>1.8667355365215629E-2</c:v>
                </c:pt>
                <c:pt idx="166">
                  <c:v>1.2949196351970432E-2</c:v>
                </c:pt>
                <c:pt idx="167">
                  <c:v>1.6869206044901865E-2</c:v>
                </c:pt>
                <c:pt idx="168">
                  <c:v>1.5062977444998937E-2</c:v>
                </c:pt>
                <c:pt idx="169">
                  <c:v>1.1145283164154012E-2</c:v>
                </c:pt>
                <c:pt idx="170">
                  <c:v>9.6329172300267871E-3</c:v>
                </c:pt>
                <c:pt idx="171">
                  <c:v>7.7547593924825291E-3</c:v>
                </c:pt>
                <c:pt idx="172">
                  <c:v>1.2967553411677466E-2</c:v>
                </c:pt>
                <c:pt idx="173">
                  <c:v>1.2543218035214611E-2</c:v>
                </c:pt>
                <c:pt idx="174">
                  <c:v>1.2958548080425573E-2</c:v>
                </c:pt>
                <c:pt idx="175">
                  <c:v>1.5195775823423952E-2</c:v>
                </c:pt>
                <c:pt idx="176">
                  <c:v>1.5634931844963586E-2</c:v>
                </c:pt>
                <c:pt idx="177">
                  <c:v>1.1830584325060371E-2</c:v>
                </c:pt>
                <c:pt idx="178">
                  <c:v>6.8902038409679794E-3</c:v>
                </c:pt>
                <c:pt idx="179">
                  <c:v>5.9552229234705783E-3</c:v>
                </c:pt>
                <c:pt idx="180">
                  <c:v>2.0124699890947959E-3</c:v>
                </c:pt>
                <c:pt idx="181">
                  <c:v>3.7171474226295178E-3</c:v>
                </c:pt>
                <c:pt idx="182">
                  <c:v>-1.2069913991649087E-3</c:v>
                </c:pt>
                <c:pt idx="183">
                  <c:v>-4.0465346309784406E-3</c:v>
                </c:pt>
                <c:pt idx="184">
                  <c:v>-4.8028393910911054E-3</c:v>
                </c:pt>
                <c:pt idx="185">
                  <c:v>-2.9050057657382736E-3</c:v>
                </c:pt>
                <c:pt idx="186">
                  <c:v>-3.2419349567120348E-3</c:v>
                </c:pt>
                <c:pt idx="187">
                  <c:v>-3.6646481240855391E-3</c:v>
                </c:pt>
                <c:pt idx="188">
                  <c:v>-2.0493215278241227E-3</c:v>
                </c:pt>
                <c:pt idx="189">
                  <c:v>-5.0344689305496771E-4</c:v>
                </c:pt>
                <c:pt idx="190">
                  <c:v>-4.1853157284617564E-3</c:v>
                </c:pt>
                <c:pt idx="191">
                  <c:v>-3.1766916421747862E-3</c:v>
                </c:pt>
                <c:pt idx="192">
                  <c:v>-2.0837644328613918E-3</c:v>
                </c:pt>
                <c:pt idx="193">
                  <c:v>-6.8474370061084155E-3</c:v>
                </c:pt>
                <c:pt idx="194">
                  <c:v>-5.5303659147856316E-3</c:v>
                </c:pt>
                <c:pt idx="195">
                  <c:v>-6.1287013208818015E-3</c:v>
                </c:pt>
                <c:pt idx="196">
                  <c:v>-8.7268507702068388E-3</c:v>
                </c:pt>
                <c:pt idx="197">
                  <c:v>-1.190512677445261E-2</c:v>
                </c:pt>
                <c:pt idx="198">
                  <c:v>-9.3319919036774154E-3</c:v>
                </c:pt>
                <c:pt idx="199">
                  <c:v>-8.9667103297650843E-3</c:v>
                </c:pt>
                <c:pt idx="200">
                  <c:v>-1.5014230832921383E-2</c:v>
                </c:pt>
                <c:pt idx="201">
                  <c:v>-1.6394221870001953E-2</c:v>
                </c:pt>
                <c:pt idx="202">
                  <c:v>-1.8869880866993569E-2</c:v>
                </c:pt>
                <c:pt idx="203">
                  <c:v>-1.681469131896033E-2</c:v>
                </c:pt>
                <c:pt idx="204">
                  <c:v>-1.9288278421060814E-2</c:v>
                </c:pt>
                <c:pt idx="205">
                  <c:v>-2.2734385299784145E-2</c:v>
                </c:pt>
                <c:pt idx="206">
                  <c:v>-2.3288769473931232E-2</c:v>
                </c:pt>
                <c:pt idx="207">
                  <c:v>-2.1401360530656954E-2</c:v>
                </c:pt>
                <c:pt idx="208">
                  <c:v>-1.8810480802477415E-2</c:v>
                </c:pt>
                <c:pt idx="209">
                  <c:v>-1.8524093264411373E-2</c:v>
                </c:pt>
                <c:pt idx="210">
                  <c:v>-1.4481780608206526E-2</c:v>
                </c:pt>
                <c:pt idx="211">
                  <c:v>-8.9659473132313715E-3</c:v>
                </c:pt>
                <c:pt idx="212">
                  <c:v>-9.9211405010016882E-3</c:v>
                </c:pt>
                <c:pt idx="213">
                  <c:v>-1.5240306659136024E-2</c:v>
                </c:pt>
                <c:pt idx="214">
                  <c:v>-1.2441299605233377E-2</c:v>
                </c:pt>
                <c:pt idx="215">
                  <c:v>-1.385910748052124E-2</c:v>
                </c:pt>
                <c:pt idx="216">
                  <c:v>-1.391233209585206E-2</c:v>
                </c:pt>
                <c:pt idx="217">
                  <c:v>-1.1510180966421809E-2</c:v>
                </c:pt>
                <c:pt idx="218">
                  <c:v>-8.6015065976873615E-3</c:v>
                </c:pt>
                <c:pt idx="219">
                  <c:v>-9.8920693579816789E-3</c:v>
                </c:pt>
                <c:pt idx="220">
                  <c:v>-1.0847501133480694E-2</c:v>
                </c:pt>
                <c:pt idx="221">
                  <c:v>-8.736532553968621E-3</c:v>
                </c:pt>
                <c:pt idx="222">
                  <c:v>1.9422210593602121E-4</c:v>
                </c:pt>
                <c:pt idx="223">
                  <c:v>-4.7760703350010027E-4</c:v>
                </c:pt>
                <c:pt idx="224">
                  <c:v>5.4720529030056943E-3</c:v>
                </c:pt>
                <c:pt idx="225">
                  <c:v>2.0241218878479308E-3</c:v>
                </c:pt>
                <c:pt idx="226">
                  <c:v>7.3470362942166176E-3</c:v>
                </c:pt>
                <c:pt idx="227">
                  <c:v>1.0231230473407012E-2</c:v>
                </c:pt>
                <c:pt idx="228">
                  <c:v>9.9669946839814789E-3</c:v>
                </c:pt>
                <c:pt idx="229">
                  <c:v>1.2033417849654421E-2</c:v>
                </c:pt>
                <c:pt idx="230">
                  <c:v>1.0796855955775125E-2</c:v>
                </c:pt>
                <c:pt idx="231">
                  <c:v>7.6376415059035939E-3</c:v>
                </c:pt>
                <c:pt idx="232">
                  <c:v>3.4335995490547572E-3</c:v>
                </c:pt>
                <c:pt idx="233">
                  <c:v>4.4777828137974908E-3</c:v>
                </c:pt>
                <c:pt idx="234">
                  <c:v>3.251013742462637E-4</c:v>
                </c:pt>
                <c:pt idx="235">
                  <c:v>-5.7910553106686373E-3</c:v>
                </c:pt>
                <c:pt idx="236">
                  <c:v>-5.4640302631416377E-3</c:v>
                </c:pt>
                <c:pt idx="237">
                  <c:v>-1.0854810915879629E-2</c:v>
                </c:pt>
                <c:pt idx="238">
                  <c:v>-1.0448293535437763E-2</c:v>
                </c:pt>
                <c:pt idx="239">
                  <c:v>-1.0733566320493507E-2</c:v>
                </c:pt>
                <c:pt idx="240">
                  <c:v>-1.1391069113377138E-2</c:v>
                </c:pt>
                <c:pt idx="241">
                  <c:v>-3.1093776910117998E-3</c:v>
                </c:pt>
                <c:pt idx="242">
                  <c:v>-7.376294966862716E-4</c:v>
                </c:pt>
                <c:pt idx="243">
                  <c:v>-1.7042314931724049E-3</c:v>
                </c:pt>
                <c:pt idx="244">
                  <c:v>-2.9036479122014187E-3</c:v>
                </c:pt>
                <c:pt idx="245">
                  <c:v>-8.2402652468127977E-3</c:v>
                </c:pt>
                <c:pt idx="246">
                  <c:v>-8.3826659032560456E-3</c:v>
                </c:pt>
                <c:pt idx="247">
                  <c:v>-3.7452217501425774E-3</c:v>
                </c:pt>
                <c:pt idx="248">
                  <c:v>-2.5160131665950382E-3</c:v>
                </c:pt>
                <c:pt idx="249">
                  <c:v>-7.4872510531093089E-3</c:v>
                </c:pt>
                <c:pt idx="250">
                  <c:v>-1.2919911043691099E-3</c:v>
                </c:pt>
                <c:pt idx="251">
                  <c:v>-1.8913851921122736E-3</c:v>
                </c:pt>
                <c:pt idx="252">
                  <c:v>-3.0123394465376586E-3</c:v>
                </c:pt>
                <c:pt idx="253">
                  <c:v>-1.0570424298801574E-2</c:v>
                </c:pt>
                <c:pt idx="254">
                  <c:v>-8.4310682104330077E-3</c:v>
                </c:pt>
                <c:pt idx="255">
                  <c:v>-1.1525183015878805E-2</c:v>
                </c:pt>
                <c:pt idx="256">
                  <c:v>-1.1691910517843464E-2</c:v>
                </c:pt>
                <c:pt idx="257">
                  <c:v>-1.1443772719986402E-2</c:v>
                </c:pt>
                <c:pt idx="258">
                  <c:v>-9.4325535270991523E-3</c:v>
                </c:pt>
                <c:pt idx="259">
                  <c:v>-9.406092228322508E-3</c:v>
                </c:pt>
                <c:pt idx="260">
                  <c:v>-8.1414484612646228E-3</c:v>
                </c:pt>
                <c:pt idx="261">
                  <c:v>-6.5835280615155443E-3</c:v>
                </c:pt>
                <c:pt idx="262">
                  <c:v>-6.8381308783519515E-3</c:v>
                </c:pt>
                <c:pt idx="263">
                  <c:v>-5.6074163524289398E-3</c:v>
                </c:pt>
                <c:pt idx="264">
                  <c:v>-3.4146190575022909E-3</c:v>
                </c:pt>
                <c:pt idx="265">
                  <c:v>-6.8326294453616397E-3</c:v>
                </c:pt>
                <c:pt idx="266">
                  <c:v>-4.7137128717235112E-3</c:v>
                </c:pt>
                <c:pt idx="267">
                  <c:v>-7.1866454623332838E-3</c:v>
                </c:pt>
                <c:pt idx="268">
                  <c:v>-6.393830271653223E-3</c:v>
                </c:pt>
                <c:pt idx="269">
                  <c:v>1.1022937471380475E-3</c:v>
                </c:pt>
                <c:pt idx="270">
                  <c:v>4.6289935916633993E-3</c:v>
                </c:pt>
                <c:pt idx="271">
                  <c:v>7.6192165166801048E-3</c:v>
                </c:pt>
                <c:pt idx="272">
                  <c:v>1.4167587577035089E-2</c:v>
                </c:pt>
                <c:pt idx="273">
                  <c:v>1.7186484761978347E-2</c:v>
                </c:pt>
                <c:pt idx="274">
                  <c:v>2.1304070245130272E-2</c:v>
                </c:pt>
                <c:pt idx="275">
                  <c:v>2.1235211916310465E-2</c:v>
                </c:pt>
                <c:pt idx="276">
                  <c:v>2.0918065763786145E-2</c:v>
                </c:pt>
                <c:pt idx="277">
                  <c:v>1.6965707692136969E-2</c:v>
                </c:pt>
                <c:pt idx="278">
                  <c:v>9.858515859506263E-3</c:v>
                </c:pt>
                <c:pt idx="279">
                  <c:v>4.5991361529706164E-3</c:v>
                </c:pt>
                <c:pt idx="280">
                  <c:v>9.8030116096946597E-3</c:v>
                </c:pt>
                <c:pt idx="281">
                  <c:v>1.2715256866378715E-2</c:v>
                </c:pt>
                <c:pt idx="282">
                  <c:v>1.2499746385959817E-2</c:v>
                </c:pt>
                <c:pt idx="283">
                  <c:v>1.9115527751253053E-2</c:v>
                </c:pt>
                <c:pt idx="284">
                  <c:v>1.8701657428814324E-2</c:v>
                </c:pt>
                <c:pt idx="285">
                  <c:v>1.9172185383473823E-2</c:v>
                </c:pt>
                <c:pt idx="286">
                  <c:v>1.6453920395023001E-2</c:v>
                </c:pt>
                <c:pt idx="287">
                  <c:v>1.992921644294874E-2</c:v>
                </c:pt>
                <c:pt idx="288">
                  <c:v>2.5384880136996336E-2</c:v>
                </c:pt>
                <c:pt idx="289">
                  <c:v>2.2175205300868559E-2</c:v>
                </c:pt>
                <c:pt idx="290">
                  <c:v>2.0499374889394843E-2</c:v>
                </c:pt>
                <c:pt idx="291">
                  <c:v>2.0441093598672661E-2</c:v>
                </c:pt>
                <c:pt idx="292">
                  <c:v>2.2900679543432671E-2</c:v>
                </c:pt>
                <c:pt idx="293">
                  <c:v>2.770120325410225E-2</c:v>
                </c:pt>
                <c:pt idx="294">
                  <c:v>3.1435044464300836E-2</c:v>
                </c:pt>
                <c:pt idx="295">
                  <c:v>3.4747801263119847E-2</c:v>
                </c:pt>
                <c:pt idx="296">
                  <c:v>3.7384187296807404E-2</c:v>
                </c:pt>
                <c:pt idx="297">
                  <c:v>3.978420082148957E-2</c:v>
                </c:pt>
                <c:pt idx="298">
                  <c:v>4.4388662857025488E-2</c:v>
                </c:pt>
                <c:pt idx="299">
                  <c:v>3.9137995890358865E-2</c:v>
                </c:pt>
                <c:pt idx="300">
                  <c:v>3.4294622369766478E-2</c:v>
                </c:pt>
                <c:pt idx="301">
                  <c:v>3.1321966594529453E-2</c:v>
                </c:pt>
                <c:pt idx="302">
                  <c:v>3.4402339508069396E-2</c:v>
                </c:pt>
                <c:pt idx="303">
                  <c:v>3.1096889586193367E-2</c:v>
                </c:pt>
                <c:pt idx="304">
                  <c:v>3.2770288920935697E-2</c:v>
                </c:pt>
                <c:pt idx="305">
                  <c:v>2.8560611003105293E-2</c:v>
                </c:pt>
                <c:pt idx="306">
                  <c:v>3.4682969944127326E-2</c:v>
                </c:pt>
                <c:pt idx="307">
                  <c:v>3.430132682538773E-2</c:v>
                </c:pt>
                <c:pt idx="308">
                  <c:v>2.9832034697293661E-2</c:v>
                </c:pt>
                <c:pt idx="309">
                  <c:v>3.0024405724875733E-2</c:v>
                </c:pt>
                <c:pt idx="310">
                  <c:v>3.215654497133371E-2</c:v>
                </c:pt>
                <c:pt idx="311">
                  <c:v>3.5785213827980833E-2</c:v>
                </c:pt>
                <c:pt idx="312">
                  <c:v>3.8778952925929304E-2</c:v>
                </c:pt>
                <c:pt idx="313">
                  <c:v>3.8256871044819861E-2</c:v>
                </c:pt>
                <c:pt idx="314">
                  <c:v>4.5169570556120961E-2</c:v>
                </c:pt>
                <c:pt idx="315">
                  <c:v>4.1454825112363251E-2</c:v>
                </c:pt>
                <c:pt idx="316">
                  <c:v>4.2430542670565397E-2</c:v>
                </c:pt>
                <c:pt idx="317">
                  <c:v>4.0041672061582968E-2</c:v>
                </c:pt>
                <c:pt idx="318">
                  <c:v>3.7558185151259985E-2</c:v>
                </c:pt>
                <c:pt idx="319">
                  <c:v>3.8999261757930059E-2</c:v>
                </c:pt>
                <c:pt idx="320">
                  <c:v>3.7632710750624757E-2</c:v>
                </c:pt>
                <c:pt idx="321">
                  <c:v>3.162568797254342E-2</c:v>
                </c:pt>
                <c:pt idx="322">
                  <c:v>3.3753785569447775E-2</c:v>
                </c:pt>
                <c:pt idx="323">
                  <c:v>3.5493864013787138E-2</c:v>
                </c:pt>
                <c:pt idx="324">
                  <c:v>3.4709263152391347E-2</c:v>
                </c:pt>
                <c:pt idx="325">
                  <c:v>3.6825298334714117E-2</c:v>
                </c:pt>
                <c:pt idx="326">
                  <c:v>3.9675278894364195E-2</c:v>
                </c:pt>
                <c:pt idx="327">
                  <c:v>4.1043973674184449E-2</c:v>
                </c:pt>
                <c:pt idx="328">
                  <c:v>3.8597226208372644E-2</c:v>
                </c:pt>
                <c:pt idx="329">
                  <c:v>3.9684675242455288E-2</c:v>
                </c:pt>
                <c:pt idx="330">
                  <c:v>3.9866473478791215E-2</c:v>
                </c:pt>
                <c:pt idx="331">
                  <c:v>4.1123148837844535E-2</c:v>
                </c:pt>
                <c:pt idx="332">
                  <c:v>3.5124661477159737E-2</c:v>
                </c:pt>
                <c:pt idx="333">
                  <c:v>3.7149646610977499E-2</c:v>
                </c:pt>
                <c:pt idx="334">
                  <c:v>4.2764935878619667E-2</c:v>
                </c:pt>
                <c:pt idx="335">
                  <c:v>4.4167806644077517E-2</c:v>
                </c:pt>
                <c:pt idx="336">
                  <c:v>4.1593669601761689E-2</c:v>
                </c:pt>
                <c:pt idx="337">
                  <c:v>4.0432982033375212E-2</c:v>
                </c:pt>
                <c:pt idx="338">
                  <c:v>4.1050596471983489E-2</c:v>
                </c:pt>
                <c:pt idx="339">
                  <c:v>4.4055811447014405E-2</c:v>
                </c:pt>
                <c:pt idx="340">
                  <c:v>4.2658430950498802E-2</c:v>
                </c:pt>
                <c:pt idx="341">
                  <c:v>4.2260961248348633E-2</c:v>
                </c:pt>
                <c:pt idx="342">
                  <c:v>4.6530343997829668E-2</c:v>
                </c:pt>
                <c:pt idx="343">
                  <c:v>4.7635061354978712E-2</c:v>
                </c:pt>
                <c:pt idx="344">
                  <c:v>4.6739522677865943E-2</c:v>
                </c:pt>
                <c:pt idx="345">
                  <c:v>4.8649012666809557E-2</c:v>
                </c:pt>
                <c:pt idx="346">
                  <c:v>5.2123790128505196E-2</c:v>
                </c:pt>
                <c:pt idx="347">
                  <c:v>5.0462200770928792E-2</c:v>
                </c:pt>
                <c:pt idx="348">
                  <c:v>4.9970303322183975E-2</c:v>
                </c:pt>
                <c:pt idx="349">
                  <c:v>5.1930091045228041E-2</c:v>
                </c:pt>
                <c:pt idx="350">
                  <c:v>5.3071660563936529E-2</c:v>
                </c:pt>
                <c:pt idx="351">
                  <c:v>5.3518515013656218E-2</c:v>
                </c:pt>
                <c:pt idx="352">
                  <c:v>5.6268837105426309E-2</c:v>
                </c:pt>
                <c:pt idx="353">
                  <c:v>6.0691738732362638E-2</c:v>
                </c:pt>
                <c:pt idx="354">
                  <c:v>6.7031157067409378E-2</c:v>
                </c:pt>
                <c:pt idx="355">
                  <c:v>6.9167687590230884E-2</c:v>
                </c:pt>
                <c:pt idx="356">
                  <c:v>6.9349780395088129E-2</c:v>
                </c:pt>
                <c:pt idx="357">
                  <c:v>6.8330423708456975E-2</c:v>
                </c:pt>
                <c:pt idx="358">
                  <c:v>6.4775574919973225E-2</c:v>
                </c:pt>
                <c:pt idx="359">
                  <c:v>6.0763588226426704E-2</c:v>
                </c:pt>
                <c:pt idx="360">
                  <c:v>5.8621900756107313E-2</c:v>
                </c:pt>
                <c:pt idx="361">
                  <c:v>5.7206616929310276E-2</c:v>
                </c:pt>
                <c:pt idx="362">
                  <c:v>6.2330328191768924E-2</c:v>
                </c:pt>
                <c:pt idx="363">
                  <c:v>6.1790669020474226E-2</c:v>
                </c:pt>
                <c:pt idx="364">
                  <c:v>6.2956717871033879E-2</c:v>
                </c:pt>
                <c:pt idx="365">
                  <c:v>6.2600002341814745E-2</c:v>
                </c:pt>
                <c:pt idx="366">
                  <c:v>7.1605976860621465E-2</c:v>
                </c:pt>
                <c:pt idx="367">
                  <c:v>6.9354192257784081E-2</c:v>
                </c:pt>
                <c:pt idx="368">
                  <c:v>6.8737882364578298E-2</c:v>
                </c:pt>
                <c:pt idx="369">
                  <c:v>7.0708823575936122E-2</c:v>
                </c:pt>
                <c:pt idx="370">
                  <c:v>7.2956311196655452E-2</c:v>
                </c:pt>
                <c:pt idx="371">
                  <c:v>7.3798367684812946E-2</c:v>
                </c:pt>
                <c:pt idx="372">
                  <c:v>7.3293907214368043E-2</c:v>
                </c:pt>
                <c:pt idx="373">
                  <c:v>7.5057864982904468E-2</c:v>
                </c:pt>
                <c:pt idx="374">
                  <c:v>8.0075657270219702E-2</c:v>
                </c:pt>
                <c:pt idx="375">
                  <c:v>8.6694215314502818E-2</c:v>
                </c:pt>
                <c:pt idx="376">
                  <c:v>7.9534543371473393E-2</c:v>
                </c:pt>
                <c:pt idx="377">
                  <c:v>7.7559159109741413E-2</c:v>
                </c:pt>
                <c:pt idx="378">
                  <c:v>8.1352535320150549E-2</c:v>
                </c:pt>
                <c:pt idx="379">
                  <c:v>7.9467926901249375E-2</c:v>
                </c:pt>
                <c:pt idx="380">
                  <c:v>7.6996123098555858E-2</c:v>
                </c:pt>
                <c:pt idx="381">
                  <c:v>7.8426744903675849E-2</c:v>
                </c:pt>
                <c:pt idx="382">
                  <c:v>7.9811956994849803E-2</c:v>
                </c:pt>
                <c:pt idx="383">
                  <c:v>8.1742749503838377E-2</c:v>
                </c:pt>
                <c:pt idx="384">
                  <c:v>8.347180211263551E-2</c:v>
                </c:pt>
                <c:pt idx="385">
                  <c:v>8.2816998615232618E-2</c:v>
                </c:pt>
                <c:pt idx="386">
                  <c:v>8.4801116141608818E-2</c:v>
                </c:pt>
                <c:pt idx="387">
                  <c:v>8.6513318571841302E-2</c:v>
                </c:pt>
                <c:pt idx="388">
                  <c:v>8.2387774389378943E-2</c:v>
                </c:pt>
                <c:pt idx="389">
                  <c:v>8.1924405769664643E-2</c:v>
                </c:pt>
                <c:pt idx="390">
                  <c:v>8.7088373958099041E-2</c:v>
                </c:pt>
                <c:pt idx="391">
                  <c:v>9.0543281496874073E-2</c:v>
                </c:pt>
                <c:pt idx="392">
                  <c:v>8.7808228054358617E-2</c:v>
                </c:pt>
                <c:pt idx="393">
                  <c:v>8.8524050211478369E-2</c:v>
                </c:pt>
                <c:pt idx="394">
                  <c:v>8.5258299746773777E-2</c:v>
                </c:pt>
                <c:pt idx="395">
                  <c:v>8.6968217790210273E-2</c:v>
                </c:pt>
                <c:pt idx="396">
                  <c:v>8.0637646712765396E-2</c:v>
                </c:pt>
                <c:pt idx="397">
                  <c:v>8.4270181619774329E-2</c:v>
                </c:pt>
                <c:pt idx="398">
                  <c:v>8.689613962897319E-2</c:v>
                </c:pt>
                <c:pt idx="399">
                  <c:v>8.2499469654385899E-2</c:v>
                </c:pt>
                <c:pt idx="400">
                  <c:v>8.3488186429858224E-2</c:v>
                </c:pt>
                <c:pt idx="401">
                  <c:v>8.9246447596773554E-2</c:v>
                </c:pt>
                <c:pt idx="402">
                  <c:v>9.3213591090489573E-2</c:v>
                </c:pt>
                <c:pt idx="403">
                  <c:v>9.3017711252343913E-2</c:v>
                </c:pt>
                <c:pt idx="404">
                  <c:v>9.0367093653319588E-2</c:v>
                </c:pt>
                <c:pt idx="405">
                  <c:v>9.0066281703740869E-2</c:v>
                </c:pt>
                <c:pt idx="406">
                  <c:v>9.4908342014287064E-2</c:v>
                </c:pt>
                <c:pt idx="407">
                  <c:v>9.4942498175088499E-2</c:v>
                </c:pt>
                <c:pt idx="408">
                  <c:v>0.10020150078584163</c:v>
                </c:pt>
                <c:pt idx="409">
                  <c:v>0.10414659067868426</c:v>
                </c:pt>
                <c:pt idx="410">
                  <c:v>0.10443386368699435</c:v>
                </c:pt>
                <c:pt idx="411">
                  <c:v>0.11304339169276748</c:v>
                </c:pt>
                <c:pt idx="412">
                  <c:v>0.11318307976928906</c:v>
                </c:pt>
                <c:pt idx="413">
                  <c:v>0.11031966386702861</c:v>
                </c:pt>
                <c:pt idx="414">
                  <c:v>0.11114747011794845</c:v>
                </c:pt>
                <c:pt idx="415">
                  <c:v>0.11038960251878023</c:v>
                </c:pt>
                <c:pt idx="416">
                  <c:v>0.11240119794278151</c:v>
                </c:pt>
                <c:pt idx="417">
                  <c:v>0.10558880389384817</c:v>
                </c:pt>
                <c:pt idx="418">
                  <c:v>0.10483791649222476</c:v>
                </c:pt>
                <c:pt idx="419">
                  <c:v>0.10677077048818381</c:v>
                </c:pt>
                <c:pt idx="420">
                  <c:v>0.10419128484102184</c:v>
                </c:pt>
                <c:pt idx="421">
                  <c:v>0.10641109113798268</c:v>
                </c:pt>
                <c:pt idx="422">
                  <c:v>0.10319046577303537</c:v>
                </c:pt>
                <c:pt idx="423">
                  <c:v>0.10513408466003439</c:v>
                </c:pt>
                <c:pt idx="424">
                  <c:v>0.10665936798159462</c:v>
                </c:pt>
                <c:pt idx="425">
                  <c:v>0.10699360696658242</c:v>
                </c:pt>
                <c:pt idx="426">
                  <c:v>0.11308915992451886</c:v>
                </c:pt>
                <c:pt idx="427">
                  <c:v>0.11797137268143983</c:v>
                </c:pt>
                <c:pt idx="428">
                  <c:v>0.1196832362459157</c:v>
                </c:pt>
                <c:pt idx="429">
                  <c:v>0.11936972547809727</c:v>
                </c:pt>
                <c:pt idx="430">
                  <c:v>0.11767939519945547</c:v>
                </c:pt>
                <c:pt idx="431">
                  <c:v>0.11661283608127569</c:v>
                </c:pt>
                <c:pt idx="432">
                  <c:v>0.11668978894695989</c:v>
                </c:pt>
                <c:pt idx="433">
                  <c:v>0.1217146015869935</c:v>
                </c:pt>
                <c:pt idx="434">
                  <c:v>0.1263215095164589</c:v>
                </c:pt>
                <c:pt idx="435">
                  <c:v>0.12460654197899211</c:v>
                </c:pt>
                <c:pt idx="436">
                  <c:v>0.12660661110956431</c:v>
                </c:pt>
                <c:pt idx="437">
                  <c:v>0.12970779556920745</c:v>
                </c:pt>
                <c:pt idx="438">
                  <c:v>0.12622183424923389</c:v>
                </c:pt>
                <c:pt idx="439">
                  <c:v>0.13377773940994561</c:v>
                </c:pt>
                <c:pt idx="440">
                  <c:v>0.13444033594365648</c:v>
                </c:pt>
                <c:pt idx="441">
                  <c:v>0.13648246304991993</c:v>
                </c:pt>
                <c:pt idx="442">
                  <c:v>0.13638749599036065</c:v>
                </c:pt>
                <c:pt idx="443">
                  <c:v>0.13033239595250476</c:v>
                </c:pt>
                <c:pt idx="444">
                  <c:v>0.13668936511829607</c:v>
                </c:pt>
                <c:pt idx="445">
                  <c:v>0.13584382107698287</c:v>
                </c:pt>
                <c:pt idx="446">
                  <c:v>0.13327197244837782</c:v>
                </c:pt>
                <c:pt idx="447">
                  <c:v>0.13331394769006963</c:v>
                </c:pt>
                <c:pt idx="448">
                  <c:v>0.13696071637087742</c:v>
                </c:pt>
                <c:pt idx="449">
                  <c:v>0.13646353211336357</c:v>
                </c:pt>
                <c:pt idx="450">
                  <c:v>0.1378111325648167</c:v>
                </c:pt>
                <c:pt idx="451">
                  <c:v>0.13494182118340536</c:v>
                </c:pt>
                <c:pt idx="452">
                  <c:v>0.12904744500917284</c:v>
                </c:pt>
                <c:pt idx="453">
                  <c:v>0.12711803975503116</c:v>
                </c:pt>
                <c:pt idx="454">
                  <c:v>0.1283117781047938</c:v>
                </c:pt>
                <c:pt idx="455">
                  <c:v>0.13158439811761186</c:v>
                </c:pt>
                <c:pt idx="456">
                  <c:v>0.13092065595509458</c:v>
                </c:pt>
                <c:pt idx="457">
                  <c:v>0.1308338916355504</c:v>
                </c:pt>
                <c:pt idx="458">
                  <c:v>0.12937118236142181</c:v>
                </c:pt>
                <c:pt idx="459">
                  <c:v>0.1312637248996934</c:v>
                </c:pt>
                <c:pt idx="460">
                  <c:v>0.13410670297549665</c:v>
                </c:pt>
                <c:pt idx="461">
                  <c:v>0.13161115930878992</c:v>
                </c:pt>
                <c:pt idx="462">
                  <c:v>0.12918794111138798</c:v>
                </c:pt>
                <c:pt idx="463">
                  <c:v>0.13204659075109709</c:v>
                </c:pt>
                <c:pt idx="464">
                  <c:v>0.13245204722145262</c:v>
                </c:pt>
                <c:pt idx="465">
                  <c:v>0.12729726015455675</c:v>
                </c:pt>
                <c:pt idx="466">
                  <c:v>0.12085126503163686</c:v>
                </c:pt>
                <c:pt idx="467">
                  <c:v>0.12161324600258185</c:v>
                </c:pt>
                <c:pt idx="468">
                  <c:v>0.12492173329895424</c:v>
                </c:pt>
                <c:pt idx="469">
                  <c:v>0.12283713557947833</c:v>
                </c:pt>
                <c:pt idx="470">
                  <c:v>0.12425372292019779</c:v>
                </c:pt>
                <c:pt idx="471">
                  <c:v>0.12408110582625478</c:v>
                </c:pt>
                <c:pt idx="472">
                  <c:v>0.12210305566418435</c:v>
                </c:pt>
                <c:pt idx="473">
                  <c:v>0.12031663841916158</c:v>
                </c:pt>
                <c:pt idx="474">
                  <c:v>0.12487238659186954</c:v>
                </c:pt>
                <c:pt idx="475">
                  <c:v>0.12118532048366684</c:v>
                </c:pt>
                <c:pt idx="476">
                  <c:v>0.12451451225054067</c:v>
                </c:pt>
                <c:pt idx="477">
                  <c:v>0.12200382469838682</c:v>
                </c:pt>
                <c:pt idx="478">
                  <c:v>0.11967142419217509</c:v>
                </c:pt>
                <c:pt idx="479">
                  <c:v>0.12132723763247082</c:v>
                </c:pt>
                <c:pt idx="480">
                  <c:v>0.11788092034455291</c:v>
                </c:pt>
                <c:pt idx="481">
                  <c:v>0.11490150977273948</c:v>
                </c:pt>
                <c:pt idx="482">
                  <c:v>0.11930699987618273</c:v>
                </c:pt>
                <c:pt idx="483">
                  <c:v>0.11999377664347623</c:v>
                </c:pt>
                <c:pt idx="484">
                  <c:v>0.11654207587710698</c:v>
                </c:pt>
                <c:pt idx="485">
                  <c:v>0.1128559223170951</c:v>
                </c:pt>
                <c:pt idx="486">
                  <c:v>0.11748353848666104</c:v>
                </c:pt>
                <c:pt idx="487">
                  <c:v>0.11404215165688592</c:v>
                </c:pt>
                <c:pt idx="488">
                  <c:v>0.11471953776077908</c:v>
                </c:pt>
                <c:pt idx="489">
                  <c:v>0.11231871872874083</c:v>
                </c:pt>
                <c:pt idx="490">
                  <c:v>0.10563027152172988</c:v>
                </c:pt>
                <c:pt idx="491">
                  <c:v>0.10392473517001806</c:v>
                </c:pt>
                <c:pt idx="492">
                  <c:v>9.9672450977660504E-2</c:v>
                </c:pt>
                <c:pt idx="493">
                  <c:v>0.1026711523220299</c:v>
                </c:pt>
                <c:pt idx="494">
                  <c:v>0.10273928977177993</c:v>
                </c:pt>
                <c:pt idx="495">
                  <c:v>0.10276534350291053</c:v>
                </c:pt>
                <c:pt idx="496">
                  <c:v>0.10015486804552647</c:v>
                </c:pt>
                <c:pt idx="497">
                  <c:v>9.7459518884333893E-2</c:v>
                </c:pt>
                <c:pt idx="498">
                  <c:v>9.4877342757877167E-2</c:v>
                </c:pt>
                <c:pt idx="499">
                  <c:v>8.9320045467363191E-2</c:v>
                </c:pt>
                <c:pt idx="500">
                  <c:v>8.9919287768699743E-2</c:v>
                </c:pt>
                <c:pt idx="501">
                  <c:v>8.6994644748340025E-2</c:v>
                </c:pt>
                <c:pt idx="502">
                  <c:v>9.2118986661124308E-2</c:v>
                </c:pt>
                <c:pt idx="503">
                  <c:v>8.9260579359124098E-2</c:v>
                </c:pt>
                <c:pt idx="504">
                  <c:v>8.9756040987796742E-2</c:v>
                </c:pt>
                <c:pt idx="505">
                  <c:v>8.9821311134967607E-2</c:v>
                </c:pt>
                <c:pt idx="506">
                  <c:v>9.6872911383231092E-2</c:v>
                </c:pt>
                <c:pt idx="507">
                  <c:v>9.4684604709126985E-2</c:v>
                </c:pt>
                <c:pt idx="508">
                  <c:v>9.7204141095246693E-2</c:v>
                </c:pt>
                <c:pt idx="509">
                  <c:v>9.6007910415541298E-2</c:v>
                </c:pt>
                <c:pt idx="510">
                  <c:v>9.819272476947781E-2</c:v>
                </c:pt>
                <c:pt idx="511">
                  <c:v>9.7447845551768081E-2</c:v>
                </c:pt>
                <c:pt idx="512">
                  <c:v>9.4515800246409182E-2</c:v>
                </c:pt>
                <c:pt idx="513">
                  <c:v>9.1486145657962481E-2</c:v>
                </c:pt>
                <c:pt idx="514">
                  <c:v>9.1777179562689978E-2</c:v>
                </c:pt>
                <c:pt idx="515">
                  <c:v>9.0247252635023256E-2</c:v>
                </c:pt>
                <c:pt idx="516">
                  <c:v>9.2612764881732063E-2</c:v>
                </c:pt>
                <c:pt idx="517">
                  <c:v>9.327392993060328E-2</c:v>
                </c:pt>
                <c:pt idx="518">
                  <c:v>9.4335056870345615E-2</c:v>
                </c:pt>
                <c:pt idx="519">
                  <c:v>9.1755421267399939E-2</c:v>
                </c:pt>
                <c:pt idx="520">
                  <c:v>9.2294485683646413E-2</c:v>
                </c:pt>
                <c:pt idx="521">
                  <c:v>9.6625572311232477E-2</c:v>
                </c:pt>
                <c:pt idx="522">
                  <c:v>9.714973960614183E-2</c:v>
                </c:pt>
                <c:pt idx="523">
                  <c:v>9.3062278967622952E-2</c:v>
                </c:pt>
                <c:pt idx="524">
                  <c:v>9.1514011163317005E-2</c:v>
                </c:pt>
                <c:pt idx="525">
                  <c:v>8.7381087762251522E-2</c:v>
                </c:pt>
                <c:pt idx="526">
                  <c:v>8.6714651832519501E-2</c:v>
                </c:pt>
                <c:pt idx="527">
                  <c:v>8.935262007257358E-2</c:v>
                </c:pt>
                <c:pt idx="528">
                  <c:v>8.7644242994313976E-2</c:v>
                </c:pt>
                <c:pt idx="529">
                  <c:v>9.504854003065083E-2</c:v>
                </c:pt>
                <c:pt idx="530">
                  <c:v>8.929421508432614E-2</c:v>
                </c:pt>
                <c:pt idx="531">
                  <c:v>9.230964753058471E-2</c:v>
                </c:pt>
                <c:pt idx="532">
                  <c:v>9.1461288880436212E-2</c:v>
                </c:pt>
                <c:pt idx="533">
                  <c:v>8.9275464604121002E-2</c:v>
                </c:pt>
                <c:pt idx="534">
                  <c:v>8.8171700933404526E-2</c:v>
                </c:pt>
                <c:pt idx="535">
                  <c:v>9.0726477524188845E-2</c:v>
                </c:pt>
                <c:pt idx="536">
                  <c:v>9.5471111642099635E-2</c:v>
                </c:pt>
                <c:pt idx="537">
                  <c:v>9.2714320311009235E-2</c:v>
                </c:pt>
                <c:pt idx="538">
                  <c:v>9.000847745974401E-2</c:v>
                </c:pt>
                <c:pt idx="539">
                  <c:v>8.7010723941518833E-2</c:v>
                </c:pt>
                <c:pt idx="540">
                  <c:v>8.0705764546626577E-2</c:v>
                </c:pt>
                <c:pt idx="541">
                  <c:v>8.0877910706527237E-2</c:v>
                </c:pt>
                <c:pt idx="542">
                  <c:v>7.6333042757080694E-2</c:v>
                </c:pt>
                <c:pt idx="543">
                  <c:v>7.1921983492835462E-2</c:v>
                </c:pt>
                <c:pt idx="544">
                  <c:v>7.238764243869808E-2</c:v>
                </c:pt>
                <c:pt idx="545">
                  <c:v>7.1372227524410942E-2</c:v>
                </c:pt>
                <c:pt idx="546">
                  <c:v>7.6636851812223877E-2</c:v>
                </c:pt>
                <c:pt idx="547">
                  <c:v>8.2037585107883088E-2</c:v>
                </c:pt>
                <c:pt idx="548">
                  <c:v>8.1492601276155763E-2</c:v>
                </c:pt>
                <c:pt idx="549">
                  <c:v>8.3172534258218217E-2</c:v>
                </c:pt>
                <c:pt idx="550">
                  <c:v>8.5463204871601708E-2</c:v>
                </c:pt>
                <c:pt idx="551">
                  <c:v>8.4911098752953634E-2</c:v>
                </c:pt>
                <c:pt idx="552">
                  <c:v>8.904817919100072E-2</c:v>
                </c:pt>
                <c:pt idx="553">
                  <c:v>8.8018086645833507E-2</c:v>
                </c:pt>
                <c:pt idx="554">
                  <c:v>8.9934112484610793E-2</c:v>
                </c:pt>
                <c:pt idx="555">
                  <c:v>9.0504125806688901E-2</c:v>
                </c:pt>
                <c:pt idx="556">
                  <c:v>9.2126538665121091E-2</c:v>
                </c:pt>
                <c:pt idx="557">
                  <c:v>9.4174308958712774E-2</c:v>
                </c:pt>
                <c:pt idx="558">
                  <c:v>9.5621162603063706E-2</c:v>
                </c:pt>
                <c:pt idx="559">
                  <c:v>9.5923563248491384E-2</c:v>
                </c:pt>
                <c:pt idx="560">
                  <c:v>9.2341693871660704E-2</c:v>
                </c:pt>
                <c:pt idx="561">
                  <c:v>9.5582018095147062E-2</c:v>
                </c:pt>
                <c:pt idx="562">
                  <c:v>9.7956304401949801E-2</c:v>
                </c:pt>
                <c:pt idx="563">
                  <c:v>9.7961534571653422E-2</c:v>
                </c:pt>
                <c:pt idx="564">
                  <c:v>0.10289186718285753</c:v>
                </c:pt>
                <c:pt idx="565">
                  <c:v>0.10164802857054418</c:v>
                </c:pt>
                <c:pt idx="566">
                  <c:v>0.1014057065342729</c:v>
                </c:pt>
                <c:pt idx="567">
                  <c:v>0.10457808535183015</c:v>
                </c:pt>
                <c:pt idx="568">
                  <c:v>0.10144818563116757</c:v>
                </c:pt>
                <c:pt idx="569">
                  <c:v>0.10026489010868114</c:v>
                </c:pt>
                <c:pt idx="570">
                  <c:v>0.1070834391413531</c:v>
                </c:pt>
                <c:pt idx="571">
                  <c:v>0.10899862327573398</c:v>
                </c:pt>
                <c:pt idx="572">
                  <c:v>0.11081197421008311</c:v>
                </c:pt>
                <c:pt idx="573">
                  <c:v>0.10942431808834469</c:v>
                </c:pt>
                <c:pt idx="574">
                  <c:v>0.11138746632316252</c:v>
                </c:pt>
                <c:pt idx="575">
                  <c:v>0.10886686132503585</c:v>
                </c:pt>
                <c:pt idx="576">
                  <c:v>0.10887482242289535</c:v>
                </c:pt>
                <c:pt idx="577">
                  <c:v>0.10944851237763702</c:v>
                </c:pt>
                <c:pt idx="578">
                  <c:v>0.11877305400181833</c:v>
                </c:pt>
                <c:pt idx="579">
                  <c:v>0.11498730189820587</c:v>
                </c:pt>
                <c:pt idx="580">
                  <c:v>0.10811337456988691</c:v>
                </c:pt>
                <c:pt idx="581">
                  <c:v>9.9919596964291896E-2</c:v>
                </c:pt>
                <c:pt idx="582">
                  <c:v>9.4251528555618344E-2</c:v>
                </c:pt>
                <c:pt idx="583">
                  <c:v>9.3604671718669749E-2</c:v>
                </c:pt>
                <c:pt idx="584">
                  <c:v>9.4530368938287548E-2</c:v>
                </c:pt>
                <c:pt idx="585">
                  <c:v>9.6213523110871932E-2</c:v>
                </c:pt>
                <c:pt idx="586">
                  <c:v>9.4282739381653852E-2</c:v>
                </c:pt>
                <c:pt idx="587">
                  <c:v>9.3705570709928465E-2</c:v>
                </c:pt>
                <c:pt idx="588">
                  <c:v>9.5503347884128342E-2</c:v>
                </c:pt>
                <c:pt idx="589">
                  <c:v>9.8710764652948119E-2</c:v>
                </c:pt>
                <c:pt idx="590">
                  <c:v>0.10215044441657135</c:v>
                </c:pt>
                <c:pt idx="591">
                  <c:v>9.8680066313491313E-2</c:v>
                </c:pt>
                <c:pt idx="592">
                  <c:v>0.10074736740982657</c:v>
                </c:pt>
                <c:pt idx="593">
                  <c:v>0.10439312293957745</c:v>
                </c:pt>
                <c:pt idx="594">
                  <c:v>0.10642872778224227</c:v>
                </c:pt>
                <c:pt idx="595">
                  <c:v>0.10490287689006796</c:v>
                </c:pt>
                <c:pt idx="596">
                  <c:v>0.10121643451852573</c:v>
                </c:pt>
                <c:pt idx="597">
                  <c:v>9.7054430097794908E-2</c:v>
                </c:pt>
                <c:pt idx="598">
                  <c:v>9.3197557540801543E-2</c:v>
                </c:pt>
                <c:pt idx="599">
                  <c:v>9.5210158213219542E-2</c:v>
                </c:pt>
                <c:pt idx="600">
                  <c:v>9.3837547004328475E-2</c:v>
                </c:pt>
                <c:pt idx="601">
                  <c:v>8.9030096716807006E-2</c:v>
                </c:pt>
                <c:pt idx="602">
                  <c:v>8.7123306957846647E-2</c:v>
                </c:pt>
                <c:pt idx="603">
                  <c:v>8.3382315033849283E-2</c:v>
                </c:pt>
                <c:pt idx="604">
                  <c:v>8.0224267728160881E-2</c:v>
                </c:pt>
                <c:pt idx="605">
                  <c:v>7.7878855503265829E-2</c:v>
                </c:pt>
                <c:pt idx="606">
                  <c:v>8.0439856096359244E-2</c:v>
                </c:pt>
                <c:pt idx="607">
                  <c:v>8.2572501204637078E-2</c:v>
                </c:pt>
                <c:pt idx="608">
                  <c:v>8.3872420796737485E-2</c:v>
                </c:pt>
                <c:pt idx="609">
                  <c:v>8.174021824244114E-2</c:v>
                </c:pt>
                <c:pt idx="610">
                  <c:v>8.2743244744841113E-2</c:v>
                </c:pt>
                <c:pt idx="611">
                  <c:v>8.120966152832923E-2</c:v>
                </c:pt>
                <c:pt idx="612">
                  <c:v>8.4716067933620284E-2</c:v>
                </c:pt>
                <c:pt idx="613">
                  <c:v>8.4028822935502276E-2</c:v>
                </c:pt>
                <c:pt idx="614">
                  <c:v>8.4176807796531514E-2</c:v>
                </c:pt>
                <c:pt idx="615">
                  <c:v>8.2273801117376491E-2</c:v>
                </c:pt>
                <c:pt idx="616">
                  <c:v>8.3220176126669002E-2</c:v>
                </c:pt>
                <c:pt idx="617">
                  <c:v>8.2730339877251466E-2</c:v>
                </c:pt>
                <c:pt idx="618">
                  <c:v>8.27366968012649E-2</c:v>
                </c:pt>
                <c:pt idx="619">
                  <c:v>8.268113688954673E-2</c:v>
                </c:pt>
                <c:pt idx="620">
                  <c:v>7.8595048111329016E-2</c:v>
                </c:pt>
                <c:pt idx="621">
                  <c:v>7.3014509087765203E-2</c:v>
                </c:pt>
                <c:pt idx="622">
                  <c:v>7.8208084658490454E-2</c:v>
                </c:pt>
                <c:pt idx="623">
                  <c:v>7.5571827604318867E-2</c:v>
                </c:pt>
                <c:pt idx="624">
                  <c:v>7.0079337911717568E-2</c:v>
                </c:pt>
                <c:pt idx="625">
                  <c:v>6.8265987433426309E-2</c:v>
                </c:pt>
                <c:pt idx="626">
                  <c:v>7.2921465838461014E-2</c:v>
                </c:pt>
                <c:pt idx="627">
                  <c:v>7.4001878310108724E-2</c:v>
                </c:pt>
                <c:pt idx="628">
                  <c:v>7.5887286390927317E-2</c:v>
                </c:pt>
                <c:pt idx="629">
                  <c:v>7.4165689617982242E-2</c:v>
                </c:pt>
                <c:pt idx="630">
                  <c:v>7.2744078286962194E-2</c:v>
                </c:pt>
                <c:pt idx="631">
                  <c:v>6.9954282522088906E-2</c:v>
                </c:pt>
                <c:pt idx="632">
                  <c:v>6.3739440964573693E-2</c:v>
                </c:pt>
                <c:pt idx="633">
                  <c:v>6.6543031003236955E-2</c:v>
                </c:pt>
                <c:pt idx="634">
                  <c:v>6.3476127520830289E-2</c:v>
                </c:pt>
                <c:pt idx="635">
                  <c:v>6.4429132551011584E-2</c:v>
                </c:pt>
                <c:pt idx="636">
                  <c:v>6.020225884873627E-2</c:v>
                </c:pt>
                <c:pt idx="637">
                  <c:v>6.1752748944476112E-2</c:v>
                </c:pt>
                <c:pt idx="638">
                  <c:v>6.5066362718406726E-2</c:v>
                </c:pt>
                <c:pt idx="639">
                  <c:v>6.7132363709864709E-2</c:v>
                </c:pt>
                <c:pt idx="640">
                  <c:v>6.5576816312990435E-2</c:v>
                </c:pt>
                <c:pt idx="641">
                  <c:v>6.9237763343877198E-2</c:v>
                </c:pt>
                <c:pt idx="642">
                  <c:v>7.1011252130040642E-2</c:v>
                </c:pt>
                <c:pt idx="643">
                  <c:v>7.0838530507354031E-2</c:v>
                </c:pt>
                <c:pt idx="644">
                  <c:v>7.3495041936065847E-2</c:v>
                </c:pt>
                <c:pt idx="645">
                  <c:v>7.4303079196278973E-2</c:v>
                </c:pt>
                <c:pt idx="646">
                  <c:v>6.5902904934901863E-2</c:v>
                </c:pt>
                <c:pt idx="647">
                  <c:v>6.7490780478294238E-2</c:v>
                </c:pt>
                <c:pt idx="648">
                  <c:v>6.2690581235395171E-2</c:v>
                </c:pt>
                <c:pt idx="649">
                  <c:v>6.4908357148427742E-2</c:v>
                </c:pt>
                <c:pt idx="650">
                  <c:v>6.2451840679476164E-2</c:v>
                </c:pt>
                <c:pt idx="651">
                  <c:v>6.3163204444169077E-2</c:v>
                </c:pt>
                <c:pt idx="652">
                  <c:v>6.228360911808014E-2</c:v>
                </c:pt>
                <c:pt idx="653">
                  <c:v>6.0501417244521495E-2</c:v>
                </c:pt>
                <c:pt idx="654">
                  <c:v>5.8103858035653988E-2</c:v>
                </c:pt>
                <c:pt idx="655">
                  <c:v>5.9786362153531822E-2</c:v>
                </c:pt>
                <c:pt idx="656">
                  <c:v>5.7230535785438123E-2</c:v>
                </c:pt>
                <c:pt idx="657">
                  <c:v>5.8525831930908948E-2</c:v>
                </c:pt>
                <c:pt idx="658">
                  <c:v>5.9075366169047065E-2</c:v>
                </c:pt>
                <c:pt idx="659">
                  <c:v>5.2443787471309948E-2</c:v>
                </c:pt>
                <c:pt idx="660">
                  <c:v>5.0912343805470432E-2</c:v>
                </c:pt>
                <c:pt idx="661">
                  <c:v>5.4622880911513141E-2</c:v>
                </c:pt>
                <c:pt idx="662">
                  <c:v>5.8068164901148044E-2</c:v>
                </c:pt>
                <c:pt idx="663">
                  <c:v>5.7020061008517413E-2</c:v>
                </c:pt>
                <c:pt idx="664">
                  <c:v>5.6209043080491863E-2</c:v>
                </c:pt>
                <c:pt idx="665">
                  <c:v>5.3743242785455121E-2</c:v>
                </c:pt>
                <c:pt idx="666">
                  <c:v>5.2857088431375723E-2</c:v>
                </c:pt>
                <c:pt idx="667">
                  <c:v>5.7268998642019786E-2</c:v>
                </c:pt>
                <c:pt idx="668">
                  <c:v>6.0285551683089605E-2</c:v>
                </c:pt>
                <c:pt idx="669">
                  <c:v>5.8989528846287033E-2</c:v>
                </c:pt>
                <c:pt idx="670">
                  <c:v>5.5494488084628334E-2</c:v>
                </c:pt>
                <c:pt idx="671">
                  <c:v>5.3712909474899782E-2</c:v>
                </c:pt>
                <c:pt idx="672">
                  <c:v>6.059524185320208E-2</c:v>
                </c:pt>
                <c:pt idx="673">
                  <c:v>5.8813480770383453E-2</c:v>
                </c:pt>
                <c:pt idx="674">
                  <c:v>6.5037865505808631E-2</c:v>
                </c:pt>
                <c:pt idx="675">
                  <c:v>6.3874749861565355E-2</c:v>
                </c:pt>
                <c:pt idx="676">
                  <c:v>6.2134679347693726E-2</c:v>
                </c:pt>
                <c:pt idx="677">
                  <c:v>6.3804644292656074E-2</c:v>
                </c:pt>
                <c:pt idx="678">
                  <c:v>6.3550012043289056E-2</c:v>
                </c:pt>
                <c:pt idx="679">
                  <c:v>6.5691313838709464E-2</c:v>
                </c:pt>
                <c:pt idx="680">
                  <c:v>6.2935830511354415E-2</c:v>
                </c:pt>
                <c:pt idx="681">
                  <c:v>6.1137804629099332E-2</c:v>
                </c:pt>
                <c:pt idx="682">
                  <c:v>6.1900592213465222E-2</c:v>
                </c:pt>
                <c:pt idx="683">
                  <c:v>5.5712765893171409E-2</c:v>
                </c:pt>
                <c:pt idx="684">
                  <c:v>5.6597875984518382E-2</c:v>
                </c:pt>
                <c:pt idx="685">
                  <c:v>5.5429037148861153E-2</c:v>
                </c:pt>
                <c:pt idx="686">
                  <c:v>5.0244411962164962E-2</c:v>
                </c:pt>
                <c:pt idx="687">
                  <c:v>5.2941882676371337E-2</c:v>
                </c:pt>
                <c:pt idx="688">
                  <c:v>4.991305754172113E-2</c:v>
                </c:pt>
                <c:pt idx="689">
                  <c:v>4.9714985665217995E-2</c:v>
                </c:pt>
                <c:pt idx="690">
                  <c:v>4.8399963677133555E-2</c:v>
                </c:pt>
                <c:pt idx="691">
                  <c:v>4.8527313522568269E-2</c:v>
                </c:pt>
                <c:pt idx="692">
                  <c:v>4.8927340499873129E-2</c:v>
                </c:pt>
                <c:pt idx="693">
                  <c:v>4.8871346457898375E-2</c:v>
                </c:pt>
                <c:pt idx="694">
                  <c:v>4.4882213128851781E-2</c:v>
                </c:pt>
                <c:pt idx="695">
                  <c:v>4.4490801529632529E-2</c:v>
                </c:pt>
                <c:pt idx="696">
                  <c:v>4.1827872714408201E-2</c:v>
                </c:pt>
                <c:pt idx="697">
                  <c:v>4.3628747897898057E-2</c:v>
                </c:pt>
                <c:pt idx="698">
                  <c:v>3.9461941088531065E-2</c:v>
                </c:pt>
                <c:pt idx="699">
                  <c:v>4.0037974728394002E-2</c:v>
                </c:pt>
                <c:pt idx="700">
                  <c:v>3.9212786502096329E-2</c:v>
                </c:pt>
                <c:pt idx="701">
                  <c:v>3.8779831572366336E-2</c:v>
                </c:pt>
                <c:pt idx="702">
                  <c:v>3.8394605957213578E-2</c:v>
                </c:pt>
                <c:pt idx="703">
                  <c:v>4.1246279521020252E-2</c:v>
                </c:pt>
                <c:pt idx="704">
                  <c:v>4.4116213797274734E-2</c:v>
                </c:pt>
                <c:pt idx="705">
                  <c:v>4.2232593134349704E-2</c:v>
                </c:pt>
                <c:pt idx="706">
                  <c:v>4.7338839329194526E-2</c:v>
                </c:pt>
                <c:pt idx="707">
                  <c:v>4.9779378227548916E-2</c:v>
                </c:pt>
                <c:pt idx="708">
                  <c:v>4.8954469605297611E-2</c:v>
                </c:pt>
                <c:pt idx="709">
                  <c:v>5.3282401560380423E-2</c:v>
                </c:pt>
                <c:pt idx="710">
                  <c:v>4.5313252751079981E-2</c:v>
                </c:pt>
                <c:pt idx="711">
                  <c:v>4.2093824252747401E-2</c:v>
                </c:pt>
                <c:pt idx="712">
                  <c:v>4.8817236188055967E-2</c:v>
                </c:pt>
                <c:pt idx="713">
                  <c:v>5.0723188049197301E-2</c:v>
                </c:pt>
                <c:pt idx="714">
                  <c:v>4.7546044032537198E-2</c:v>
                </c:pt>
                <c:pt idx="715">
                  <c:v>4.5802119987567287E-2</c:v>
                </c:pt>
                <c:pt idx="716">
                  <c:v>5.0302147823581611E-2</c:v>
                </c:pt>
                <c:pt idx="717">
                  <c:v>5.2600184138666038E-2</c:v>
                </c:pt>
                <c:pt idx="718">
                  <c:v>5.561381693960029E-2</c:v>
                </c:pt>
                <c:pt idx="719">
                  <c:v>5.093974507509489E-2</c:v>
                </c:pt>
                <c:pt idx="720">
                  <c:v>5.0963575506235974E-2</c:v>
                </c:pt>
                <c:pt idx="721">
                  <c:v>5.2500488593570663E-2</c:v>
                </c:pt>
                <c:pt idx="722">
                  <c:v>5.1008152725163527E-2</c:v>
                </c:pt>
                <c:pt idx="723">
                  <c:v>5.463906736444589E-2</c:v>
                </c:pt>
                <c:pt idx="724">
                  <c:v>5.37019805531459E-2</c:v>
                </c:pt>
                <c:pt idx="725">
                  <c:v>5.3856690287210317E-2</c:v>
                </c:pt>
                <c:pt idx="726">
                  <c:v>5.265946569035216E-2</c:v>
                </c:pt>
                <c:pt idx="727">
                  <c:v>5.6786639460172122E-2</c:v>
                </c:pt>
                <c:pt idx="728">
                  <c:v>5.6394738777788472E-2</c:v>
                </c:pt>
                <c:pt idx="729">
                  <c:v>5.920278507913488E-2</c:v>
                </c:pt>
                <c:pt idx="730">
                  <c:v>5.4258978663925275E-2</c:v>
                </c:pt>
                <c:pt idx="731">
                  <c:v>5.2948192249904623E-2</c:v>
                </c:pt>
                <c:pt idx="732">
                  <c:v>5.1265707167792371E-2</c:v>
                </c:pt>
                <c:pt idx="733">
                  <c:v>5.2940524024484757E-2</c:v>
                </c:pt>
                <c:pt idx="734">
                  <c:v>5.1381638532652402E-2</c:v>
                </c:pt>
                <c:pt idx="735">
                  <c:v>5.8000296429977866E-2</c:v>
                </c:pt>
                <c:pt idx="736">
                  <c:v>5.7711828681850923E-2</c:v>
                </c:pt>
                <c:pt idx="737">
                  <c:v>6.4941353657881395E-2</c:v>
                </c:pt>
                <c:pt idx="738">
                  <c:v>6.4782186591726035E-2</c:v>
                </c:pt>
                <c:pt idx="739">
                  <c:v>6.6767667297519193E-2</c:v>
                </c:pt>
                <c:pt idx="740">
                  <c:v>7.0781916487119345E-2</c:v>
                </c:pt>
                <c:pt idx="741">
                  <c:v>6.9355695109957871E-2</c:v>
                </c:pt>
                <c:pt idx="742">
                  <c:v>7.0517348752428988E-2</c:v>
                </c:pt>
                <c:pt idx="743">
                  <c:v>6.6517330611465961E-2</c:v>
                </c:pt>
                <c:pt idx="744">
                  <c:v>6.929948587824554E-2</c:v>
                </c:pt>
                <c:pt idx="745">
                  <c:v>6.5620147283628902E-2</c:v>
                </c:pt>
                <c:pt idx="746">
                  <c:v>6.7516797733878448E-2</c:v>
                </c:pt>
                <c:pt idx="747">
                  <c:v>6.3994881452913085E-2</c:v>
                </c:pt>
                <c:pt idx="748">
                  <c:v>7.0023519871083836E-2</c:v>
                </c:pt>
                <c:pt idx="749">
                  <c:v>6.8760403891272748E-2</c:v>
                </c:pt>
                <c:pt idx="750">
                  <c:v>6.8519644168028984E-2</c:v>
                </c:pt>
                <c:pt idx="751">
                  <c:v>6.5153603473535188E-2</c:v>
                </c:pt>
                <c:pt idx="752">
                  <c:v>6.506350326115351E-2</c:v>
                </c:pt>
                <c:pt idx="753">
                  <c:v>6.5444100592352644E-2</c:v>
                </c:pt>
                <c:pt idx="754">
                  <c:v>6.8801326662903423E-2</c:v>
                </c:pt>
                <c:pt idx="755">
                  <c:v>6.3600617525490691E-2</c:v>
                </c:pt>
                <c:pt idx="756">
                  <c:v>6.179053672757031E-2</c:v>
                </c:pt>
                <c:pt idx="757">
                  <c:v>6.1180600796600114E-2</c:v>
                </c:pt>
                <c:pt idx="758">
                  <c:v>6.5448264818614807E-2</c:v>
                </c:pt>
                <c:pt idx="759">
                  <c:v>6.9530646497504428E-2</c:v>
                </c:pt>
                <c:pt idx="760">
                  <c:v>7.2974205909209999E-2</c:v>
                </c:pt>
                <c:pt idx="761">
                  <c:v>7.3072427587311112E-2</c:v>
                </c:pt>
                <c:pt idx="762">
                  <c:v>6.9841122084810969E-2</c:v>
                </c:pt>
                <c:pt idx="763">
                  <c:v>7.1961300786900148E-2</c:v>
                </c:pt>
                <c:pt idx="764">
                  <c:v>7.7487461266711938E-2</c:v>
                </c:pt>
                <c:pt idx="765">
                  <c:v>7.5762083375948003E-2</c:v>
                </c:pt>
                <c:pt idx="766">
                  <c:v>7.4176110790139652E-2</c:v>
                </c:pt>
                <c:pt idx="767">
                  <c:v>7.1775312100617397E-2</c:v>
                </c:pt>
                <c:pt idx="768">
                  <c:v>7.0250611016549142E-2</c:v>
                </c:pt>
                <c:pt idx="769">
                  <c:v>6.2378106144508817E-2</c:v>
                </c:pt>
                <c:pt idx="770">
                  <c:v>6.2872972595788487E-2</c:v>
                </c:pt>
                <c:pt idx="771">
                  <c:v>6.0605657831602495E-2</c:v>
                </c:pt>
                <c:pt idx="772">
                  <c:v>6.0800450522704476E-2</c:v>
                </c:pt>
                <c:pt idx="773">
                  <c:v>6.1980351053452343E-2</c:v>
                </c:pt>
                <c:pt idx="774">
                  <c:v>6.2398003727863846E-2</c:v>
                </c:pt>
                <c:pt idx="775">
                  <c:v>5.936197261833772E-2</c:v>
                </c:pt>
                <c:pt idx="776">
                  <c:v>6.4432324128584892E-2</c:v>
                </c:pt>
                <c:pt idx="777">
                  <c:v>6.3401224922777943E-2</c:v>
                </c:pt>
                <c:pt idx="778">
                  <c:v>6.7810145705819599E-2</c:v>
                </c:pt>
                <c:pt idx="779">
                  <c:v>6.5465718391178193E-2</c:v>
                </c:pt>
                <c:pt idx="780">
                  <c:v>6.6572879473923735E-2</c:v>
                </c:pt>
                <c:pt idx="781">
                  <c:v>6.5993598508975168E-2</c:v>
                </c:pt>
                <c:pt idx="782">
                  <c:v>6.5674079711873154E-2</c:v>
                </c:pt>
                <c:pt idx="783">
                  <c:v>7.0648833765674685E-2</c:v>
                </c:pt>
                <c:pt idx="784">
                  <c:v>7.1953763613754301E-2</c:v>
                </c:pt>
                <c:pt idx="785">
                  <c:v>6.77449215405109E-2</c:v>
                </c:pt>
                <c:pt idx="786">
                  <c:v>6.8420205512159687E-2</c:v>
                </c:pt>
                <c:pt idx="787">
                  <c:v>6.5316832244205272E-2</c:v>
                </c:pt>
                <c:pt idx="788">
                  <c:v>6.0846243892862091E-2</c:v>
                </c:pt>
                <c:pt idx="789">
                  <c:v>5.5055997505081208E-2</c:v>
                </c:pt>
                <c:pt idx="790">
                  <c:v>5.9129976337253712E-2</c:v>
                </c:pt>
                <c:pt idx="791">
                  <c:v>5.4864272165838029E-2</c:v>
                </c:pt>
                <c:pt idx="792">
                  <c:v>5.7963349233617033E-2</c:v>
                </c:pt>
                <c:pt idx="793">
                  <c:v>5.3418048476257418E-2</c:v>
                </c:pt>
                <c:pt idx="794">
                  <c:v>5.2490658331094724E-2</c:v>
                </c:pt>
                <c:pt idx="795">
                  <c:v>4.567416416747655E-2</c:v>
                </c:pt>
                <c:pt idx="796">
                  <c:v>4.653495067287601E-2</c:v>
                </c:pt>
                <c:pt idx="797">
                  <c:v>4.2691006718710227E-2</c:v>
                </c:pt>
                <c:pt idx="798">
                  <c:v>4.2038949863727047E-2</c:v>
                </c:pt>
                <c:pt idx="799">
                  <c:v>4.1074630801336408E-2</c:v>
                </c:pt>
                <c:pt idx="800">
                  <c:v>4.0841608351494939E-2</c:v>
                </c:pt>
                <c:pt idx="801">
                  <c:v>4.0589354984737744E-2</c:v>
                </c:pt>
                <c:pt idx="802">
                  <c:v>4.312529846651101E-2</c:v>
                </c:pt>
                <c:pt idx="803">
                  <c:v>4.5598580663769428E-2</c:v>
                </c:pt>
                <c:pt idx="804">
                  <c:v>4.8047689821662208E-2</c:v>
                </c:pt>
                <c:pt idx="805">
                  <c:v>4.6466925793269283E-2</c:v>
                </c:pt>
                <c:pt idx="806">
                  <c:v>3.7745463335066946E-2</c:v>
                </c:pt>
                <c:pt idx="807">
                  <c:v>3.97653871625172E-2</c:v>
                </c:pt>
                <c:pt idx="808">
                  <c:v>3.8870652322966021E-2</c:v>
                </c:pt>
                <c:pt idx="809">
                  <c:v>3.7496200531951906E-2</c:v>
                </c:pt>
                <c:pt idx="810">
                  <c:v>3.5241878428140139E-2</c:v>
                </c:pt>
                <c:pt idx="811">
                  <c:v>3.5092862336671957E-2</c:v>
                </c:pt>
                <c:pt idx="812">
                  <c:v>3.6370506216585489E-2</c:v>
                </c:pt>
                <c:pt idx="813">
                  <c:v>4.5207545060091642E-2</c:v>
                </c:pt>
                <c:pt idx="814">
                  <c:v>4.759042529788151E-2</c:v>
                </c:pt>
                <c:pt idx="815">
                  <c:v>4.2574237206973287E-2</c:v>
                </c:pt>
                <c:pt idx="816">
                  <c:v>4.3542353387629934E-2</c:v>
                </c:pt>
                <c:pt idx="817">
                  <c:v>4.1180622946609076E-2</c:v>
                </c:pt>
                <c:pt idx="818">
                  <c:v>4.7957648638207076E-2</c:v>
                </c:pt>
                <c:pt idx="819">
                  <c:v>4.6413244679750644E-2</c:v>
                </c:pt>
                <c:pt idx="820">
                  <c:v>4.9357651925567077E-2</c:v>
                </c:pt>
                <c:pt idx="821">
                  <c:v>5.228948929199382E-2</c:v>
                </c:pt>
                <c:pt idx="822">
                  <c:v>4.6492880270919509E-2</c:v>
                </c:pt>
                <c:pt idx="823">
                  <c:v>4.65582123649491E-2</c:v>
                </c:pt>
                <c:pt idx="824">
                  <c:v>4.9073429334694517E-2</c:v>
                </c:pt>
                <c:pt idx="825">
                  <c:v>4.7172098400371933E-2</c:v>
                </c:pt>
                <c:pt idx="826">
                  <c:v>4.7425779218268856E-2</c:v>
                </c:pt>
                <c:pt idx="827">
                  <c:v>4.6781318641877234E-2</c:v>
                </c:pt>
                <c:pt idx="828">
                  <c:v>4.4088773595431736E-2</c:v>
                </c:pt>
                <c:pt idx="829">
                  <c:v>4.9708571708728493E-2</c:v>
                </c:pt>
                <c:pt idx="830">
                  <c:v>4.3693987269688754E-2</c:v>
                </c:pt>
                <c:pt idx="831">
                  <c:v>4.3747378173856814E-2</c:v>
                </c:pt>
                <c:pt idx="832">
                  <c:v>4.2765960028789025E-2</c:v>
                </c:pt>
                <c:pt idx="833">
                  <c:v>4.0115157417513536E-2</c:v>
                </c:pt>
                <c:pt idx="834">
                  <c:v>4.2078006175176041E-2</c:v>
                </c:pt>
                <c:pt idx="835">
                  <c:v>4.1297642275954671E-2</c:v>
                </c:pt>
                <c:pt idx="836">
                  <c:v>3.8691335093324827E-2</c:v>
                </c:pt>
                <c:pt idx="837">
                  <c:v>3.7259151393563804E-2</c:v>
                </c:pt>
                <c:pt idx="838">
                  <c:v>3.8272052718128079E-2</c:v>
                </c:pt>
                <c:pt idx="839">
                  <c:v>3.1412491475536951E-2</c:v>
                </c:pt>
                <c:pt idx="840">
                  <c:v>3.3836444538553147E-2</c:v>
                </c:pt>
                <c:pt idx="841">
                  <c:v>3.3476551249417896E-2</c:v>
                </c:pt>
                <c:pt idx="842">
                  <c:v>3.1756481460548866E-2</c:v>
                </c:pt>
                <c:pt idx="843">
                  <c:v>2.8800511713140027E-2</c:v>
                </c:pt>
                <c:pt idx="844">
                  <c:v>2.7966485826060778E-2</c:v>
                </c:pt>
                <c:pt idx="845">
                  <c:v>2.546544683647859E-2</c:v>
                </c:pt>
                <c:pt idx="846">
                  <c:v>2.5250961889234182E-2</c:v>
                </c:pt>
                <c:pt idx="847">
                  <c:v>2.303569131789264E-2</c:v>
                </c:pt>
                <c:pt idx="848">
                  <c:v>2.238358539498082E-2</c:v>
                </c:pt>
                <c:pt idx="849">
                  <c:v>2.0010972355318922E-2</c:v>
                </c:pt>
                <c:pt idx="850">
                  <c:v>2.0584927741116938E-2</c:v>
                </c:pt>
                <c:pt idx="851">
                  <c:v>2.1923356718312415E-2</c:v>
                </c:pt>
                <c:pt idx="852">
                  <c:v>1.9727573382853102E-2</c:v>
                </c:pt>
                <c:pt idx="853">
                  <c:v>1.9692658514078715E-2</c:v>
                </c:pt>
                <c:pt idx="854">
                  <c:v>2.0195709422295077E-2</c:v>
                </c:pt>
                <c:pt idx="855">
                  <c:v>2.3239939974935491E-2</c:v>
                </c:pt>
                <c:pt idx="856">
                  <c:v>1.895900593809079E-2</c:v>
                </c:pt>
                <c:pt idx="857">
                  <c:v>1.836175611266189E-2</c:v>
                </c:pt>
                <c:pt idx="858">
                  <c:v>1.9013011527673596E-2</c:v>
                </c:pt>
                <c:pt idx="859">
                  <c:v>1.4495935436283674E-2</c:v>
                </c:pt>
                <c:pt idx="860">
                  <c:v>1.3001131221039961E-2</c:v>
                </c:pt>
                <c:pt idx="861">
                  <c:v>9.4505619323982173E-3</c:v>
                </c:pt>
                <c:pt idx="862">
                  <c:v>1.7008345861923298E-2</c:v>
                </c:pt>
                <c:pt idx="863">
                  <c:v>1.2905864502040365E-2</c:v>
                </c:pt>
                <c:pt idx="864">
                  <c:v>1.5070506200712938E-2</c:v>
                </c:pt>
                <c:pt idx="865">
                  <c:v>1.147730024218558E-2</c:v>
                </c:pt>
                <c:pt idx="866">
                  <c:v>1.1195876748389412E-2</c:v>
                </c:pt>
                <c:pt idx="867">
                  <c:v>8.7185048903567659E-3</c:v>
                </c:pt>
                <c:pt idx="868">
                  <c:v>1.238488814311709E-2</c:v>
                </c:pt>
                <c:pt idx="869">
                  <c:v>8.2342492126653843E-3</c:v>
                </c:pt>
                <c:pt idx="870">
                  <c:v>1.033623203025083E-2</c:v>
                </c:pt>
                <c:pt idx="871">
                  <c:v>1.6515971567079679E-2</c:v>
                </c:pt>
                <c:pt idx="872">
                  <c:v>1.3548307547472821E-2</c:v>
                </c:pt>
                <c:pt idx="873">
                  <c:v>1.1862877569395851E-2</c:v>
                </c:pt>
                <c:pt idx="874">
                  <c:v>1.1957689136688716E-2</c:v>
                </c:pt>
                <c:pt idx="875">
                  <c:v>1.5545022048287562E-2</c:v>
                </c:pt>
                <c:pt idx="876">
                  <c:v>1.2597526725007158E-2</c:v>
                </c:pt>
                <c:pt idx="877">
                  <c:v>1.1886710836558775E-2</c:v>
                </c:pt>
                <c:pt idx="878">
                  <c:v>1.2441516368997013E-2</c:v>
                </c:pt>
                <c:pt idx="879">
                  <c:v>8.4596659405440193E-3</c:v>
                </c:pt>
                <c:pt idx="880">
                  <c:v>1.0595593710275058E-2</c:v>
                </c:pt>
                <c:pt idx="881">
                  <c:v>8.7438154024108202E-3</c:v>
                </c:pt>
                <c:pt idx="882">
                  <c:v>1.3831410432093126E-2</c:v>
                </c:pt>
                <c:pt idx="883">
                  <c:v>1.2395137000343892E-2</c:v>
                </c:pt>
                <c:pt idx="884">
                  <c:v>1.2734359205860794E-2</c:v>
                </c:pt>
                <c:pt idx="885">
                  <c:v>1.0645798730687814E-2</c:v>
                </c:pt>
                <c:pt idx="886">
                  <c:v>1.6751587281509352E-2</c:v>
                </c:pt>
                <c:pt idx="887">
                  <c:v>1.43825826459009E-2</c:v>
                </c:pt>
                <c:pt idx="888">
                  <c:v>1.547098165046986E-2</c:v>
                </c:pt>
                <c:pt idx="889">
                  <c:v>1.3199742474625575E-2</c:v>
                </c:pt>
                <c:pt idx="890">
                  <c:v>1.9563328869885353E-2</c:v>
                </c:pt>
                <c:pt idx="891">
                  <c:v>1.3909439234040233E-2</c:v>
                </c:pt>
                <c:pt idx="892">
                  <c:v>1.2360147264705303E-2</c:v>
                </c:pt>
                <c:pt idx="893">
                  <c:v>1.2053763770863613E-2</c:v>
                </c:pt>
                <c:pt idx="894">
                  <c:v>1.4208762214870481E-2</c:v>
                </c:pt>
                <c:pt idx="895">
                  <c:v>1.0315698401738066E-2</c:v>
                </c:pt>
                <c:pt idx="896">
                  <c:v>9.2561882886694948E-3</c:v>
                </c:pt>
                <c:pt idx="897">
                  <c:v>1.2289587292821376E-2</c:v>
                </c:pt>
                <c:pt idx="898">
                  <c:v>8.4096938223999964E-3</c:v>
                </c:pt>
                <c:pt idx="899">
                  <c:v>9.8154534678284965E-3</c:v>
                </c:pt>
                <c:pt idx="900">
                  <c:v>9.9483816985368404E-3</c:v>
                </c:pt>
                <c:pt idx="901">
                  <c:v>1.1161951102540793E-2</c:v>
                </c:pt>
                <c:pt idx="902">
                  <c:v>1.3651057977892128E-2</c:v>
                </c:pt>
                <c:pt idx="903">
                  <c:v>1.3610893104911696E-2</c:v>
                </c:pt>
                <c:pt idx="904">
                  <c:v>1.3310054327415491E-2</c:v>
                </c:pt>
                <c:pt idx="905">
                  <c:v>9.9969266452316352E-3</c:v>
                </c:pt>
                <c:pt idx="906">
                  <c:v>1.0518997116607387E-2</c:v>
                </c:pt>
                <c:pt idx="907">
                  <c:v>9.9150678266516756E-3</c:v>
                </c:pt>
                <c:pt idx="908">
                  <c:v>9.9428311914469842E-3</c:v>
                </c:pt>
                <c:pt idx="909">
                  <c:v>1.0793560665903371E-2</c:v>
                </c:pt>
                <c:pt idx="910">
                  <c:v>1.1205989520021617E-2</c:v>
                </c:pt>
                <c:pt idx="911">
                  <c:v>1.1958045016627138E-2</c:v>
                </c:pt>
                <c:pt idx="912">
                  <c:v>1.2647219158435549E-2</c:v>
                </c:pt>
                <c:pt idx="913">
                  <c:v>1.3799357859675026E-2</c:v>
                </c:pt>
                <c:pt idx="914">
                  <c:v>1.4636433075620027E-2</c:v>
                </c:pt>
                <c:pt idx="915">
                  <c:v>1.5230154814626839E-2</c:v>
                </c:pt>
                <c:pt idx="916">
                  <c:v>1.3861768232159821E-2</c:v>
                </c:pt>
                <c:pt idx="917">
                  <c:v>1.2565861580648454E-2</c:v>
                </c:pt>
                <c:pt idx="918">
                  <c:v>1.5698869417742827E-2</c:v>
                </c:pt>
                <c:pt idx="919">
                  <c:v>2.6567201640422693E-2</c:v>
                </c:pt>
                <c:pt idx="920">
                  <c:v>2.2531181559559171E-2</c:v>
                </c:pt>
                <c:pt idx="921">
                  <c:v>2.2661254427248499E-2</c:v>
                </c:pt>
                <c:pt idx="922">
                  <c:v>1.6457147452751383E-2</c:v>
                </c:pt>
                <c:pt idx="923">
                  <c:v>1.7442549896584975E-2</c:v>
                </c:pt>
                <c:pt idx="924">
                  <c:v>1.8328736916454695E-2</c:v>
                </c:pt>
                <c:pt idx="925">
                  <c:v>2.3220238274914772E-2</c:v>
                </c:pt>
                <c:pt idx="926">
                  <c:v>2.0602435056464155E-2</c:v>
                </c:pt>
                <c:pt idx="927">
                  <c:v>2.3008096259406991E-2</c:v>
                </c:pt>
                <c:pt idx="928">
                  <c:v>2.0915864271496675E-2</c:v>
                </c:pt>
                <c:pt idx="929">
                  <c:v>2.0756506620772917E-2</c:v>
                </c:pt>
                <c:pt idx="930">
                  <c:v>2.2080849548374755E-2</c:v>
                </c:pt>
                <c:pt idx="931">
                  <c:v>2.5263460770348686E-2</c:v>
                </c:pt>
                <c:pt idx="932">
                  <c:v>1.8385497502445673E-2</c:v>
                </c:pt>
                <c:pt idx="933">
                  <c:v>2.0451158925614062E-2</c:v>
                </c:pt>
                <c:pt idx="934">
                  <c:v>2.0942638905720394E-2</c:v>
                </c:pt>
                <c:pt idx="935">
                  <c:v>1.9123029063222823E-2</c:v>
                </c:pt>
                <c:pt idx="936">
                  <c:v>2.1881483085541574E-2</c:v>
                </c:pt>
                <c:pt idx="937">
                  <c:v>1.6985011231035303E-2</c:v>
                </c:pt>
                <c:pt idx="938">
                  <c:v>1.5177412597152223E-2</c:v>
                </c:pt>
                <c:pt idx="939">
                  <c:v>1.6293038420713755E-2</c:v>
                </c:pt>
                <c:pt idx="940">
                  <c:v>1.5002913080048363E-2</c:v>
                </c:pt>
                <c:pt idx="941">
                  <c:v>1.7910188100942911E-2</c:v>
                </c:pt>
                <c:pt idx="942">
                  <c:v>1.7435918737104667E-2</c:v>
                </c:pt>
                <c:pt idx="943">
                  <c:v>2.3748299226372248E-2</c:v>
                </c:pt>
                <c:pt idx="944">
                  <c:v>2.5541205884620072E-2</c:v>
                </c:pt>
                <c:pt idx="945">
                  <c:v>2.1911898883572426E-2</c:v>
                </c:pt>
                <c:pt idx="946">
                  <c:v>1.766450812459841E-2</c:v>
                </c:pt>
                <c:pt idx="947">
                  <c:v>1.9938773756372302E-2</c:v>
                </c:pt>
                <c:pt idx="948">
                  <c:v>2.0330382326833336E-2</c:v>
                </c:pt>
                <c:pt idx="949">
                  <c:v>2.2638524152153422E-2</c:v>
                </c:pt>
                <c:pt idx="950">
                  <c:v>1.8616999327636691E-2</c:v>
                </c:pt>
                <c:pt idx="951">
                  <c:v>1.6937025849091826E-2</c:v>
                </c:pt>
                <c:pt idx="952">
                  <c:v>1.9407078295238959E-2</c:v>
                </c:pt>
                <c:pt idx="953">
                  <c:v>2.0311151381720346E-2</c:v>
                </c:pt>
                <c:pt idx="954">
                  <c:v>1.4614277685064802E-2</c:v>
                </c:pt>
                <c:pt idx="955">
                  <c:v>1.2511761837334164E-2</c:v>
                </c:pt>
                <c:pt idx="956">
                  <c:v>1.0718003948259478E-2</c:v>
                </c:pt>
                <c:pt idx="957">
                  <c:v>1.0021609801644545E-2</c:v>
                </c:pt>
                <c:pt idx="958">
                  <c:v>9.0931545596169266E-3</c:v>
                </c:pt>
                <c:pt idx="959">
                  <c:v>1.2286619706986097E-2</c:v>
                </c:pt>
                <c:pt idx="960">
                  <c:v>1.2139073079083653E-2</c:v>
                </c:pt>
                <c:pt idx="961">
                  <c:v>8.0600738309347403E-3</c:v>
                </c:pt>
                <c:pt idx="962">
                  <c:v>7.0054061293420983E-3</c:v>
                </c:pt>
                <c:pt idx="963">
                  <c:v>7.704930518886763E-3</c:v>
                </c:pt>
                <c:pt idx="964">
                  <c:v>1.1613776957261507E-2</c:v>
                </c:pt>
                <c:pt idx="965">
                  <c:v>1.3909088599126304E-2</c:v>
                </c:pt>
                <c:pt idx="966">
                  <c:v>1.51374781078355E-2</c:v>
                </c:pt>
                <c:pt idx="967">
                  <c:v>1.6155070550983117E-2</c:v>
                </c:pt>
                <c:pt idx="968">
                  <c:v>1.709057979595582E-2</c:v>
                </c:pt>
                <c:pt idx="969">
                  <c:v>1.7448965973638497E-2</c:v>
                </c:pt>
                <c:pt idx="970">
                  <c:v>1.936304535543865E-2</c:v>
                </c:pt>
                <c:pt idx="971">
                  <c:v>1.9216318814534578E-2</c:v>
                </c:pt>
                <c:pt idx="972">
                  <c:v>1.7399214821357218E-2</c:v>
                </c:pt>
                <c:pt idx="973">
                  <c:v>1.2125653988592441E-2</c:v>
                </c:pt>
                <c:pt idx="974">
                  <c:v>1.3886112986912152E-2</c:v>
                </c:pt>
                <c:pt idx="975">
                  <c:v>1.5916168661046184E-2</c:v>
                </c:pt>
                <c:pt idx="976">
                  <c:v>9.2461298592227195E-3</c:v>
                </c:pt>
                <c:pt idx="977">
                  <c:v>9.9848917355473011E-3</c:v>
                </c:pt>
                <c:pt idx="978">
                  <c:v>8.2964915543514723E-3</c:v>
                </c:pt>
                <c:pt idx="979">
                  <c:v>9.6484201359637867E-3</c:v>
                </c:pt>
                <c:pt idx="980">
                  <c:v>1.3151498412458914E-2</c:v>
                </c:pt>
                <c:pt idx="981">
                  <c:v>1.4116916746326608E-2</c:v>
                </c:pt>
                <c:pt idx="982">
                  <c:v>2.1962051351313877E-2</c:v>
                </c:pt>
                <c:pt idx="983">
                  <c:v>1.9694293285319645E-2</c:v>
                </c:pt>
                <c:pt idx="984">
                  <c:v>1.5254198590086749E-2</c:v>
                </c:pt>
                <c:pt idx="985">
                  <c:v>1.4743789840048722E-2</c:v>
                </c:pt>
                <c:pt idx="986">
                  <c:v>1.3765683936493396E-2</c:v>
                </c:pt>
                <c:pt idx="987">
                  <c:v>1.6430607724501077E-2</c:v>
                </c:pt>
                <c:pt idx="988">
                  <c:v>1.2559943726641137E-2</c:v>
                </c:pt>
                <c:pt idx="989">
                  <c:v>1.3897898680876909E-2</c:v>
                </c:pt>
                <c:pt idx="990">
                  <c:v>1.2859387662867974E-2</c:v>
                </c:pt>
                <c:pt idx="991">
                  <c:v>1.1938704398486285E-2</c:v>
                </c:pt>
                <c:pt idx="992">
                  <c:v>1.2472343878265247E-2</c:v>
                </c:pt>
                <c:pt idx="993">
                  <c:v>1.2623501565334337E-2</c:v>
                </c:pt>
                <c:pt idx="994">
                  <c:v>1.081539432982967E-2</c:v>
                </c:pt>
                <c:pt idx="995">
                  <c:v>1.3038312719306127E-2</c:v>
                </c:pt>
                <c:pt idx="996">
                  <c:v>1.8651564128163097E-2</c:v>
                </c:pt>
                <c:pt idx="997">
                  <c:v>2.06414880170071E-2</c:v>
                </c:pt>
                <c:pt idx="998">
                  <c:v>2.2085322162833942E-2</c:v>
                </c:pt>
                <c:pt idx="999">
                  <c:v>2.5761911883343813E-2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45-4644-BF8F-600848ABB23D}"/>
            </c:ext>
          </c:extLst>
        </c:ser>
        <c:ser>
          <c:idx val="2"/>
          <c:order val="1"/>
          <c:tx>
            <c:v>path(gbm)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Model!$F$6:$F$1005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</c:numCache>
            </c:numRef>
          </c:xVal>
          <c:yVal>
            <c:numRef>
              <c:f>Model!$I$6:$I$1005</c:f>
              <c:numCache>
                <c:formatCode>General</c:formatCode>
                <c:ptCount val="1000"/>
                <c:pt idx="0">
                  <c:v>0.01</c:v>
                </c:pt>
                <c:pt idx="1">
                  <c:v>1.0048717863091276E-2</c:v>
                </c:pt>
                <c:pt idx="2">
                  <c:v>1.0030438445384976E-2</c:v>
                </c:pt>
                <c:pt idx="3">
                  <c:v>1.0032564256882792E-2</c:v>
                </c:pt>
                <c:pt idx="4">
                  <c:v>1.0084693216029769E-2</c:v>
                </c:pt>
                <c:pt idx="5">
                  <c:v>1.0077067138000252E-2</c:v>
                </c:pt>
                <c:pt idx="6">
                  <c:v>1.0063169694129679E-2</c:v>
                </c:pt>
                <c:pt idx="7">
                  <c:v>1.0096702766973853E-2</c:v>
                </c:pt>
                <c:pt idx="8">
                  <c:v>1.0112732764639629E-2</c:v>
                </c:pt>
                <c:pt idx="9">
                  <c:v>1.0084379552085092E-2</c:v>
                </c:pt>
                <c:pt idx="10">
                  <c:v>1.0066784513623207E-2</c:v>
                </c:pt>
                <c:pt idx="11">
                  <c:v>1.0093613951553788E-2</c:v>
                </c:pt>
                <c:pt idx="12">
                  <c:v>1.009920064104778E-2</c:v>
                </c:pt>
                <c:pt idx="13">
                  <c:v>1.0083061496130769E-2</c:v>
                </c:pt>
                <c:pt idx="14">
                  <c:v>1.0066099673011418E-2</c:v>
                </c:pt>
                <c:pt idx="15">
                  <c:v>1.0063376961592301E-2</c:v>
                </c:pt>
                <c:pt idx="16">
                  <c:v>1.0021174694703797E-2</c:v>
                </c:pt>
                <c:pt idx="17">
                  <c:v>1.0000241075661002E-2</c:v>
                </c:pt>
                <c:pt idx="18">
                  <c:v>1.0004755961896782E-2</c:v>
                </c:pt>
                <c:pt idx="19">
                  <c:v>1.0018912928508148E-2</c:v>
                </c:pt>
                <c:pt idx="20">
                  <c:v>1.0016218712285484E-2</c:v>
                </c:pt>
                <c:pt idx="21">
                  <c:v>1.0015137159107486E-2</c:v>
                </c:pt>
                <c:pt idx="22">
                  <c:v>1.0023484745777512E-2</c:v>
                </c:pt>
                <c:pt idx="23">
                  <c:v>1.0000174143585E-2</c:v>
                </c:pt>
                <c:pt idx="24">
                  <c:v>9.9950206723464843E-3</c:v>
                </c:pt>
                <c:pt idx="25">
                  <c:v>1.0003346023115615E-2</c:v>
                </c:pt>
                <c:pt idx="26">
                  <c:v>1.006846458914587E-2</c:v>
                </c:pt>
                <c:pt idx="27">
                  <c:v>1.0122802108054028E-2</c:v>
                </c:pt>
                <c:pt idx="28">
                  <c:v>1.0112518606742973E-2</c:v>
                </c:pt>
                <c:pt idx="29">
                  <c:v>1.0118456831965423E-2</c:v>
                </c:pt>
                <c:pt idx="30">
                  <c:v>1.0096082840721011E-2</c:v>
                </c:pt>
                <c:pt idx="31">
                  <c:v>1.0100739742598393E-2</c:v>
                </c:pt>
                <c:pt idx="32">
                  <c:v>1.0125043258560004E-2</c:v>
                </c:pt>
                <c:pt idx="33">
                  <c:v>1.0090219793214467E-2</c:v>
                </c:pt>
                <c:pt idx="34">
                  <c:v>1.0162631588151772E-2</c:v>
                </c:pt>
                <c:pt idx="35">
                  <c:v>1.0176617244232524E-2</c:v>
                </c:pt>
                <c:pt idx="36">
                  <c:v>1.0195086623102437E-2</c:v>
                </c:pt>
                <c:pt idx="37">
                  <c:v>1.0196400851022509E-2</c:v>
                </c:pt>
                <c:pt idx="38">
                  <c:v>1.0162995493147385E-2</c:v>
                </c:pt>
                <c:pt idx="39">
                  <c:v>1.0137445750265584E-2</c:v>
                </c:pt>
                <c:pt idx="40">
                  <c:v>1.0139955387844598E-2</c:v>
                </c:pt>
                <c:pt idx="41">
                  <c:v>1.017939999497265E-2</c:v>
                </c:pt>
                <c:pt idx="42">
                  <c:v>1.0162026271730672E-2</c:v>
                </c:pt>
                <c:pt idx="43">
                  <c:v>1.0126849475390446E-2</c:v>
                </c:pt>
                <c:pt idx="44">
                  <c:v>1.0139337037046161E-2</c:v>
                </c:pt>
                <c:pt idx="45">
                  <c:v>1.0134898442732059E-2</c:v>
                </c:pt>
                <c:pt idx="46">
                  <c:v>1.0135973156932047E-2</c:v>
                </c:pt>
                <c:pt idx="47">
                  <c:v>1.0091075380805241E-2</c:v>
                </c:pt>
                <c:pt idx="48">
                  <c:v>1.0082111052663397E-2</c:v>
                </c:pt>
                <c:pt idx="49">
                  <c:v>1.0107045326445139E-2</c:v>
                </c:pt>
                <c:pt idx="50">
                  <c:v>1.0106807620522126E-2</c:v>
                </c:pt>
                <c:pt idx="51">
                  <c:v>1.0094572716948852E-2</c:v>
                </c:pt>
                <c:pt idx="52">
                  <c:v>1.0106719255256986E-2</c:v>
                </c:pt>
                <c:pt idx="53">
                  <c:v>1.0136614187537946E-2</c:v>
                </c:pt>
                <c:pt idx="54">
                  <c:v>1.0154084468147664E-2</c:v>
                </c:pt>
                <c:pt idx="55">
                  <c:v>1.0139793499827101E-2</c:v>
                </c:pt>
                <c:pt idx="56">
                  <c:v>1.0105501648582598E-2</c:v>
                </c:pt>
                <c:pt idx="57">
                  <c:v>1.0080137956103009E-2</c:v>
                </c:pt>
                <c:pt idx="58">
                  <c:v>1.0122870048887693E-2</c:v>
                </c:pt>
                <c:pt idx="59">
                  <c:v>1.0118009183148289E-2</c:v>
                </c:pt>
                <c:pt idx="60">
                  <c:v>1.007701552308761E-2</c:v>
                </c:pt>
                <c:pt idx="61">
                  <c:v>1.0091378904206194E-2</c:v>
                </c:pt>
                <c:pt idx="62">
                  <c:v>1.0081797071859648E-2</c:v>
                </c:pt>
                <c:pt idx="63">
                  <c:v>1.0083069204549324E-2</c:v>
                </c:pt>
                <c:pt idx="64">
                  <c:v>1.0039747831157804E-2</c:v>
                </c:pt>
                <c:pt idx="65">
                  <c:v>1.0010693141167223E-2</c:v>
                </c:pt>
                <c:pt idx="66">
                  <c:v>9.9824115550248057E-3</c:v>
                </c:pt>
                <c:pt idx="67">
                  <c:v>9.984225362844875E-3</c:v>
                </c:pt>
                <c:pt idx="68">
                  <c:v>9.9875982958333911E-3</c:v>
                </c:pt>
                <c:pt idx="69">
                  <c:v>1.0003050847292555E-2</c:v>
                </c:pt>
                <c:pt idx="70">
                  <c:v>1.0042888292043462E-2</c:v>
                </c:pt>
                <c:pt idx="71">
                  <c:v>1.0085457639090563E-2</c:v>
                </c:pt>
                <c:pt idx="72">
                  <c:v>1.0068441086021196E-2</c:v>
                </c:pt>
                <c:pt idx="73">
                  <c:v>1.0043434454342057E-2</c:v>
                </c:pt>
                <c:pt idx="74">
                  <c:v>1.0106159574259924E-2</c:v>
                </c:pt>
                <c:pt idx="75">
                  <c:v>1.008439913282865E-2</c:v>
                </c:pt>
                <c:pt idx="76">
                  <c:v>1.0156369779002741E-2</c:v>
                </c:pt>
                <c:pt idx="77">
                  <c:v>1.016637735151011E-2</c:v>
                </c:pt>
                <c:pt idx="78">
                  <c:v>1.017796496089767E-2</c:v>
                </c:pt>
                <c:pt idx="79">
                  <c:v>1.0144936004322598E-2</c:v>
                </c:pt>
                <c:pt idx="80">
                  <c:v>1.0154491669236865E-2</c:v>
                </c:pt>
                <c:pt idx="81">
                  <c:v>1.0117537526706528E-2</c:v>
                </c:pt>
                <c:pt idx="82">
                  <c:v>1.0130356623018796E-2</c:v>
                </c:pt>
                <c:pt idx="83">
                  <c:v>1.014153783710205E-2</c:v>
                </c:pt>
                <c:pt idx="84">
                  <c:v>1.0122518801461833E-2</c:v>
                </c:pt>
                <c:pt idx="85">
                  <c:v>1.0155494675634084E-2</c:v>
                </c:pt>
                <c:pt idx="86">
                  <c:v>1.013134828462914E-2</c:v>
                </c:pt>
                <c:pt idx="87">
                  <c:v>1.0137918532915888E-2</c:v>
                </c:pt>
                <c:pt idx="88">
                  <c:v>1.0096808565150607E-2</c:v>
                </c:pt>
                <c:pt idx="89">
                  <c:v>1.0086282331653365E-2</c:v>
                </c:pt>
                <c:pt idx="90">
                  <c:v>1.0114238794865319E-2</c:v>
                </c:pt>
                <c:pt idx="91">
                  <c:v>1.0145556787640356E-2</c:v>
                </c:pt>
                <c:pt idx="92">
                  <c:v>1.0191641597620413E-2</c:v>
                </c:pt>
                <c:pt idx="93">
                  <c:v>1.0159539188551702E-2</c:v>
                </c:pt>
                <c:pt idx="94">
                  <c:v>1.0140522647724951E-2</c:v>
                </c:pt>
                <c:pt idx="95">
                  <c:v>1.0151025749997704E-2</c:v>
                </c:pt>
                <c:pt idx="96">
                  <c:v>1.0113709014952689E-2</c:v>
                </c:pt>
                <c:pt idx="97">
                  <c:v>1.0111175862583052E-2</c:v>
                </c:pt>
                <c:pt idx="98">
                  <c:v>1.0118345698183526E-2</c:v>
                </c:pt>
                <c:pt idx="99">
                  <c:v>1.0093847442651609E-2</c:v>
                </c:pt>
                <c:pt idx="100">
                  <c:v>1.0111671797016979E-2</c:v>
                </c:pt>
                <c:pt idx="101">
                  <c:v>1.0063682096780187E-2</c:v>
                </c:pt>
                <c:pt idx="102">
                  <c:v>1.0040652907002016E-2</c:v>
                </c:pt>
                <c:pt idx="103">
                  <c:v>1.0006982694595625E-2</c:v>
                </c:pt>
                <c:pt idx="104">
                  <c:v>1.0011495341268436E-2</c:v>
                </c:pt>
                <c:pt idx="105">
                  <c:v>1.0016685846745239E-2</c:v>
                </c:pt>
                <c:pt idx="106">
                  <c:v>1.0032306359239934E-2</c:v>
                </c:pt>
                <c:pt idx="107">
                  <c:v>1.0027694326533771E-2</c:v>
                </c:pt>
                <c:pt idx="108">
                  <c:v>9.9991832344433519E-3</c:v>
                </c:pt>
                <c:pt idx="109">
                  <c:v>9.9425506448923007E-3</c:v>
                </c:pt>
                <c:pt idx="110">
                  <c:v>9.9471006652223654E-3</c:v>
                </c:pt>
                <c:pt idx="111">
                  <c:v>9.9638531479630081E-3</c:v>
                </c:pt>
                <c:pt idx="112">
                  <c:v>9.9800902090348559E-3</c:v>
                </c:pt>
                <c:pt idx="113">
                  <c:v>9.9923397301784362E-3</c:v>
                </c:pt>
                <c:pt idx="114">
                  <c:v>1.0031616465459577E-2</c:v>
                </c:pt>
                <c:pt idx="115">
                  <c:v>1.0031328486275505E-2</c:v>
                </c:pt>
                <c:pt idx="116">
                  <c:v>1.0048698785772733E-2</c:v>
                </c:pt>
                <c:pt idx="117">
                  <c:v>1.006576186072607E-2</c:v>
                </c:pt>
                <c:pt idx="118">
                  <c:v>1.0079297728974371E-2</c:v>
                </c:pt>
                <c:pt idx="119">
                  <c:v>1.0170931685412278E-2</c:v>
                </c:pt>
                <c:pt idx="120">
                  <c:v>1.0166563642312351E-2</c:v>
                </c:pt>
                <c:pt idx="121">
                  <c:v>1.0177963150442145E-2</c:v>
                </c:pt>
                <c:pt idx="122">
                  <c:v>1.0121250731233352E-2</c:v>
                </c:pt>
                <c:pt idx="123">
                  <c:v>1.0075352136482446E-2</c:v>
                </c:pt>
                <c:pt idx="124">
                  <c:v>1.006399028812785E-2</c:v>
                </c:pt>
                <c:pt idx="125">
                  <c:v>1.0028422896052597E-2</c:v>
                </c:pt>
                <c:pt idx="126">
                  <c:v>1.0048830948874132E-2</c:v>
                </c:pt>
                <c:pt idx="127">
                  <c:v>1.0066406876266806E-2</c:v>
                </c:pt>
                <c:pt idx="128">
                  <c:v>1.0045508540468725E-2</c:v>
                </c:pt>
                <c:pt idx="129">
                  <c:v>1.0048340316380048E-2</c:v>
                </c:pt>
                <c:pt idx="130">
                  <c:v>1.0046161019401569E-2</c:v>
                </c:pt>
                <c:pt idx="131">
                  <c:v>1.0034635259701521E-2</c:v>
                </c:pt>
                <c:pt idx="132">
                  <c:v>1.0104824151083948E-2</c:v>
                </c:pt>
                <c:pt idx="133">
                  <c:v>1.01425866764206E-2</c:v>
                </c:pt>
                <c:pt idx="134">
                  <c:v>1.0100375601123828E-2</c:v>
                </c:pt>
                <c:pt idx="135">
                  <c:v>1.0127456032535353E-2</c:v>
                </c:pt>
                <c:pt idx="136">
                  <c:v>1.0148441838073726E-2</c:v>
                </c:pt>
                <c:pt idx="137">
                  <c:v>1.0141316651244249E-2</c:v>
                </c:pt>
                <c:pt idx="138">
                  <c:v>1.020845354735511E-2</c:v>
                </c:pt>
                <c:pt idx="139">
                  <c:v>1.0180437019113538E-2</c:v>
                </c:pt>
                <c:pt idx="140">
                  <c:v>1.01657919545489E-2</c:v>
                </c:pt>
                <c:pt idx="141">
                  <c:v>1.019498248581807E-2</c:v>
                </c:pt>
                <c:pt idx="142">
                  <c:v>1.0163251175657117E-2</c:v>
                </c:pt>
                <c:pt idx="143">
                  <c:v>1.0174480348998304E-2</c:v>
                </c:pt>
                <c:pt idx="144">
                  <c:v>1.0120303234425325E-2</c:v>
                </c:pt>
                <c:pt idx="145">
                  <c:v>1.0150549713499454E-2</c:v>
                </c:pt>
                <c:pt idx="146">
                  <c:v>1.0126716918076753E-2</c:v>
                </c:pt>
                <c:pt idx="147">
                  <c:v>1.0099009798231608E-2</c:v>
                </c:pt>
                <c:pt idx="148">
                  <c:v>1.0181025811526363E-2</c:v>
                </c:pt>
                <c:pt idx="149">
                  <c:v>1.0141604964101707E-2</c:v>
                </c:pt>
                <c:pt idx="150">
                  <c:v>1.0213516027382815E-2</c:v>
                </c:pt>
                <c:pt idx="151">
                  <c:v>1.0167041233776045E-2</c:v>
                </c:pt>
                <c:pt idx="152">
                  <c:v>1.0167935866535558E-2</c:v>
                </c:pt>
                <c:pt idx="153">
                  <c:v>1.0174019903558382E-2</c:v>
                </c:pt>
                <c:pt idx="154">
                  <c:v>1.0199700570244103E-2</c:v>
                </c:pt>
                <c:pt idx="155">
                  <c:v>1.0168279068374935E-2</c:v>
                </c:pt>
                <c:pt idx="156">
                  <c:v>1.0132383735294119E-2</c:v>
                </c:pt>
                <c:pt idx="157">
                  <c:v>1.0160855262231604E-2</c:v>
                </c:pt>
                <c:pt idx="158">
                  <c:v>1.0144706681587991E-2</c:v>
                </c:pt>
                <c:pt idx="159">
                  <c:v>1.0087870946397827E-2</c:v>
                </c:pt>
                <c:pt idx="160">
                  <c:v>1.0079811132806838E-2</c:v>
                </c:pt>
                <c:pt idx="161">
                  <c:v>1.0108406783019283E-2</c:v>
                </c:pt>
                <c:pt idx="162">
                  <c:v>1.015668523859747E-2</c:v>
                </c:pt>
                <c:pt idx="163">
                  <c:v>1.0156957099816965E-2</c:v>
                </c:pt>
                <c:pt idx="164">
                  <c:v>1.0211700561366643E-2</c:v>
                </c:pt>
                <c:pt idx="165">
                  <c:v>1.0229728804271579E-2</c:v>
                </c:pt>
                <c:pt idx="166">
                  <c:v>1.0172284107197033E-2</c:v>
                </c:pt>
                <c:pt idx="167">
                  <c:v>1.0213119120067806E-2</c:v>
                </c:pt>
                <c:pt idx="168">
                  <c:v>1.0195572326610117E-2</c:v>
                </c:pt>
                <c:pt idx="169">
                  <c:v>1.0156585902278666E-2</c:v>
                </c:pt>
                <c:pt idx="170">
                  <c:v>1.0142110382676229E-2</c:v>
                </c:pt>
                <c:pt idx="171">
                  <c:v>1.012395002607217E-2</c:v>
                </c:pt>
                <c:pt idx="172">
                  <c:v>1.0177734844315922E-2</c:v>
                </c:pt>
                <c:pt idx="173">
                  <c:v>1.0174294958302925E-2</c:v>
                </c:pt>
                <c:pt idx="174">
                  <c:v>1.0179399505672964E-2</c:v>
                </c:pt>
                <c:pt idx="175">
                  <c:v>1.0203079080007406E-2</c:v>
                </c:pt>
                <c:pt idx="176">
                  <c:v>1.020844399969582E-2</c:v>
                </c:pt>
                <c:pt idx="177">
                  <c:v>1.0170561672445531E-2</c:v>
                </c:pt>
                <c:pt idx="178">
                  <c:v>1.0121311390162317E-2</c:v>
                </c:pt>
                <c:pt idx="179">
                  <c:v>1.0112719091611726E-2</c:v>
                </c:pt>
                <c:pt idx="180">
                  <c:v>1.0073787872398692E-2</c:v>
                </c:pt>
                <c:pt idx="181">
                  <c:v>1.0091834876699792E-2</c:v>
                </c:pt>
                <c:pt idx="182">
                  <c:v>1.0043120791153921E-2</c:v>
                </c:pt>
                <c:pt idx="183">
                  <c:v>1.0015493438062947E-2</c:v>
                </c:pt>
                <c:pt idx="184">
                  <c:v>1.0008768195796129E-2</c:v>
                </c:pt>
                <c:pt idx="185">
                  <c:v>1.0028628789725982E-2</c:v>
                </c:pt>
                <c:pt idx="186">
                  <c:v>1.0026099691023619E-2</c:v>
                </c:pt>
                <c:pt idx="187">
                  <c:v>1.0022711067517195E-2</c:v>
                </c:pt>
                <c:pt idx="188">
                  <c:v>1.0039763767089045E-2</c:v>
                </c:pt>
                <c:pt idx="189">
                  <c:v>1.0056148661229959E-2</c:v>
                </c:pt>
                <c:pt idx="190">
                  <c:v>1.0020042481665332E-2</c:v>
                </c:pt>
                <c:pt idx="191">
                  <c:v>1.0031002437415493E-2</c:v>
                </c:pt>
                <c:pt idx="192">
                  <c:v>1.0042821999631754E-2</c:v>
                </c:pt>
                <c:pt idx="193">
                  <c:v>9.9959425882124135E-3</c:v>
                </c:pt>
                <c:pt idx="194">
                  <c:v>1.0009960585708161E-2</c:v>
                </c:pt>
                <c:pt idx="195">
                  <c:v>1.000481790414689E-2</c:v>
                </c:pt>
                <c:pt idx="196">
                  <c:v>9.9796997536433507E-3</c:v>
                </c:pt>
                <c:pt idx="197">
                  <c:v>9.9488688011038079E-3</c:v>
                </c:pt>
                <c:pt idx="198">
                  <c:v>9.9753375393457112E-3</c:v>
                </c:pt>
                <c:pt idx="199">
                  <c:v>9.9798209482871401E-3</c:v>
                </c:pt>
                <c:pt idx="200">
                  <c:v>9.9204842133469046E-3</c:v>
                </c:pt>
                <c:pt idx="201">
                  <c:v>9.9076307143958105E-3</c:v>
                </c:pt>
                <c:pt idx="202">
                  <c:v>9.8839570336450265E-3</c:v>
                </c:pt>
                <c:pt idx="203">
                  <c:v>9.9051145367824289E-3</c:v>
                </c:pt>
                <c:pt idx="204">
                  <c:v>9.881466926139941E-3</c:v>
                </c:pt>
                <c:pt idx="205">
                  <c:v>9.8482910171856057E-3</c:v>
                </c:pt>
                <c:pt idx="206">
                  <c:v>9.8436470910131472E-3</c:v>
                </c:pt>
                <c:pt idx="207">
                  <c:v>9.8630589791355531E-3</c:v>
                </c:pt>
                <c:pt idx="208">
                  <c:v>9.8894655167987289E-3</c:v>
                </c:pt>
                <c:pt idx="209">
                  <c:v>9.8931204137021542E-3</c:v>
                </c:pt>
                <c:pt idx="210">
                  <c:v>9.9340183921736627E-3</c:v>
                </c:pt>
                <c:pt idx="211">
                  <c:v>9.9897988091876382E-3</c:v>
                </c:pt>
                <c:pt idx="212">
                  <c:v>9.9811005865321645E-3</c:v>
                </c:pt>
                <c:pt idx="213">
                  <c:v>9.9289844822864765E-3</c:v>
                </c:pt>
                <c:pt idx="214">
                  <c:v>9.9576458996742251E-3</c:v>
                </c:pt>
                <c:pt idx="215">
                  <c:v>9.9443707390403542E-3</c:v>
                </c:pt>
                <c:pt idx="216">
                  <c:v>9.9446729478275507E-3</c:v>
                </c:pt>
                <c:pt idx="217">
                  <c:v>9.9694237665739968E-3</c:v>
                </c:pt>
                <c:pt idx="218">
                  <c:v>9.9993021836209672E-3</c:v>
                </c:pt>
                <c:pt idx="219">
                  <c:v>9.9872460702210668E-3</c:v>
                </c:pt>
                <c:pt idx="220">
                  <c:v>9.97854676536763E-3</c:v>
                </c:pt>
                <c:pt idx="221">
                  <c:v>1.0000472569798306E-2</c:v>
                </c:pt>
                <c:pt idx="222">
                  <c:v>1.0091033223476993E-2</c:v>
                </c:pt>
                <c:pt idx="223">
                  <c:v>1.0085113444186488E-2</c:v>
                </c:pt>
                <c:pt idx="224">
                  <c:v>1.0146157195001998E-2</c:v>
                </c:pt>
                <c:pt idx="225">
                  <c:v>1.0112099210412371E-2</c:v>
                </c:pt>
                <c:pt idx="226">
                  <c:v>1.0166934769125566E-2</c:v>
                </c:pt>
                <c:pt idx="227">
                  <c:v>1.0197174725378315E-2</c:v>
                </c:pt>
                <c:pt idx="228">
                  <c:v>1.0195357621601245E-2</c:v>
                </c:pt>
                <c:pt idx="229">
                  <c:v>1.0217325945925599E-2</c:v>
                </c:pt>
                <c:pt idx="230">
                  <c:v>1.0205579115473009E-2</c:v>
                </c:pt>
                <c:pt idx="231">
                  <c:v>1.0174264137722358E-2</c:v>
                </c:pt>
                <c:pt idx="232">
                  <c:v>1.0132449848133966E-2</c:v>
                </c:pt>
                <c:pt idx="233">
                  <c:v>1.0143901186088903E-2</c:v>
                </c:pt>
                <c:pt idx="234">
                  <c:v>1.010272735827691E-2</c:v>
                </c:pt>
                <c:pt idx="235">
                  <c:v>1.0041979926864095E-2</c:v>
                </c:pt>
                <c:pt idx="236">
                  <c:v>1.0046112508863355E-2</c:v>
                </c:pt>
                <c:pt idx="237">
                  <c:v>9.9929457351490541E-3</c:v>
                </c:pt>
                <c:pt idx="238">
                  <c:v>9.9978477964714155E-3</c:v>
                </c:pt>
                <c:pt idx="239">
                  <c:v>9.9958352561905044E-3</c:v>
                </c:pt>
                <c:pt idx="240">
                  <c:v>9.9901035274416582E-3</c:v>
                </c:pt>
                <c:pt idx="241">
                  <c:v>1.0074026803988246E-2</c:v>
                </c:pt>
                <c:pt idx="242">
                  <c:v>1.0098803437417144E-2</c:v>
                </c:pt>
                <c:pt idx="243">
                  <c:v>1.0089903491237003E-2</c:v>
                </c:pt>
                <c:pt idx="244">
                  <c:v>1.0078663682601833E-2</c:v>
                </c:pt>
                <c:pt idx="245">
                  <c:v>1.0025870225736836E-2</c:v>
                </c:pt>
                <c:pt idx="246">
                  <c:v>1.0025286489615556E-2</c:v>
                </c:pt>
                <c:pt idx="247">
                  <c:v>1.0072733867079818E-2</c:v>
                </c:pt>
                <c:pt idx="248">
                  <c:v>1.0085976465308932E-2</c:v>
                </c:pt>
                <c:pt idx="249">
                  <c:v>1.0036811666801041E-2</c:v>
                </c:pt>
                <c:pt idx="250">
                  <c:v>1.0100036240264376E-2</c:v>
                </c:pt>
                <c:pt idx="251">
                  <c:v>1.0094840873104005E-2</c:v>
                </c:pt>
                <c:pt idx="252">
                  <c:v>1.0084386587435327E-2</c:v>
                </c:pt>
                <c:pt idx="253">
                  <c:v>1.0009302986853433E-2</c:v>
                </c:pt>
                <c:pt idx="254">
                  <c:v>1.003158141726419E-2</c:v>
                </c:pt>
                <c:pt idx="255">
                  <c:v>1.000143217614047E-2</c:v>
                </c:pt>
                <c:pt idx="256">
                  <c:v>1.0000603291588478E-2</c:v>
                </c:pt>
                <c:pt idx="257">
                  <c:v>1.0003923729040402E-2</c:v>
                </c:pt>
                <c:pt idx="258">
                  <c:v>1.0024904668346856E-2</c:v>
                </c:pt>
                <c:pt idx="259">
                  <c:v>1.0026012662421856E-2</c:v>
                </c:pt>
                <c:pt idx="260">
                  <c:v>1.0039543900120554E-2</c:v>
                </c:pt>
                <c:pt idx="261">
                  <c:v>1.0056043441247556E-2</c:v>
                </c:pt>
                <c:pt idx="262">
                  <c:v>1.005433143327765E-2</c:v>
                </c:pt>
                <c:pt idx="263">
                  <c:v>1.0067561885228138E-2</c:v>
                </c:pt>
                <c:pt idx="264">
                  <c:v>1.0090514229195168E-2</c:v>
                </c:pt>
                <c:pt idx="265">
                  <c:v>1.0056934991723096E-2</c:v>
                </c:pt>
                <c:pt idx="266">
                  <c:v>1.0079117193209813E-2</c:v>
                </c:pt>
                <c:pt idx="267">
                  <c:v>1.0055072914927876E-2</c:v>
                </c:pt>
                <c:pt idx="268">
                  <c:v>1.0063896053257937E-2</c:v>
                </c:pt>
                <c:pt idx="269">
                  <c:v>1.0140475149286217E-2</c:v>
                </c:pt>
                <c:pt idx="270">
                  <c:v>1.0177166841408715E-2</c:v>
                </c:pt>
                <c:pt idx="271">
                  <c:v>1.0208516795786479E-2</c:v>
                </c:pt>
                <c:pt idx="272">
                  <c:v>1.0276466598557157E-2</c:v>
                </c:pt>
                <c:pt idx="273">
                  <c:v>1.0308427852758336E-2</c:v>
                </c:pt>
                <c:pt idx="274">
                  <c:v>1.0351858853163028E-2</c:v>
                </c:pt>
                <c:pt idx="275">
                  <c:v>1.0352048004865649E-2</c:v>
                </c:pt>
                <c:pt idx="276">
                  <c:v>1.0349667073388446E-2</c:v>
                </c:pt>
                <c:pt idx="277">
                  <c:v>1.03097400683578E-2</c:v>
                </c:pt>
                <c:pt idx="278">
                  <c:v>1.0237614063436191E-2</c:v>
                </c:pt>
                <c:pt idx="279">
                  <c:v>1.0184787617576805E-2</c:v>
                </c:pt>
                <c:pt idx="280">
                  <c:v>1.0238801096736569E-2</c:v>
                </c:pt>
                <c:pt idx="281">
                  <c:v>1.0269545398010461E-2</c:v>
                </c:pt>
                <c:pt idx="282">
                  <c:v>1.0268218258458559E-2</c:v>
                </c:pt>
                <c:pt idx="283">
                  <c:v>1.0337267305011574E-2</c:v>
                </c:pt>
                <c:pt idx="284">
                  <c:v>1.0333887997289097E-2</c:v>
                </c:pt>
                <c:pt idx="285">
                  <c:v>1.0339649692665143E-2</c:v>
                </c:pt>
                <c:pt idx="286">
                  <c:v>1.0312478242949384E-2</c:v>
                </c:pt>
                <c:pt idx="287">
                  <c:v>1.0349276183700797E-2</c:v>
                </c:pt>
                <c:pt idx="288">
                  <c:v>1.0406797932197337E-2</c:v>
                </c:pt>
                <c:pt idx="289">
                  <c:v>1.037435715871677E-2</c:v>
                </c:pt>
                <c:pt idx="290">
                  <c:v>1.0357889405105307E-2</c:v>
                </c:pt>
                <c:pt idx="291">
                  <c:v>1.0358187391853169E-2</c:v>
                </c:pt>
                <c:pt idx="292">
                  <c:v>1.0384599479805709E-2</c:v>
                </c:pt>
                <c:pt idx="293">
                  <c:v>1.0435481718380909E-2</c:v>
                </c:pt>
                <c:pt idx="294">
                  <c:v>1.0475438374330287E-2</c:v>
                </c:pt>
                <c:pt idx="295">
                  <c:v>1.0511124944712137E-2</c:v>
                </c:pt>
                <c:pt idx="296">
                  <c:v>1.053980535449978E-2</c:v>
                </c:pt>
                <c:pt idx="297">
                  <c:v>1.0566068983832087E-2</c:v>
                </c:pt>
                <c:pt idx="298">
                  <c:v>1.061577675844937E-2</c:v>
                </c:pt>
                <c:pt idx="299">
                  <c:v>1.0561127463189001E-2</c:v>
                </c:pt>
                <c:pt idx="300">
                  <c:v>1.0511034185654756E-2</c:v>
                </c:pt>
                <c:pt idx="301">
                  <c:v>1.0480761661670588E-2</c:v>
                </c:pt>
                <c:pt idx="302">
                  <c:v>1.0514022674572267E-2</c:v>
                </c:pt>
                <c:pt idx="303">
                  <c:v>1.0480253309080758E-2</c:v>
                </c:pt>
                <c:pt idx="304">
                  <c:v>1.0498730639069333E-2</c:v>
                </c:pt>
                <c:pt idx="305">
                  <c:v>1.0455550204343472E-2</c:v>
                </c:pt>
                <c:pt idx="306">
                  <c:v>1.0520683455493183E-2</c:v>
                </c:pt>
                <c:pt idx="307">
                  <c:v>1.0517599508086435E-2</c:v>
                </c:pt>
                <c:pt idx="308">
                  <c:v>1.0471624135529418E-2</c:v>
                </c:pt>
                <c:pt idx="309">
                  <c:v>1.0474560311227206E-2</c:v>
                </c:pt>
                <c:pt idx="310">
                  <c:v>1.0497841153048533E-2</c:v>
                </c:pt>
                <c:pt idx="311">
                  <c:v>1.053693302120513E-2</c:v>
                </c:pt>
                <c:pt idx="312">
                  <c:v>1.0569461301001675E-2</c:v>
                </c:pt>
                <c:pt idx="313">
                  <c:v>1.056488355985759E-2</c:v>
                </c:pt>
                <c:pt idx="314">
                  <c:v>1.0639113416187842E-2</c:v>
                </c:pt>
                <c:pt idx="315">
                  <c:v>1.0600614025865625E-2</c:v>
                </c:pt>
                <c:pt idx="316">
                  <c:v>1.0611908240279147E-2</c:v>
                </c:pt>
                <c:pt idx="317">
                  <c:v>1.0587532841592934E-2</c:v>
                </c:pt>
                <c:pt idx="318">
                  <c:v>1.0562211504762017E-2</c:v>
                </c:pt>
                <c:pt idx="319">
                  <c:v>1.0578382284541466E-2</c:v>
                </c:pt>
                <c:pt idx="320">
                  <c:v>1.0564875433337916E-2</c:v>
                </c:pt>
                <c:pt idx="321">
                  <c:v>1.0502534415985408E-2</c:v>
                </c:pt>
                <c:pt idx="322">
                  <c:v>1.0525836576938034E-2</c:v>
                </c:pt>
                <c:pt idx="323">
                  <c:v>1.0545100189011976E-2</c:v>
                </c:pt>
                <c:pt idx="324">
                  <c:v>1.0537762810364304E-2</c:v>
                </c:pt>
                <c:pt idx="325">
                  <c:v>1.0561018997636125E-2</c:v>
                </c:pt>
                <c:pt idx="326">
                  <c:v>1.0592099920164494E-2</c:v>
                </c:pt>
                <c:pt idx="327">
                  <c:v>1.0607550883385141E-2</c:v>
                </c:pt>
                <c:pt idx="328">
                  <c:v>1.0582571522351062E-2</c:v>
                </c:pt>
                <c:pt idx="329">
                  <c:v>1.0595027218337126E-2</c:v>
                </c:pt>
                <c:pt idx="330">
                  <c:v>1.0597896387354535E-2</c:v>
                </c:pt>
                <c:pt idx="331">
                  <c:v>1.0612167173544695E-2</c:v>
                </c:pt>
                <c:pt idx="332">
                  <c:v>1.0549640825443352E-2</c:v>
                </c:pt>
                <c:pt idx="333">
                  <c:v>1.0571961044564733E-2</c:v>
                </c:pt>
                <c:pt idx="334">
                  <c:v>1.063243586545822E-2</c:v>
                </c:pt>
                <c:pt idx="335">
                  <c:v>1.0648312867958873E-2</c:v>
                </c:pt>
                <c:pt idx="336">
                  <c:v>1.0621887632477879E-2</c:v>
                </c:pt>
                <c:pt idx="337">
                  <c:v>1.0610512076030493E-2</c:v>
                </c:pt>
                <c:pt idx="338">
                  <c:v>1.0618012726364716E-2</c:v>
                </c:pt>
                <c:pt idx="339">
                  <c:v>1.0650919141105506E-2</c:v>
                </c:pt>
                <c:pt idx="340">
                  <c:v>1.063699711285997E-2</c:v>
                </c:pt>
                <c:pt idx="341">
                  <c:v>1.0633719254451281E-2</c:v>
                </c:pt>
                <c:pt idx="342">
                  <c:v>1.0680168631052251E-2</c:v>
                </c:pt>
                <c:pt idx="343">
                  <c:v>1.0692932329016089E-2</c:v>
                </c:pt>
                <c:pt idx="344">
                  <c:v>1.0684319700027721E-2</c:v>
                </c:pt>
                <c:pt idx="345">
                  <c:v>1.0705700771721102E-2</c:v>
                </c:pt>
                <c:pt idx="346">
                  <c:v>1.0743930864039047E-2</c:v>
                </c:pt>
                <c:pt idx="347">
                  <c:v>1.0727061356069467E-2</c:v>
                </c:pt>
                <c:pt idx="348">
                  <c:v>1.0722751539294117E-2</c:v>
                </c:pt>
                <c:pt idx="349">
                  <c:v>1.07447534137634E-2</c:v>
                </c:pt>
                <c:pt idx="350">
                  <c:v>1.0757996552915927E-2</c:v>
                </c:pt>
                <c:pt idx="351">
                  <c:v>1.0763776888074903E-2</c:v>
                </c:pt>
                <c:pt idx="352">
                  <c:v>1.079439673852732E-2</c:v>
                </c:pt>
                <c:pt idx="353">
                  <c:v>1.0843227672970928E-2</c:v>
                </c:pt>
                <c:pt idx="354">
                  <c:v>1.091317958447564E-2</c:v>
                </c:pt>
                <c:pt idx="355">
                  <c:v>1.0937523810568336E-2</c:v>
                </c:pt>
                <c:pt idx="356">
                  <c:v>1.0940521207443052E-2</c:v>
                </c:pt>
                <c:pt idx="357">
                  <c:v>1.0930379434149241E-2</c:v>
                </c:pt>
                <c:pt idx="358">
                  <c:v>1.0892592823634315E-2</c:v>
                </c:pt>
                <c:pt idx="359">
                  <c:v>1.0849971916373742E-2</c:v>
                </c:pt>
                <c:pt idx="360">
                  <c:v>1.0827745639915802E-2</c:v>
                </c:pt>
                <c:pt idx="361">
                  <c:v>1.0813414631556982E-2</c:v>
                </c:pt>
                <c:pt idx="362">
                  <c:v>1.0869947711874354E-2</c:v>
                </c:pt>
                <c:pt idx="363">
                  <c:v>1.0865074435930306E-2</c:v>
                </c:pt>
                <c:pt idx="364">
                  <c:v>1.0878742901224146E-2</c:v>
                </c:pt>
                <c:pt idx="365">
                  <c:v>1.0875855849991576E-2</c:v>
                </c:pt>
                <c:pt idx="366">
                  <c:v>1.0975247470226239E-2</c:v>
                </c:pt>
                <c:pt idx="367">
                  <c:v>1.0951570638056967E-2</c:v>
                </c:pt>
                <c:pt idx="368">
                  <c:v>1.0945829419370201E-2</c:v>
                </c:pt>
                <c:pt idx="369">
                  <c:v>1.0968431944878936E-2</c:v>
                </c:pt>
                <c:pt idx="370">
                  <c:v>1.0994123274566883E-2</c:v>
                </c:pt>
                <c:pt idx="371">
                  <c:v>1.1004400457454197E-2</c:v>
                </c:pt>
                <c:pt idx="372">
                  <c:v>1.0999866691343223E-2</c:v>
                </c:pt>
                <c:pt idx="373">
                  <c:v>1.1020304566049362E-2</c:v>
                </c:pt>
                <c:pt idx="374">
                  <c:v>1.1076765751114433E-2</c:v>
                </c:pt>
                <c:pt idx="375">
                  <c:v>1.1151358227346876E-2</c:v>
                </c:pt>
                <c:pt idx="376">
                  <c:v>1.1072840432152392E-2</c:v>
                </c:pt>
                <c:pt idx="377">
                  <c:v>1.1052016182451437E-2</c:v>
                </c:pt>
                <c:pt idx="378">
                  <c:v>1.1095049339708831E-2</c:v>
                </c:pt>
                <c:pt idx="379">
                  <c:v>1.1075190650014307E-2</c:v>
                </c:pt>
                <c:pt idx="380">
                  <c:v>1.1048875667299566E-2</c:v>
                </c:pt>
                <c:pt idx="381">
                  <c:v>1.1065719482256937E-2</c:v>
                </c:pt>
                <c:pt idx="382">
                  <c:v>1.1082087314969938E-2</c:v>
                </c:pt>
                <c:pt idx="383">
                  <c:v>1.1104537661419018E-2</c:v>
                </c:pt>
                <c:pt idx="384">
                  <c:v>1.1124791096049465E-2</c:v>
                </c:pt>
                <c:pt idx="385">
                  <c:v>1.1118546764934761E-2</c:v>
                </c:pt>
                <c:pt idx="386">
                  <c:v>1.1141668433534056E-2</c:v>
                </c:pt>
                <c:pt idx="387">
                  <c:v>1.1161804924295209E-2</c:v>
                </c:pt>
                <c:pt idx="388">
                  <c:v>1.1116892325057161E-2</c:v>
                </c:pt>
                <c:pt idx="389">
                  <c:v>1.1112778392845801E-2</c:v>
                </c:pt>
                <c:pt idx="390">
                  <c:v>1.1171353889380913E-2</c:v>
                </c:pt>
                <c:pt idx="391">
                  <c:v>1.1211067160644453E-2</c:v>
                </c:pt>
                <c:pt idx="392">
                  <c:v>1.1181497805709074E-2</c:v>
                </c:pt>
                <c:pt idx="393">
                  <c:v>1.1190554045137153E-2</c:v>
                </c:pt>
                <c:pt idx="394">
                  <c:v>1.1155114982733746E-2</c:v>
                </c:pt>
                <c:pt idx="395">
                  <c:v>1.117525075791927E-2</c:v>
                </c:pt>
                <c:pt idx="396">
                  <c:v>1.1105769023814304E-2</c:v>
                </c:pt>
                <c:pt idx="397">
                  <c:v>1.1147221832454451E-2</c:v>
                </c:pt>
                <c:pt idx="398">
                  <c:v>1.1177576675148355E-2</c:v>
                </c:pt>
                <c:pt idx="399">
                  <c:v>1.1129583113964028E-2</c:v>
                </c:pt>
                <c:pt idx="400">
                  <c:v>1.1141631469312347E-2</c:v>
                </c:pt>
                <c:pt idx="401">
                  <c:v>1.1207019076080103E-2</c:v>
                </c:pt>
                <c:pt idx="402">
                  <c:v>1.1252624084022106E-2</c:v>
                </c:pt>
                <c:pt idx="403">
                  <c:v>1.1251481342663482E-2</c:v>
                </c:pt>
                <c:pt idx="404">
                  <c:v>1.1222755734326437E-2</c:v>
                </c:pt>
                <c:pt idx="405">
                  <c:v>1.1220435386217151E-2</c:v>
                </c:pt>
                <c:pt idx="406">
                  <c:v>1.1275957123138973E-2</c:v>
                </c:pt>
                <c:pt idx="407">
                  <c:v>1.1277407834451469E-2</c:v>
                </c:pt>
                <c:pt idx="408">
                  <c:v>1.1337943295510517E-2</c:v>
                </c:pt>
                <c:pt idx="409">
                  <c:v>1.1383842490551794E-2</c:v>
                </c:pt>
                <c:pt idx="410">
                  <c:v>1.1388199780367661E-2</c:v>
                </c:pt>
                <c:pt idx="411">
                  <c:v>1.1487766467511337E-2</c:v>
                </c:pt>
                <c:pt idx="412">
                  <c:v>1.1490477813186822E-2</c:v>
                </c:pt>
                <c:pt idx="413">
                  <c:v>1.14587264894381E-2</c:v>
                </c:pt>
                <c:pt idx="414">
                  <c:v>1.1469317390276923E-2</c:v>
                </c:pt>
                <c:pt idx="415">
                  <c:v>1.1461730047531355E-2</c:v>
                </c:pt>
                <c:pt idx="416">
                  <c:v>1.1485912658982415E-2</c:v>
                </c:pt>
                <c:pt idx="417">
                  <c:v>1.1409029968533451E-2</c:v>
                </c:pt>
                <c:pt idx="418">
                  <c:v>1.1401555755095563E-2</c:v>
                </c:pt>
                <c:pt idx="419">
                  <c:v>1.1424705431215791E-2</c:v>
                </c:pt>
                <c:pt idx="420">
                  <c:v>1.1396363862041568E-2</c:v>
                </c:pt>
                <c:pt idx="421">
                  <c:v>1.142277958078481E-2</c:v>
                </c:pt>
                <c:pt idx="422">
                  <c:v>1.1387139291112895E-2</c:v>
                </c:pt>
                <c:pt idx="423">
                  <c:v>1.1410380647157985E-2</c:v>
                </c:pt>
                <c:pt idx="424">
                  <c:v>1.1428889550332244E-2</c:v>
                </c:pt>
                <c:pt idx="425">
                  <c:v>1.1433803942485478E-2</c:v>
                </c:pt>
                <c:pt idx="426">
                  <c:v>1.1504813098632074E-2</c:v>
                </c:pt>
                <c:pt idx="427">
                  <c:v>1.1562232874186E-2</c:v>
                </c:pt>
                <c:pt idx="428">
                  <c:v>1.1583163953314182E-2</c:v>
                </c:pt>
                <c:pt idx="429">
                  <c:v>1.158065597823156E-2</c:v>
                </c:pt>
                <c:pt idx="430">
                  <c:v>1.156221813178721E-2</c:v>
                </c:pt>
                <c:pt idx="431">
                  <c:v>1.1551010629983838E-2</c:v>
                </c:pt>
                <c:pt idx="432">
                  <c:v>1.1553016222962452E-2</c:v>
                </c:pt>
                <c:pt idx="433">
                  <c:v>1.1612336557530894E-2</c:v>
                </c:pt>
                <c:pt idx="434">
                  <c:v>1.1667090593294059E-2</c:v>
                </c:pt>
                <c:pt idx="435">
                  <c:v>1.164823624583141E-2</c:v>
                </c:pt>
                <c:pt idx="436">
                  <c:v>1.1672694410193953E-2</c:v>
                </c:pt>
                <c:pt idx="437">
                  <c:v>1.1710093336549888E-2</c:v>
                </c:pt>
                <c:pt idx="438">
                  <c:v>1.1670486782299077E-2</c:v>
                </c:pt>
                <c:pt idx="439">
                  <c:v>1.1760149853712695E-2</c:v>
                </c:pt>
                <c:pt idx="440">
                  <c:v>1.176910243151433E-2</c:v>
                </c:pt>
                <c:pt idx="441">
                  <c:v>1.1794322015047825E-2</c:v>
                </c:pt>
                <c:pt idx="442">
                  <c:v>1.1794365432229616E-2</c:v>
                </c:pt>
                <c:pt idx="443">
                  <c:v>1.1724321564997734E-2</c:v>
                </c:pt>
                <c:pt idx="444">
                  <c:v>1.180024687429657E-2</c:v>
                </c:pt>
                <c:pt idx="445">
                  <c:v>1.179143685407757E-2</c:v>
                </c:pt>
                <c:pt idx="446">
                  <c:v>1.1762309549499783E-2</c:v>
                </c:pt>
                <c:pt idx="447">
                  <c:v>1.1763959945991725E-2</c:v>
                </c:pt>
                <c:pt idx="448">
                  <c:v>1.180809975568561E-2</c:v>
                </c:pt>
                <c:pt idx="449">
                  <c:v>1.1803395304831611E-2</c:v>
                </c:pt>
                <c:pt idx="450">
                  <c:v>1.1820478277695268E-2</c:v>
                </c:pt>
                <c:pt idx="451">
                  <c:v>1.178777460901383E-2</c:v>
                </c:pt>
                <c:pt idx="452">
                  <c:v>1.171965166540154E-2</c:v>
                </c:pt>
                <c:pt idx="453">
                  <c:v>1.1698206761574246E-2</c:v>
                </c:pt>
                <c:pt idx="454">
                  <c:v>1.1713324172084882E-2</c:v>
                </c:pt>
                <c:pt idx="455">
                  <c:v>1.1752869965633895E-2</c:v>
                </c:pt>
                <c:pt idx="456">
                  <c:v>1.1746224613115011E-2</c:v>
                </c:pt>
                <c:pt idx="457">
                  <c:v>1.1746357672118119E-2</c:v>
                </c:pt>
                <c:pt idx="458">
                  <c:v>1.1730339220467371E-2</c:v>
                </c:pt>
                <c:pt idx="459">
                  <c:v>1.1753711475331805E-2</c:v>
                </c:pt>
                <c:pt idx="460">
                  <c:v>1.1788331253672535E-2</c:v>
                </c:pt>
                <c:pt idx="461">
                  <c:v>1.1760106898134077E-2</c:v>
                </c:pt>
                <c:pt idx="462">
                  <c:v>1.1732795740615237E-2</c:v>
                </c:pt>
                <c:pt idx="463">
                  <c:v>1.1767535884642853E-2</c:v>
                </c:pt>
                <c:pt idx="464">
                  <c:v>1.1773464227869828E-2</c:v>
                </c:pt>
                <c:pt idx="465">
                  <c:v>1.1714081475353638E-2</c:v>
                </c:pt>
                <c:pt idx="466">
                  <c:v>1.1639952920089439E-2</c:v>
                </c:pt>
                <c:pt idx="467">
                  <c:v>1.164995670536014E-2</c:v>
                </c:pt>
                <c:pt idx="468">
                  <c:v>1.1689700001786119E-2</c:v>
                </c:pt>
                <c:pt idx="469">
                  <c:v>1.1666494397707851E-2</c:v>
                </c:pt>
                <c:pt idx="470">
                  <c:v>1.1684169341298546E-2</c:v>
                </c:pt>
                <c:pt idx="471">
                  <c:v>1.1683290821518833E-2</c:v>
                </c:pt>
                <c:pt idx="472">
                  <c:v>1.1661339381370686E-2</c:v>
                </c:pt>
                <c:pt idx="473">
                  <c:v>1.16416575939503E-2</c:v>
                </c:pt>
                <c:pt idx="474">
                  <c:v>1.1695949870727923E-2</c:v>
                </c:pt>
                <c:pt idx="475">
                  <c:v>1.1654041597737575E-2</c:v>
                </c:pt>
                <c:pt idx="476">
                  <c:v>1.1694040445589268E-2</c:v>
                </c:pt>
                <c:pt idx="477">
                  <c:v>1.1665853988986705E-2</c:v>
                </c:pt>
                <c:pt idx="478">
                  <c:v>1.1639807591007204E-2</c:v>
                </c:pt>
                <c:pt idx="479">
                  <c:v>1.1660227510330398E-2</c:v>
                </c:pt>
                <c:pt idx="480">
                  <c:v>1.1621240579994058E-2</c:v>
                </c:pt>
                <c:pt idx="481">
                  <c:v>1.1587789167715495E-2</c:v>
                </c:pt>
                <c:pt idx="482">
                  <c:v>1.1640074771809953E-2</c:v>
                </c:pt>
                <c:pt idx="483">
                  <c:v>1.1649200760914139E-2</c:v>
                </c:pt>
                <c:pt idx="484">
                  <c:v>1.1610186647882579E-2</c:v>
                </c:pt>
                <c:pt idx="485">
                  <c:v>1.1568586596773071E-2</c:v>
                </c:pt>
                <c:pt idx="486">
                  <c:v>1.1623364744808457E-2</c:v>
                </c:pt>
                <c:pt idx="487">
                  <c:v>1.1584553732446148E-2</c:v>
                </c:pt>
                <c:pt idx="488">
                  <c:v>1.159352121700386E-2</c:v>
                </c:pt>
                <c:pt idx="489">
                  <c:v>1.156683647751945E-2</c:v>
                </c:pt>
                <c:pt idx="490">
                  <c:v>1.1490836181103525E-2</c:v>
                </c:pt>
                <c:pt idx="491">
                  <c:v>1.1472351125590996E-2</c:v>
                </c:pt>
                <c:pt idx="492">
                  <c:v>1.142476078667334E-2</c:v>
                </c:pt>
                <c:pt idx="493">
                  <c:v>1.1460159938650395E-2</c:v>
                </c:pt>
                <c:pt idx="494">
                  <c:v>1.1462032734107293E-2</c:v>
                </c:pt>
                <c:pt idx="495">
                  <c:v>1.1463423480085272E-2</c:v>
                </c:pt>
                <c:pt idx="496">
                  <c:v>1.1434626919414201E-2</c:v>
                </c:pt>
                <c:pt idx="497">
                  <c:v>1.1404931699454399E-2</c:v>
                </c:pt>
                <c:pt idx="498">
                  <c:v>1.1376597981887423E-2</c:v>
                </c:pt>
                <c:pt idx="499">
                  <c:v>1.1314619236886946E-2</c:v>
                </c:pt>
                <c:pt idx="500">
                  <c:v>1.1322464959135196E-2</c:v>
                </c:pt>
                <c:pt idx="501">
                  <c:v>1.1290460329678847E-2</c:v>
                </c:pt>
                <c:pt idx="502">
                  <c:v>1.1349528394625738E-2</c:v>
                </c:pt>
                <c:pt idx="503">
                  <c:v>1.1318199400086802E-2</c:v>
                </c:pt>
                <c:pt idx="504">
                  <c:v>1.1324872173679924E-2</c:v>
                </c:pt>
                <c:pt idx="505">
                  <c:v>1.1326675755059778E-2</c:v>
                </c:pt>
                <c:pt idx="506">
                  <c:v>1.1407901306075085E-2</c:v>
                </c:pt>
                <c:pt idx="507">
                  <c:v>1.1384042487139529E-2</c:v>
                </c:pt>
                <c:pt idx="508">
                  <c:v>1.141383935698892E-2</c:v>
                </c:pt>
                <c:pt idx="509">
                  <c:v>1.1401273817573171E-2</c:v>
                </c:pt>
                <c:pt idx="510">
                  <c:v>1.1427291695292082E-2</c:v>
                </c:pt>
                <c:pt idx="511">
                  <c:v>1.1419865684616034E-2</c:v>
                </c:pt>
                <c:pt idx="512">
                  <c:v>1.1387510016844071E-2</c:v>
                </c:pt>
                <c:pt idx="513">
                  <c:v>1.1354134369296828E-2</c:v>
                </c:pt>
                <c:pt idx="514">
                  <c:v>1.1358508625767068E-2</c:v>
                </c:pt>
                <c:pt idx="515">
                  <c:v>1.1342212357460699E-2</c:v>
                </c:pt>
                <c:pt idx="516">
                  <c:v>1.137014328258908E-2</c:v>
                </c:pt>
                <c:pt idx="517">
                  <c:v>1.137873583325872E-2</c:v>
                </c:pt>
                <c:pt idx="518">
                  <c:v>1.1391891041535913E-2</c:v>
                </c:pt>
                <c:pt idx="519">
                  <c:v>1.1363615040369701E-2</c:v>
                </c:pt>
                <c:pt idx="520">
                  <c:v>1.1370813214329988E-2</c:v>
                </c:pt>
                <c:pt idx="521">
                  <c:v>1.1421244160984946E-2</c:v>
                </c:pt>
                <c:pt idx="522">
                  <c:v>1.1428314155156452E-2</c:v>
                </c:pt>
                <c:pt idx="523">
                  <c:v>1.1382774777435836E-2</c:v>
                </c:pt>
                <c:pt idx="524">
                  <c:v>1.1366236686064691E-2</c:v>
                </c:pt>
                <c:pt idx="525">
                  <c:v>1.1320423624122103E-2</c:v>
                </c:pt>
                <c:pt idx="526">
                  <c:v>1.1313942298278012E-2</c:v>
                </c:pt>
                <c:pt idx="527">
                  <c:v>1.1344890162245717E-2</c:v>
                </c:pt>
                <c:pt idx="528">
                  <c:v>1.1326589274001613E-2</c:v>
                </c:pt>
                <c:pt idx="529">
                  <c:v>1.1411835929461656E-2</c:v>
                </c:pt>
                <c:pt idx="530">
                  <c:v>1.1347429427714863E-2</c:v>
                </c:pt>
                <c:pt idx="531">
                  <c:v>1.1382767603191055E-2</c:v>
                </c:pt>
                <c:pt idx="532">
                  <c:v>1.13741867789303E-2</c:v>
                </c:pt>
                <c:pt idx="533">
                  <c:v>1.1350420505362609E-2</c:v>
                </c:pt>
                <c:pt idx="534">
                  <c:v>1.1338964226166651E-2</c:v>
                </c:pt>
                <c:pt idx="535">
                  <c:v>1.1369036342901494E-2</c:v>
                </c:pt>
                <c:pt idx="536">
                  <c:v>1.1424181082994127E-2</c:v>
                </c:pt>
                <c:pt idx="537">
                  <c:v>1.1393807571730401E-2</c:v>
                </c:pt>
                <c:pt idx="538">
                  <c:v>1.1364090650340972E-2</c:v>
                </c:pt>
                <c:pt idx="539">
                  <c:v>1.1331140005182126E-2</c:v>
                </c:pt>
                <c:pt idx="540">
                  <c:v>1.1260977491839767E-2</c:v>
                </c:pt>
                <c:pt idx="541">
                  <c:v>1.126396448762145E-2</c:v>
                </c:pt>
                <c:pt idx="542">
                  <c:v>1.1213931245140193E-2</c:v>
                </c:pt>
                <c:pt idx="543">
                  <c:v>1.1165609126180127E-2</c:v>
                </c:pt>
                <c:pt idx="544">
                  <c:v>1.1171839611687148E-2</c:v>
                </c:pt>
                <c:pt idx="545">
                  <c:v>1.1161530794964541E-2</c:v>
                </c:pt>
                <c:pt idx="546">
                  <c:v>1.1221480879323181E-2</c:v>
                </c:pt>
                <c:pt idx="547">
                  <c:v>1.1283294556592275E-2</c:v>
                </c:pt>
                <c:pt idx="548">
                  <c:v>1.1278198140267728E-2</c:v>
                </c:pt>
                <c:pt idx="549">
                  <c:v>1.1298213051912738E-2</c:v>
                </c:pt>
                <c:pt idx="550">
                  <c:v>1.1325179986395446E-2</c:v>
                </c:pt>
                <c:pt idx="551">
                  <c:v>1.1319987904677701E-2</c:v>
                </c:pt>
                <c:pt idx="552">
                  <c:v>1.1367979367510469E-2</c:v>
                </c:pt>
                <c:pt idx="553">
                  <c:v>1.1357341784907077E-2</c:v>
                </c:pt>
                <c:pt idx="554">
                  <c:v>1.138019103826694E-2</c:v>
                </c:pt>
                <c:pt idx="555">
                  <c:v>1.1387750071089503E-2</c:v>
                </c:pt>
                <c:pt idx="556">
                  <c:v>1.1407313510985794E-2</c:v>
                </c:pt>
                <c:pt idx="557">
                  <c:v>1.1431773969593014E-2</c:v>
                </c:pt>
                <c:pt idx="558">
                  <c:v>1.1449407017313683E-2</c:v>
                </c:pt>
                <c:pt idx="559">
                  <c:v>1.1453952907757884E-2</c:v>
                </c:pt>
                <c:pt idx="560">
                  <c:v>1.1414079366439726E-2</c:v>
                </c:pt>
                <c:pt idx="561">
                  <c:v>1.1452203809352201E-2</c:v>
                </c:pt>
                <c:pt idx="562">
                  <c:v>1.1480512450275888E-2</c:v>
                </c:pt>
                <c:pt idx="563">
                  <c:v>1.1481660855153888E-2</c:v>
                </c:pt>
                <c:pt idx="564">
                  <c:v>1.1539502889500028E-2</c:v>
                </c:pt>
                <c:pt idx="565">
                  <c:v>1.1526256808430189E-2</c:v>
                </c:pt>
                <c:pt idx="566">
                  <c:v>1.1524560761162511E-2</c:v>
                </c:pt>
                <c:pt idx="567">
                  <c:v>1.1562279075993855E-2</c:v>
                </c:pt>
                <c:pt idx="568">
                  <c:v>1.1527247189758529E-2</c:v>
                </c:pt>
                <c:pt idx="569">
                  <c:v>1.1514710629685046E-2</c:v>
                </c:pt>
                <c:pt idx="570">
                  <c:v>1.1594594273850678E-2</c:v>
                </c:pt>
                <c:pt idx="571">
                  <c:v>1.1617933214450281E-2</c:v>
                </c:pt>
                <c:pt idx="572">
                  <c:v>1.1640135951247644E-2</c:v>
                </c:pt>
                <c:pt idx="573">
                  <c:v>1.1625111548197084E-2</c:v>
                </c:pt>
                <c:pt idx="574">
                  <c:v>1.1649073368198213E-2</c:v>
                </c:pt>
                <c:pt idx="575">
                  <c:v>1.1620864792143743E-2</c:v>
                </c:pt>
                <c:pt idx="576">
                  <c:v>1.1622071655864454E-2</c:v>
                </c:pt>
                <c:pt idx="577">
                  <c:v>1.1629856138682421E-2</c:v>
                </c:pt>
                <c:pt idx="578">
                  <c:v>1.1739932714528832E-2</c:v>
                </c:pt>
                <c:pt idx="579">
                  <c:v>1.1696705351789089E-2</c:v>
                </c:pt>
                <c:pt idx="580">
                  <c:v>1.1617699796107057E-2</c:v>
                </c:pt>
                <c:pt idx="581">
                  <c:v>1.1523999956162519E-2</c:v>
                </c:pt>
                <c:pt idx="582">
                  <c:v>1.1459954454414195E-2</c:v>
                </c:pt>
                <c:pt idx="583">
                  <c:v>1.1453625360832186E-2</c:v>
                </c:pt>
                <c:pt idx="584">
                  <c:v>1.1465314680299621E-2</c:v>
                </c:pt>
                <c:pt idx="585">
                  <c:v>1.1485713631624195E-2</c:v>
                </c:pt>
                <c:pt idx="586">
                  <c:v>1.1464643346534114E-2</c:v>
                </c:pt>
                <c:pt idx="587">
                  <c:v>1.145911023568004E-2</c:v>
                </c:pt>
                <c:pt idx="588">
                  <c:v>1.1480813091144142E-2</c:v>
                </c:pt>
                <c:pt idx="589">
                  <c:v>1.1518785014814575E-2</c:v>
                </c:pt>
                <c:pt idx="590">
                  <c:v>1.1559570783290059E-2</c:v>
                </c:pt>
                <c:pt idx="591">
                  <c:v>1.1520621114725148E-2</c:v>
                </c:pt>
                <c:pt idx="592">
                  <c:v>1.1545557594474631E-2</c:v>
                </c:pt>
                <c:pt idx="593">
                  <c:v>1.1588828449769802E-2</c:v>
                </c:pt>
                <c:pt idx="594">
                  <c:v>1.161355108806124E-2</c:v>
                </c:pt>
                <c:pt idx="595">
                  <c:v>1.159695316623113E-2</c:v>
                </c:pt>
                <c:pt idx="596">
                  <c:v>1.1555383744662587E-2</c:v>
                </c:pt>
                <c:pt idx="597">
                  <c:v>1.1508484784453909E-2</c:v>
                </c:pt>
                <c:pt idx="598">
                  <c:v>1.146526928440492E-2</c:v>
                </c:pt>
                <c:pt idx="599">
                  <c:v>1.1489451160173244E-2</c:v>
                </c:pt>
                <c:pt idx="600">
                  <c:v>1.1474775985417816E-2</c:v>
                </c:pt>
                <c:pt idx="601">
                  <c:v>1.1420821847344107E-2</c:v>
                </c:pt>
                <c:pt idx="602">
                  <c:v>1.1400135947013825E-2</c:v>
                </c:pt>
                <c:pt idx="603">
                  <c:v>1.1358632197711495E-2</c:v>
                </c:pt>
                <c:pt idx="604">
                  <c:v>1.1323874582738742E-2</c:v>
                </c:pt>
                <c:pt idx="605">
                  <c:v>1.1298397506078129E-2</c:v>
                </c:pt>
                <c:pt idx="606">
                  <c:v>1.1328420883433152E-2</c:v>
                </c:pt>
                <c:pt idx="607">
                  <c:v>1.1353662505826279E-2</c:v>
                </c:pt>
                <c:pt idx="608">
                  <c:v>1.136949118902101E-2</c:v>
                </c:pt>
                <c:pt idx="609">
                  <c:v>1.1346334510409598E-2</c:v>
                </c:pt>
                <c:pt idx="610">
                  <c:v>1.1358779187932761E-2</c:v>
                </c:pt>
                <c:pt idx="611">
                  <c:v>1.1342430813446476E-2</c:v>
                </c:pt>
                <c:pt idx="612">
                  <c:v>1.1383331771515801E-2</c:v>
                </c:pt>
                <c:pt idx="613">
                  <c:v>1.1376574658300796E-2</c:v>
                </c:pt>
                <c:pt idx="614">
                  <c:v>1.1379321155456347E-2</c:v>
                </c:pt>
                <c:pt idx="615">
                  <c:v>1.135874788128388E-2</c:v>
                </c:pt>
                <c:pt idx="616">
                  <c:v>1.1370562602964261E-2</c:v>
                </c:pt>
                <c:pt idx="617">
                  <c:v>1.1366054906810457E-2</c:v>
                </c:pt>
                <c:pt idx="618">
                  <c:v>1.1367187362795796E-2</c:v>
                </c:pt>
                <c:pt idx="619">
                  <c:v>1.1367616070232737E-2</c:v>
                </c:pt>
                <c:pt idx="620">
                  <c:v>1.132231771217233E-2</c:v>
                </c:pt>
                <c:pt idx="621">
                  <c:v>1.1260354633417036E-2</c:v>
                </c:pt>
                <c:pt idx="622">
                  <c:v>1.132003307071577E-2</c:v>
                </c:pt>
                <c:pt idx="623">
                  <c:v>1.1291277872309673E-2</c:v>
                </c:pt>
                <c:pt idx="624">
                  <c:v>1.123047006064808E-2</c:v>
                </c:pt>
                <c:pt idx="625">
                  <c:v>1.1211155203250034E-2</c:v>
                </c:pt>
                <c:pt idx="626">
                  <c:v>1.1264504508963553E-2</c:v>
                </c:pt>
                <c:pt idx="627">
                  <c:v>1.1277722194128738E-2</c:v>
                </c:pt>
                <c:pt idx="628">
                  <c:v>1.1300049438561976E-2</c:v>
                </c:pt>
                <c:pt idx="629">
                  <c:v>1.1281656552272748E-2</c:v>
                </c:pt>
                <c:pt idx="630">
                  <c:v>1.1266670995044536E-2</c:v>
                </c:pt>
                <c:pt idx="631">
                  <c:v>1.1236319864228874E-2</c:v>
                </c:pt>
                <c:pt idx="632">
                  <c:v>1.1167731798005015E-2</c:v>
                </c:pt>
                <c:pt idx="633">
                  <c:v>1.1200108821876192E-2</c:v>
                </c:pt>
                <c:pt idx="634">
                  <c:v>1.1166835230453665E-2</c:v>
                </c:pt>
                <c:pt idx="635">
                  <c:v>1.1178503436139997E-2</c:v>
                </c:pt>
                <c:pt idx="636">
                  <c:v>1.1132370963424664E-2</c:v>
                </c:pt>
                <c:pt idx="637">
                  <c:v>1.1150659871874569E-2</c:v>
                </c:pt>
                <c:pt idx="638">
                  <c:v>1.1188690222414845E-2</c:v>
                </c:pt>
                <c:pt idx="639">
                  <c:v>1.1212855966428561E-2</c:v>
                </c:pt>
                <c:pt idx="640">
                  <c:v>1.1196454212480781E-2</c:v>
                </c:pt>
                <c:pt idx="641">
                  <c:v>1.1238547888641254E-2</c:v>
                </c:pt>
                <c:pt idx="642">
                  <c:v>1.1259531982968569E-2</c:v>
                </c:pt>
                <c:pt idx="643">
                  <c:v>1.125862427048939E-2</c:v>
                </c:pt>
                <c:pt idx="644">
                  <c:v>1.1289612239221791E-2</c:v>
                </c:pt>
                <c:pt idx="645">
                  <c:v>1.1299781834254617E-2</c:v>
                </c:pt>
                <c:pt idx="646">
                  <c:v>1.1206295010038603E-2</c:v>
                </c:pt>
                <c:pt idx="647">
                  <c:v>1.12251314127523E-2</c:v>
                </c:pt>
                <c:pt idx="648">
                  <c:v>1.1172402673635768E-2</c:v>
                </c:pt>
                <c:pt idx="649">
                  <c:v>1.1198230060668833E-2</c:v>
                </c:pt>
                <c:pt idx="650">
                  <c:v>1.117177725264297E-2</c:v>
                </c:pt>
                <c:pt idx="651">
                  <c:v>1.1180747420326397E-2</c:v>
                </c:pt>
                <c:pt idx="652">
                  <c:v>1.1171937344722561E-2</c:v>
                </c:pt>
                <c:pt idx="653">
                  <c:v>1.1153061969589997E-2</c:v>
                </c:pt>
                <c:pt idx="654">
                  <c:v>1.1127366975290808E-2</c:v>
                </c:pt>
                <c:pt idx="655">
                  <c:v>1.1147116802688047E-2</c:v>
                </c:pt>
                <c:pt idx="656">
                  <c:v>1.1119674691326584E-2</c:v>
                </c:pt>
                <c:pt idx="657">
                  <c:v>1.1135097459593414E-2</c:v>
                </c:pt>
                <c:pt idx="658">
                  <c:v>1.1142230512973696E-2</c:v>
                </c:pt>
                <c:pt idx="659">
                  <c:v>1.1069590662836581E-2</c:v>
                </c:pt>
                <c:pt idx="660">
                  <c:v>1.1053648667220622E-2</c:v>
                </c:pt>
                <c:pt idx="661">
                  <c:v>1.1095739412584255E-2</c:v>
                </c:pt>
                <c:pt idx="662">
                  <c:v>1.1135040570428582E-2</c:v>
                </c:pt>
                <c:pt idx="663">
                  <c:v>1.1124386129194185E-2</c:v>
                </c:pt>
                <c:pt idx="664">
                  <c:v>1.1116375942022711E-2</c:v>
                </c:pt>
                <c:pt idx="665">
                  <c:v>1.1090003886565045E-2</c:v>
                </c:pt>
                <c:pt idx="666">
                  <c:v>1.1081182193470838E-2</c:v>
                </c:pt>
                <c:pt idx="667">
                  <c:v>1.1131184321953855E-2</c:v>
                </c:pt>
                <c:pt idx="668">
                  <c:v>1.1165825820260196E-2</c:v>
                </c:pt>
                <c:pt idx="669">
                  <c:v>1.1152379167194141E-2</c:v>
                </c:pt>
                <c:pt idx="670">
                  <c:v>1.1114479431640041E-2</c:v>
                </c:pt>
                <c:pt idx="671">
                  <c:v>1.1095700405228339E-2</c:v>
                </c:pt>
                <c:pt idx="672">
                  <c:v>1.1173337792854074E-2</c:v>
                </c:pt>
                <c:pt idx="673">
                  <c:v>1.1154462973571843E-2</c:v>
                </c:pt>
                <c:pt idx="674">
                  <c:v>1.1225129278665669E-2</c:v>
                </c:pt>
                <c:pt idx="675">
                  <c:v>1.1213106739924563E-2</c:v>
                </c:pt>
                <c:pt idx="676">
                  <c:v>1.1194635112143013E-2</c:v>
                </c:pt>
                <c:pt idx="677">
                  <c:v>1.121436823351587E-2</c:v>
                </c:pt>
                <c:pt idx="678">
                  <c:v>1.1212537617314547E-2</c:v>
                </c:pt>
                <c:pt idx="679">
                  <c:v>1.1237599332326887E-2</c:v>
                </c:pt>
                <c:pt idx="680">
                  <c:v>1.120770317002214E-2</c:v>
                </c:pt>
                <c:pt idx="681">
                  <c:v>1.1188590935395436E-2</c:v>
                </c:pt>
                <c:pt idx="682">
                  <c:v>1.1198148968693752E-2</c:v>
                </c:pt>
                <c:pt idx="683">
                  <c:v>1.1130085617202976E-2</c:v>
                </c:pt>
                <c:pt idx="684">
                  <c:v>1.1140950333752076E-2</c:v>
                </c:pt>
                <c:pt idx="685">
                  <c:v>1.1128944867710735E-2</c:v>
                </c:pt>
                <c:pt idx="686">
                  <c:v>1.1072397258202343E-2</c:v>
                </c:pt>
                <c:pt idx="687">
                  <c:v>1.110330456889487E-2</c:v>
                </c:pt>
                <c:pt idx="688">
                  <c:v>1.1070725056208758E-2</c:v>
                </c:pt>
                <c:pt idx="689">
                  <c:v>1.1069528590584587E-2</c:v>
                </c:pt>
                <c:pt idx="690">
                  <c:v>1.1055976162065453E-2</c:v>
                </c:pt>
                <c:pt idx="691">
                  <c:v>1.1058377668561032E-2</c:v>
                </c:pt>
                <c:pt idx="692">
                  <c:v>1.1063796270514736E-2</c:v>
                </c:pt>
                <c:pt idx="693">
                  <c:v>1.1064171325094588E-2</c:v>
                </c:pt>
                <c:pt idx="694">
                  <c:v>1.1021113398444141E-2</c:v>
                </c:pt>
                <c:pt idx="695">
                  <c:v>1.1017786368937861E-2</c:v>
                </c:pt>
                <c:pt idx="696">
                  <c:v>1.098946877200146E-2</c:v>
                </c:pt>
                <c:pt idx="697">
                  <c:v>1.101025914636565E-2</c:v>
                </c:pt>
                <c:pt idx="698">
                  <c:v>1.0965456833522461E-2</c:v>
                </c:pt>
                <c:pt idx="699">
                  <c:v>1.097275106617706E-2</c:v>
                </c:pt>
                <c:pt idx="700">
                  <c:v>1.0964676070408541E-2</c:v>
                </c:pt>
                <c:pt idx="701">
                  <c:v>1.0960904501677611E-2</c:v>
                </c:pt>
                <c:pt idx="702">
                  <c:v>1.0957656744840302E-2</c:v>
                </c:pt>
                <c:pt idx="703">
                  <c:v>1.0989925297013261E-2</c:v>
                </c:pt>
                <c:pt idx="704">
                  <c:v>1.1022493294868117E-2</c:v>
                </c:pt>
                <c:pt idx="705">
                  <c:v>1.1002734368860578E-2</c:v>
                </c:pt>
                <c:pt idx="706">
                  <c:v>1.1060047494562585E-2</c:v>
                </c:pt>
                <c:pt idx="707">
                  <c:v>1.1088067866351402E-2</c:v>
                </c:pt>
                <c:pt idx="708">
                  <c:v>1.1079921898772811E-2</c:v>
                </c:pt>
                <c:pt idx="709">
                  <c:v>1.1128979365270927E-2</c:v>
                </c:pt>
                <c:pt idx="710">
                  <c:v>1.1041640648574399E-2</c:v>
                </c:pt>
                <c:pt idx="711">
                  <c:v>1.1007135475712462E-2</c:v>
                </c:pt>
                <c:pt idx="712">
                  <c:v>1.1082378933077126E-2</c:v>
                </c:pt>
                <c:pt idx="713">
                  <c:v>1.110451960434895E-2</c:v>
                </c:pt>
                <c:pt idx="714">
                  <c:v>1.1070292014853933E-2</c:v>
                </c:pt>
                <c:pt idx="715">
                  <c:v>1.1051995013447242E-2</c:v>
                </c:pt>
                <c:pt idx="716">
                  <c:v>1.1102835919378242E-2</c:v>
                </c:pt>
                <c:pt idx="717">
                  <c:v>1.1129381914409353E-2</c:v>
                </c:pt>
                <c:pt idx="718">
                  <c:v>1.1163979989598925E-2</c:v>
                </c:pt>
                <c:pt idx="719">
                  <c:v>1.1112926860941289E-2</c:v>
                </c:pt>
                <c:pt idx="720">
                  <c:v>1.1114192966647739E-2</c:v>
                </c:pt>
                <c:pt idx="721">
                  <c:v>1.1132290582080101E-2</c:v>
                </c:pt>
                <c:pt idx="722">
                  <c:v>1.1116693092380631E-2</c:v>
                </c:pt>
                <c:pt idx="723">
                  <c:v>1.1158135535348794E-2</c:v>
                </c:pt>
                <c:pt idx="724">
                  <c:v>1.1148692800014374E-2</c:v>
                </c:pt>
                <c:pt idx="725">
                  <c:v>1.1151425455734887E-2</c:v>
                </c:pt>
                <c:pt idx="726">
                  <c:v>1.1139089452183558E-2</c:v>
                </c:pt>
                <c:pt idx="727">
                  <c:v>1.1186167094222229E-2</c:v>
                </c:pt>
                <c:pt idx="728">
                  <c:v>1.1182798081827358E-2</c:v>
                </c:pt>
                <c:pt idx="729">
                  <c:v>1.121526052603684E-2</c:v>
                </c:pt>
                <c:pt idx="730">
                  <c:v>1.1160965992859475E-2</c:v>
                </c:pt>
                <c:pt idx="731">
                  <c:v>1.1147353898160458E-2</c:v>
                </c:pt>
                <c:pt idx="732">
                  <c:v>1.112961931199109E-2</c:v>
                </c:pt>
                <c:pt idx="733">
                  <c:v>1.1149279805170886E-2</c:v>
                </c:pt>
                <c:pt idx="734">
                  <c:v>1.1132918085574563E-2</c:v>
                </c:pt>
                <c:pt idx="735">
                  <c:v>1.120785765866006E-2</c:v>
                </c:pt>
                <c:pt idx="736">
                  <c:v>1.1205642445952815E-2</c:v>
                </c:pt>
                <c:pt idx="737">
                  <c:v>1.1287972038159197E-2</c:v>
                </c:pt>
                <c:pt idx="738">
                  <c:v>1.1287208173855463E-2</c:v>
                </c:pt>
                <c:pt idx="739">
                  <c:v>1.1310675603612069E-2</c:v>
                </c:pt>
                <c:pt idx="740">
                  <c:v>1.1357211872014623E-2</c:v>
                </c:pt>
                <c:pt idx="741">
                  <c:v>1.1342069828262386E-2</c:v>
                </c:pt>
                <c:pt idx="742">
                  <c:v>1.1356297040317263E-2</c:v>
                </c:pt>
                <c:pt idx="743">
                  <c:v>1.131200361796093E-2</c:v>
                </c:pt>
                <c:pt idx="744">
                  <c:v>1.1344558889518562E-2</c:v>
                </c:pt>
                <c:pt idx="745">
                  <c:v>1.130393423306307E-2</c:v>
                </c:pt>
                <c:pt idx="746">
                  <c:v>1.1326431212985631E-2</c:v>
                </c:pt>
                <c:pt idx="747">
                  <c:v>1.1287646247018416E-2</c:v>
                </c:pt>
                <c:pt idx="748">
                  <c:v>1.1356938890446717E-2</c:v>
                </c:pt>
                <c:pt idx="749">
                  <c:v>1.1343646409563733E-2</c:v>
                </c:pt>
                <c:pt idx="750">
                  <c:v>1.1341957651426661E-2</c:v>
                </c:pt>
                <c:pt idx="751">
                  <c:v>1.1304882669872011E-2</c:v>
                </c:pt>
                <c:pt idx="752">
                  <c:v>1.1304898667965042E-2</c:v>
                </c:pt>
                <c:pt idx="753">
                  <c:v>1.1310237012272307E-2</c:v>
                </c:pt>
                <c:pt idx="754">
                  <c:v>1.1349310763279807E-2</c:v>
                </c:pt>
                <c:pt idx="755">
                  <c:v>1.1291476932633384E-2</c:v>
                </c:pt>
                <c:pt idx="756">
                  <c:v>1.1272086705053645E-2</c:v>
                </c:pt>
                <c:pt idx="757">
                  <c:v>1.1266240748999958E-2</c:v>
                </c:pt>
                <c:pt idx="758">
                  <c:v>1.1315455016524608E-2</c:v>
                </c:pt>
                <c:pt idx="759">
                  <c:v>1.1362783598437813E-2</c:v>
                </c:pt>
                <c:pt idx="760">
                  <c:v>1.1403027961920118E-2</c:v>
                </c:pt>
                <c:pt idx="761">
                  <c:v>1.1405200663493785E-2</c:v>
                </c:pt>
                <c:pt idx="762">
                  <c:v>1.1369455889201583E-2</c:v>
                </c:pt>
                <c:pt idx="763">
                  <c:v>1.1394634816413613E-2</c:v>
                </c:pt>
                <c:pt idx="764">
                  <c:v>1.1458834116657334E-2</c:v>
                </c:pt>
                <c:pt idx="765">
                  <c:v>1.144014135344202E-2</c:v>
                </c:pt>
                <c:pt idx="766">
                  <c:v>1.1423069438527842E-2</c:v>
                </c:pt>
                <c:pt idx="767">
                  <c:v>1.139673105238991E-2</c:v>
                </c:pt>
                <c:pt idx="768">
                  <c:v>1.1380416654901028E-2</c:v>
                </c:pt>
                <c:pt idx="769">
                  <c:v>1.1292215122942744E-2</c:v>
                </c:pt>
                <c:pt idx="770">
                  <c:v>1.1298835478272247E-2</c:v>
                </c:pt>
                <c:pt idx="771">
                  <c:v>1.1274275633067219E-2</c:v>
                </c:pt>
                <c:pt idx="772">
                  <c:v>1.1277498882142127E-2</c:v>
                </c:pt>
                <c:pt idx="773">
                  <c:v>1.1291841476813813E-2</c:v>
                </c:pt>
                <c:pt idx="774">
                  <c:v>1.1297588800501896E-2</c:v>
                </c:pt>
                <c:pt idx="775">
                  <c:v>1.1264368696331309E-2</c:v>
                </c:pt>
                <c:pt idx="776">
                  <c:v>1.1322657637618602E-2</c:v>
                </c:pt>
                <c:pt idx="777">
                  <c:v>1.1312023231858639E-2</c:v>
                </c:pt>
                <c:pt idx="778">
                  <c:v>1.1363045007312968E-2</c:v>
                </c:pt>
                <c:pt idx="779">
                  <c:v>1.133747689478868E-2</c:v>
                </c:pt>
                <c:pt idx="780">
                  <c:v>1.135107536379228E-2</c:v>
                </c:pt>
                <c:pt idx="781">
                  <c:v>1.1345541659977618E-2</c:v>
                </c:pt>
                <c:pt idx="782">
                  <c:v>1.1342956085169737E-2</c:v>
                </c:pt>
                <c:pt idx="783">
                  <c:v>1.1400568966480465E-2</c:v>
                </c:pt>
                <c:pt idx="784">
                  <c:v>1.1416506631086997E-2</c:v>
                </c:pt>
                <c:pt idx="785">
                  <c:v>1.1369605510680631E-2</c:v>
                </c:pt>
                <c:pt idx="786">
                  <c:v>1.1378330008489866E-2</c:v>
                </c:pt>
                <c:pt idx="787">
                  <c:v>1.1344115357230358E-2</c:v>
                </c:pt>
                <c:pt idx="788">
                  <c:v>1.1294547442794556E-2</c:v>
                </c:pt>
                <c:pt idx="789">
                  <c:v>1.1230361067874015E-2</c:v>
                </c:pt>
                <c:pt idx="790">
                  <c:v>1.1277227250717408E-2</c:v>
                </c:pt>
                <c:pt idx="791">
                  <c:v>1.1230245320037998E-2</c:v>
                </c:pt>
                <c:pt idx="792">
                  <c:v>1.1266122085746282E-2</c:v>
                </c:pt>
                <c:pt idx="793">
                  <c:v>1.1216048703940822E-2</c:v>
                </c:pt>
                <c:pt idx="794">
                  <c:v>1.1206664257154032E-2</c:v>
                </c:pt>
                <c:pt idx="795">
                  <c:v>1.1131538427243426E-2</c:v>
                </c:pt>
                <c:pt idx="796">
                  <c:v>1.1142122356886535E-2</c:v>
                </c:pt>
                <c:pt idx="797">
                  <c:v>1.1100370017473256E-2</c:v>
                </c:pt>
                <c:pt idx="798">
                  <c:v>1.1094124622739778E-2</c:v>
                </c:pt>
                <c:pt idx="799">
                  <c:v>1.1084420232862055E-2</c:v>
                </c:pt>
                <c:pt idx="800">
                  <c:v>1.1082825133453095E-2</c:v>
                </c:pt>
                <c:pt idx="801">
                  <c:v>1.1081016905204293E-2</c:v>
                </c:pt>
                <c:pt idx="802">
                  <c:v>1.1110142812430049E-2</c:v>
                </c:pt>
                <c:pt idx="803">
                  <c:v>1.1138650116551815E-2</c:v>
                </c:pt>
                <c:pt idx="804">
                  <c:v>1.1166963386286415E-2</c:v>
                </c:pt>
                <c:pt idx="805">
                  <c:v>1.1150326304513652E-2</c:v>
                </c:pt>
                <c:pt idx="806">
                  <c:v>1.1054492945108338E-2</c:v>
                </c:pt>
                <c:pt idx="807">
                  <c:v>1.1077828131192296E-2</c:v>
                </c:pt>
                <c:pt idx="808">
                  <c:v>1.1068905674374928E-2</c:v>
                </c:pt>
                <c:pt idx="809">
                  <c:v>1.1054685022429716E-2</c:v>
                </c:pt>
                <c:pt idx="810">
                  <c:v>1.1030771203628241E-2</c:v>
                </c:pt>
                <c:pt idx="811">
                  <c:v>1.1030103951461558E-2</c:v>
                </c:pt>
                <c:pt idx="812">
                  <c:v>1.104518306073895E-2</c:v>
                </c:pt>
                <c:pt idx="813">
                  <c:v>1.1144210068983718E-2</c:v>
                </c:pt>
                <c:pt idx="814">
                  <c:v>1.1171797114082702E-2</c:v>
                </c:pt>
                <c:pt idx="815">
                  <c:v>1.111689539400891E-2</c:v>
                </c:pt>
                <c:pt idx="816">
                  <c:v>1.1128656322513078E-2</c:v>
                </c:pt>
                <c:pt idx="817">
                  <c:v>1.1103396539419098E-2</c:v>
                </c:pt>
                <c:pt idx="818">
                  <c:v>1.1179896385142456E-2</c:v>
                </c:pt>
                <c:pt idx="819">
                  <c:v>1.1163645838211826E-2</c:v>
                </c:pt>
                <c:pt idx="820">
                  <c:v>1.1197568317108074E-2</c:v>
                </c:pt>
                <c:pt idx="821">
                  <c:v>1.12314560028513E-2</c:v>
                </c:pt>
                <c:pt idx="822">
                  <c:v>1.1167547562480321E-2</c:v>
                </c:pt>
                <c:pt idx="823">
                  <c:v>1.1169278458560607E-2</c:v>
                </c:pt>
                <c:pt idx="824">
                  <c:v>1.1198410934836738E-2</c:v>
                </c:pt>
                <c:pt idx="825">
                  <c:v>1.1178144230418243E-2</c:v>
                </c:pt>
                <c:pt idx="826">
                  <c:v>1.1181983442251887E-2</c:v>
                </c:pt>
                <c:pt idx="827">
                  <c:v>1.1175782314875376E-2</c:v>
                </c:pt>
                <c:pt idx="828">
                  <c:v>1.1146731065512967E-2</c:v>
                </c:pt>
                <c:pt idx="829">
                  <c:v>1.1210552070745824E-2</c:v>
                </c:pt>
                <c:pt idx="830">
                  <c:v>1.1144330244756572E-2</c:v>
                </c:pt>
                <c:pt idx="831">
                  <c:v>1.1145921326286815E-2</c:v>
                </c:pt>
                <c:pt idx="832">
                  <c:v>1.1135983113967379E-2</c:v>
                </c:pt>
                <c:pt idx="833">
                  <c:v>1.1107494506247354E-2</c:v>
                </c:pt>
                <c:pt idx="834">
                  <c:v>1.1130308930963338E-2</c:v>
                </c:pt>
                <c:pt idx="835">
                  <c:v>1.112261880791021E-2</c:v>
                </c:pt>
                <c:pt idx="836">
                  <c:v>1.1094656410935126E-2</c:v>
                </c:pt>
                <c:pt idx="837">
                  <c:v>1.1079762803010613E-2</c:v>
                </c:pt>
                <c:pt idx="838">
                  <c:v>1.1091975297096868E-2</c:v>
                </c:pt>
                <c:pt idx="839">
                  <c:v>1.1017128153397013E-2</c:v>
                </c:pt>
                <c:pt idx="840">
                  <c:v>1.1044839009937373E-2</c:v>
                </c:pt>
                <c:pt idx="841">
                  <c:v>1.1041840636684268E-2</c:v>
                </c:pt>
                <c:pt idx="842">
                  <c:v>1.1023838112473061E-2</c:v>
                </c:pt>
                <c:pt idx="843">
                  <c:v>1.0992269302641954E-2</c:v>
                </c:pt>
                <c:pt idx="844">
                  <c:v>1.0984070525796589E-2</c:v>
                </c:pt>
                <c:pt idx="845">
                  <c:v>1.0957595260191934E-2</c:v>
                </c:pt>
                <c:pt idx="846">
                  <c:v>1.0956204408831792E-2</c:v>
                </c:pt>
                <c:pt idx="847">
                  <c:v>1.0932917177911852E-2</c:v>
                </c:pt>
                <c:pt idx="848">
                  <c:v>1.0926743984037406E-2</c:v>
                </c:pt>
                <c:pt idx="849">
                  <c:v>1.0901800793114074E-2</c:v>
                </c:pt>
                <c:pt idx="850">
                  <c:v>1.090900879084903E-2</c:v>
                </c:pt>
                <c:pt idx="851">
                  <c:v>1.0924570535090746E-2</c:v>
                </c:pt>
                <c:pt idx="852">
                  <c:v>1.0901559353095476E-2</c:v>
                </c:pt>
                <c:pt idx="853">
                  <c:v>1.0902126880029452E-2</c:v>
                </c:pt>
                <c:pt idx="854">
                  <c:v>1.0908561252847138E-2</c:v>
                </c:pt>
                <c:pt idx="855">
                  <c:v>1.0942772220213693E-2</c:v>
                </c:pt>
                <c:pt idx="856">
                  <c:v>1.0896978588163988E-2</c:v>
                </c:pt>
                <c:pt idx="857">
                  <c:v>1.0891418691250959E-2</c:v>
                </c:pt>
                <c:pt idx="858">
                  <c:v>1.0899460523236121E-2</c:v>
                </c:pt>
                <c:pt idx="859">
                  <c:v>1.085128080907613E-2</c:v>
                </c:pt>
                <c:pt idx="860">
                  <c:v>1.0836009114102638E-2</c:v>
                </c:pt>
                <c:pt idx="861">
                  <c:v>1.0798535209067574E-2</c:v>
                </c:pt>
                <c:pt idx="862">
                  <c:v>1.0881392551762148E-2</c:v>
                </c:pt>
                <c:pt idx="863">
                  <c:v>1.0837782889486808E-2</c:v>
                </c:pt>
                <c:pt idx="864">
                  <c:v>1.0862205481380375E-2</c:v>
                </c:pt>
                <c:pt idx="865">
                  <c:v>1.082418170521319E-2</c:v>
                </c:pt>
                <c:pt idx="866">
                  <c:v>1.082206821122729E-2</c:v>
                </c:pt>
                <c:pt idx="867">
                  <c:v>1.079622083216562E-2</c:v>
                </c:pt>
                <c:pt idx="868">
                  <c:v>1.0836807104283011E-2</c:v>
                </c:pt>
                <c:pt idx="869">
                  <c:v>1.0792851368069267E-2</c:v>
                </c:pt>
                <c:pt idx="870">
                  <c:v>1.0816489884484861E-2</c:v>
                </c:pt>
                <c:pt idx="871">
                  <c:v>1.0884476327876605E-2</c:v>
                </c:pt>
                <c:pt idx="872">
                  <c:v>1.0853163144857649E-2</c:v>
                </c:pt>
                <c:pt idx="873">
                  <c:v>1.0835821990002922E-2</c:v>
                </c:pt>
                <c:pt idx="874">
                  <c:v>1.0837783428043498E-2</c:v>
                </c:pt>
                <c:pt idx="875">
                  <c:v>1.0877669552856689E-2</c:v>
                </c:pt>
                <c:pt idx="876">
                  <c:v>1.084659365833864E-2</c:v>
                </c:pt>
                <c:pt idx="877">
                  <c:v>1.0839821466744099E-2</c:v>
                </c:pt>
                <c:pt idx="878">
                  <c:v>1.0846771956845446E-2</c:v>
                </c:pt>
                <c:pt idx="879">
                  <c:v>1.0804599401096937E-2</c:v>
                </c:pt>
                <c:pt idx="880">
                  <c:v>1.0828631463294372E-2</c:v>
                </c:pt>
                <c:pt idx="881">
                  <c:v>1.0809528016319686E-2</c:v>
                </c:pt>
                <c:pt idx="882">
                  <c:v>1.0865595685995674E-2</c:v>
                </c:pt>
                <c:pt idx="883">
                  <c:v>1.0850938219088285E-2</c:v>
                </c:pt>
                <c:pt idx="884">
                  <c:v>1.0855555860163194E-2</c:v>
                </c:pt>
                <c:pt idx="885">
                  <c:v>1.0833841667638266E-2</c:v>
                </c:pt>
                <c:pt idx="886">
                  <c:v>1.0901131332962945E-2</c:v>
                </c:pt>
                <c:pt idx="887">
                  <c:v>1.0876279730150927E-2</c:v>
                </c:pt>
                <c:pt idx="888">
                  <c:v>1.0889065097751472E-2</c:v>
                </c:pt>
                <c:pt idx="889">
                  <c:v>1.0865301810683186E-2</c:v>
                </c:pt>
                <c:pt idx="890">
                  <c:v>1.0935608482024989E-2</c:v>
                </c:pt>
                <c:pt idx="891">
                  <c:v>1.0874899816308594E-2</c:v>
                </c:pt>
                <c:pt idx="892">
                  <c:v>1.0859002545118349E-2</c:v>
                </c:pt>
                <c:pt idx="893">
                  <c:v>1.085661222620333E-2</c:v>
                </c:pt>
                <c:pt idx="894">
                  <c:v>1.088097139373446E-2</c:v>
                </c:pt>
                <c:pt idx="895">
                  <c:v>1.0839630156417647E-2</c:v>
                </c:pt>
                <c:pt idx="896">
                  <c:v>1.0829083143522133E-2</c:v>
                </c:pt>
                <c:pt idx="897">
                  <c:v>1.0862915308535949E-2</c:v>
                </c:pt>
                <c:pt idx="898">
                  <c:v>1.0821783122424624E-2</c:v>
                </c:pt>
                <c:pt idx="899">
                  <c:v>1.0837936945314442E-2</c:v>
                </c:pt>
                <c:pt idx="900">
                  <c:v>1.0840309735368037E-2</c:v>
                </c:pt>
                <c:pt idx="901">
                  <c:v>1.0854406572162748E-2</c:v>
                </c:pt>
                <c:pt idx="902">
                  <c:v>1.0882395113284149E-2</c:v>
                </c:pt>
                <c:pt idx="903">
                  <c:v>1.08828978940862E-2</c:v>
                </c:pt>
                <c:pt idx="904">
                  <c:v>1.0880564005597565E-2</c:v>
                </c:pt>
                <c:pt idx="905">
                  <c:v>1.0845511222340147E-2</c:v>
                </c:pt>
                <c:pt idx="906">
                  <c:v>1.0852108059594906E-2</c:v>
                </c:pt>
                <c:pt idx="907">
                  <c:v>1.084648945319454E-2</c:v>
                </c:pt>
                <c:pt idx="908">
                  <c:v>1.0847723364389734E-2</c:v>
                </c:pt>
                <c:pt idx="909">
                  <c:v>1.0857889445242141E-2</c:v>
                </c:pt>
                <c:pt idx="910">
                  <c:v>1.0863303541649506E-2</c:v>
                </c:pt>
                <c:pt idx="911">
                  <c:v>1.0872412720011382E-2</c:v>
                </c:pt>
                <c:pt idx="912">
                  <c:v>1.088084613116262E-2</c:v>
                </c:pt>
                <c:pt idx="913">
                  <c:v>1.089432935537058E-2</c:v>
                </c:pt>
                <c:pt idx="914">
                  <c:v>1.09043944265441E-2</c:v>
                </c:pt>
                <c:pt idx="915">
                  <c:v>1.0911813959278826E-2</c:v>
                </c:pt>
                <c:pt idx="916">
                  <c:v>1.0897835463690901E-2</c:v>
                </c:pt>
                <c:pt idx="917">
                  <c:v>1.0884662276793385E-2</c:v>
                </c:pt>
                <c:pt idx="918">
                  <c:v>1.0919759345881944E-2</c:v>
                </c:pt>
                <c:pt idx="919">
                  <c:v>1.1040041879344532E-2</c:v>
                </c:pt>
                <c:pt idx="920">
                  <c:v>1.0996537724111407E-2</c:v>
                </c:pt>
                <c:pt idx="921">
                  <c:v>1.0998927817218448E-2</c:v>
                </c:pt>
                <c:pt idx="922">
                  <c:v>1.0931854473866645E-2</c:v>
                </c:pt>
                <c:pt idx="923">
                  <c:v>1.0943580232491156E-2</c:v>
                </c:pt>
                <c:pt idx="924">
                  <c:v>1.0954232765209095E-2</c:v>
                </c:pt>
                <c:pt idx="925">
                  <c:v>1.1008902566532331E-2</c:v>
                </c:pt>
                <c:pt idx="926">
                  <c:v>1.0981079962748566E-2</c:v>
                </c:pt>
                <c:pt idx="927">
                  <c:v>1.100848688099188E-2</c:v>
                </c:pt>
                <c:pt idx="928">
                  <c:v>1.0986437733316262E-2</c:v>
                </c:pt>
                <c:pt idx="929">
                  <c:v>1.0985643815387643E-2</c:v>
                </c:pt>
                <c:pt idx="930">
                  <c:v>1.1001160104576449E-2</c:v>
                </c:pt>
                <c:pt idx="931">
                  <c:v>1.1037190785089915E-2</c:v>
                </c:pt>
                <c:pt idx="932">
                  <c:v>1.0962497324894177E-2</c:v>
                </c:pt>
                <c:pt idx="933">
                  <c:v>1.0986119514349576E-2</c:v>
                </c:pt>
                <c:pt idx="934">
                  <c:v>1.0992477099030095E-2</c:v>
                </c:pt>
                <c:pt idx="935">
                  <c:v>1.0973448949251096E-2</c:v>
                </c:pt>
                <c:pt idx="936">
                  <c:v>1.1004716894646592E-2</c:v>
                </c:pt>
                <c:pt idx="937">
                  <c:v>1.0951919150423494E-2</c:v>
                </c:pt>
                <c:pt idx="938">
                  <c:v>1.0933088199044235E-2</c:v>
                </c:pt>
                <c:pt idx="939">
                  <c:v>1.0946239243804484E-2</c:v>
                </c:pt>
                <c:pt idx="940">
                  <c:v>1.0933073412358546E-2</c:v>
                </c:pt>
                <c:pt idx="941">
                  <c:v>1.0965853621434058E-2</c:v>
                </c:pt>
                <c:pt idx="942">
                  <c:v>1.0961605413718404E-2</c:v>
                </c:pt>
                <c:pt idx="943">
                  <c:v>1.1031974998612996E-2</c:v>
                </c:pt>
                <c:pt idx="944">
                  <c:v>1.1052737730754143E-2</c:v>
                </c:pt>
                <c:pt idx="945">
                  <c:v>1.1013660906135703E-2</c:v>
                </c:pt>
                <c:pt idx="946">
                  <c:v>1.0967937054899244E-2</c:v>
                </c:pt>
                <c:pt idx="947">
                  <c:v>1.0993863300470676E-2</c:v>
                </c:pt>
                <c:pt idx="948">
                  <c:v>1.0999126249687191E-2</c:v>
                </c:pt>
                <c:pt idx="949">
                  <c:v>1.1025502655844175E-2</c:v>
                </c:pt>
                <c:pt idx="950">
                  <c:v>1.0982210667877728E-2</c:v>
                </c:pt>
                <c:pt idx="951">
                  <c:v>1.0964728707763259E-2</c:v>
                </c:pt>
                <c:pt idx="952">
                  <c:v>1.0992798604167528E-2</c:v>
                </c:pt>
                <c:pt idx="953">
                  <c:v>1.1003698019065563E-2</c:v>
                </c:pt>
                <c:pt idx="954">
                  <c:v>1.0942141827070297E-2</c:v>
                </c:pt>
                <c:pt idx="955">
                  <c:v>1.0920104095773091E-2</c:v>
                </c:pt>
                <c:pt idx="956">
                  <c:v>1.0901473854881279E-2</c:v>
                </c:pt>
                <c:pt idx="957">
                  <c:v>1.0894822471731262E-2</c:v>
                </c:pt>
                <c:pt idx="958">
                  <c:v>1.0885647960062915E-2</c:v>
                </c:pt>
                <c:pt idx="959">
                  <c:v>1.0921404673776509E-2</c:v>
                </c:pt>
                <c:pt idx="960">
                  <c:v>1.0920735015988033E-2</c:v>
                </c:pt>
                <c:pt idx="961">
                  <c:v>1.0877217800568707E-2</c:v>
                </c:pt>
                <c:pt idx="962">
                  <c:v>1.0866684384437832E-2</c:v>
                </c:pt>
                <c:pt idx="963">
                  <c:v>1.0875220526881975E-2</c:v>
                </c:pt>
                <c:pt idx="964">
                  <c:v>1.0918749750335325E-2</c:v>
                </c:pt>
                <c:pt idx="965">
                  <c:v>1.0944783445240103E-2</c:v>
                </c:pt>
                <c:pt idx="966">
                  <c:v>1.0959182896172197E-2</c:v>
                </c:pt>
                <c:pt idx="967">
                  <c:v>1.0971289680213414E-2</c:v>
                </c:pt>
                <c:pt idx="968">
                  <c:v>1.0982509439977499E-2</c:v>
                </c:pt>
                <c:pt idx="969">
                  <c:v>1.0987398790637471E-2</c:v>
                </c:pt>
                <c:pt idx="970">
                  <c:v>1.1009404652484204E-2</c:v>
                </c:pt>
                <c:pt idx="971">
                  <c:v>1.1008746417255973E-2</c:v>
                </c:pt>
                <c:pt idx="972">
                  <c:v>1.0989715746397786E-2</c:v>
                </c:pt>
                <c:pt idx="973">
                  <c:v>1.0932861632471475E-2</c:v>
                </c:pt>
                <c:pt idx="974">
                  <c:v>1.095306969023826E-2</c:v>
                </c:pt>
                <c:pt idx="975">
                  <c:v>1.0976275800549558E-2</c:v>
                </c:pt>
                <c:pt idx="976">
                  <c:v>1.0904251413043258E-2</c:v>
                </c:pt>
                <c:pt idx="977">
                  <c:v>1.091324771091242E-2</c:v>
                </c:pt>
                <c:pt idx="978">
                  <c:v>1.0895774307759244E-2</c:v>
                </c:pt>
                <c:pt idx="979">
                  <c:v>1.0911451063942914E-2</c:v>
                </c:pt>
                <c:pt idx="980">
                  <c:v>1.0950683092905632E-2</c:v>
                </c:pt>
                <c:pt idx="981">
                  <c:v>1.0962206351620245E-2</c:v>
                </c:pt>
                <c:pt idx="982">
                  <c:v>1.1049499325314032E-2</c:v>
                </c:pt>
                <c:pt idx="983">
                  <c:v>1.1025431458776177E-2</c:v>
                </c:pt>
                <c:pt idx="984">
                  <c:v>1.0977540687415176E-2</c:v>
                </c:pt>
                <c:pt idx="985">
                  <c:v>1.0972888476978304E-2</c:v>
                </c:pt>
                <c:pt idx="986">
                  <c:v>1.0963109064160896E-2</c:v>
                </c:pt>
                <c:pt idx="987">
                  <c:v>1.0993313401585519E-2</c:v>
                </c:pt>
                <c:pt idx="988">
                  <c:v>1.095179307993265E-2</c:v>
                </c:pt>
                <c:pt idx="989">
                  <c:v>1.0967401856000496E-2</c:v>
                </c:pt>
                <c:pt idx="990">
                  <c:v>1.0956964529464409E-2</c:v>
                </c:pt>
                <c:pt idx="991">
                  <c:v>1.0947825880726403E-2</c:v>
                </c:pt>
                <c:pt idx="992">
                  <c:v>1.0954613811795371E-2</c:v>
                </c:pt>
                <c:pt idx="993">
                  <c:v>1.0957214799758405E-2</c:v>
                </c:pt>
                <c:pt idx="994">
                  <c:v>1.0938364408879565E-2</c:v>
                </c:pt>
                <c:pt idx="995">
                  <c:v>1.0963650272816813E-2</c:v>
                </c:pt>
                <c:pt idx="996">
                  <c:v>1.1026316618687616E-2</c:v>
                </c:pt>
                <c:pt idx="997">
                  <c:v>1.104923974726294E-2</c:v>
                </c:pt>
                <c:pt idx="998">
                  <c:v>1.106616796393183E-2</c:v>
                </c:pt>
                <c:pt idx="999">
                  <c:v>1.1107897268658911E-2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23-4D4E-B819-D422DAD91692}"/>
            </c:ext>
          </c:extLst>
        </c:ser>
        <c:ser>
          <c:idx val="0"/>
          <c:order val="2"/>
          <c:tx>
            <c:v>path(ou)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Model!$F$6:$F$1005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</c:numCache>
            </c:numRef>
          </c:xVal>
          <c:yVal>
            <c:numRef>
              <c:f>Model!$G$6:$G$1005</c:f>
              <c:numCache>
                <c:formatCode>General</c:formatCode>
                <c:ptCount val="1000"/>
                <c:pt idx="0">
                  <c:v>0.01</c:v>
                </c:pt>
                <c:pt idx="1">
                  <c:v>1.4963709373198995E-2</c:v>
                </c:pt>
                <c:pt idx="2">
                  <c:v>1.305657222186905E-2</c:v>
                </c:pt>
                <c:pt idx="3">
                  <c:v>1.3182173878631269E-2</c:v>
                </c:pt>
                <c:pt idx="4">
                  <c:v>1.8278123965746532E-2</c:v>
                </c:pt>
                <c:pt idx="5">
                  <c:v>1.7434848977301312E-2</c:v>
                </c:pt>
                <c:pt idx="6">
                  <c:v>1.596811103903277E-2</c:v>
                </c:pt>
                <c:pt idx="7">
                  <c:v>1.9208070077150433E-2</c:v>
                </c:pt>
                <c:pt idx="8">
                  <c:v>2.0707462104015251E-2</c:v>
                </c:pt>
                <c:pt idx="9">
                  <c:v>1.7812884109209375E-2</c:v>
                </c:pt>
                <c:pt idx="10">
                  <c:v>1.5979889108901829E-2</c:v>
                </c:pt>
                <c:pt idx="11">
                  <c:v>1.8554761928028948E-2</c:v>
                </c:pt>
                <c:pt idx="12">
                  <c:v>1.9021217545009798E-2</c:v>
                </c:pt>
                <c:pt idx="13">
                  <c:v>1.7335059851355038E-2</c:v>
                </c:pt>
                <c:pt idx="14">
                  <c:v>1.5564788729160131E-2</c:v>
                </c:pt>
                <c:pt idx="15">
                  <c:v>1.5207730259731095E-2</c:v>
                </c:pt>
                <c:pt idx="16">
                  <c:v>1.0918957302945995E-2</c:v>
                </c:pt>
                <c:pt idx="17">
                  <c:v>8.741850747397948E-3</c:v>
                </c:pt>
                <c:pt idx="18">
                  <c:v>9.1073341421360372E-3</c:v>
                </c:pt>
                <c:pt idx="19">
                  <c:v>1.0435380484532868E-2</c:v>
                </c:pt>
                <c:pt idx="20">
                  <c:v>1.008040550280849E-2</c:v>
                </c:pt>
                <c:pt idx="21">
                  <c:v>9.8864211434330582E-3</c:v>
                </c:pt>
                <c:pt idx="22">
                  <c:v>1.0633544968439351E-2</c:v>
                </c:pt>
                <c:pt idx="23">
                  <c:v>8.2192953130200974E-3</c:v>
                </c:pt>
                <c:pt idx="24">
                  <c:v>7.6180324649677009E-3</c:v>
                </c:pt>
                <c:pt idx="25">
                  <c:v>8.364836440937877E-3</c:v>
                </c:pt>
                <c:pt idx="26">
                  <c:v>1.4767261830749237E-2</c:v>
                </c:pt>
                <c:pt idx="27">
                  <c:v>2.006281266918198E-2</c:v>
                </c:pt>
                <c:pt idx="28">
                  <c:v>1.8959470232491622E-2</c:v>
                </c:pt>
                <c:pt idx="29">
                  <c:v>1.9459592193720648E-2</c:v>
                </c:pt>
                <c:pt idx="30">
                  <c:v>1.7159107054054431E-2</c:v>
                </c:pt>
                <c:pt idx="31">
                  <c:v>1.7533524362506873E-2</c:v>
                </c:pt>
                <c:pt idx="32">
                  <c:v>1.9849877618699684E-2</c:v>
                </c:pt>
                <c:pt idx="33">
                  <c:v>1.6317801202644554E-2</c:v>
                </c:pt>
                <c:pt idx="34">
                  <c:v>2.3381622021989731E-2</c:v>
                </c:pt>
                <c:pt idx="35">
                  <c:v>2.4669457894422698E-2</c:v>
                </c:pt>
                <c:pt idx="36">
                  <c:v>2.6395143659295042E-2</c:v>
                </c:pt>
                <c:pt idx="37">
                  <c:v>2.6436401744038534E-2</c:v>
                </c:pt>
                <c:pt idx="38">
                  <c:v>2.3067356977728218E-2</c:v>
                </c:pt>
                <c:pt idx="39">
                  <c:v>2.0463017796862572E-2</c:v>
                </c:pt>
                <c:pt idx="40">
                  <c:v>2.062349396830607E-2</c:v>
                </c:pt>
                <c:pt idx="41">
                  <c:v>2.4418713119114359E-2</c:v>
                </c:pt>
                <c:pt idx="42">
                  <c:v>2.262314969100665E-2</c:v>
                </c:pt>
                <c:pt idx="43">
                  <c:v>1.9068467199710323E-2</c:v>
                </c:pt>
                <c:pt idx="44">
                  <c:v>2.0213857599065407E-2</c:v>
                </c:pt>
                <c:pt idx="45">
                  <c:v>1.9689006795418035E-2</c:v>
                </c:pt>
                <c:pt idx="46">
                  <c:v>1.9708072263685587E-2</c:v>
                </c:pt>
                <c:pt idx="47">
                  <c:v>1.5181940596725783E-2</c:v>
                </c:pt>
                <c:pt idx="48">
                  <c:v>1.4206734149885648E-2</c:v>
                </c:pt>
                <c:pt idx="49">
                  <c:v>1.6590261496666613E-2</c:v>
                </c:pt>
                <c:pt idx="50">
                  <c:v>1.6480088868445548E-2</c:v>
                </c:pt>
                <c:pt idx="51">
                  <c:v>1.5182211786425212E-2</c:v>
                </c:pt>
                <c:pt idx="52">
                  <c:v>1.6298188552160052E-2</c:v>
                </c:pt>
                <c:pt idx="53">
                  <c:v>1.9164975793046754E-2</c:v>
                </c:pt>
                <c:pt idx="54">
                  <c:v>2.079997689262585E-2</c:v>
                </c:pt>
                <c:pt idx="55">
                  <c:v>1.9304569515739091E-2</c:v>
                </c:pt>
                <c:pt idx="56">
                  <c:v>1.5830172956796829E-2</c:v>
                </c:pt>
                <c:pt idx="57">
                  <c:v>1.3230675362522589E-2</c:v>
                </c:pt>
                <c:pt idx="58">
                  <c:v>1.737442175575004E-2</c:v>
                </c:pt>
                <c:pt idx="59">
                  <c:v>1.6807410818063133E-2</c:v>
                </c:pt>
                <c:pt idx="60">
                  <c:v>1.2661153661537484E-2</c:v>
                </c:pt>
                <c:pt idx="61">
                  <c:v>1.3999166405235356E-2</c:v>
                </c:pt>
                <c:pt idx="62">
                  <c:v>1.2962860491182768E-2</c:v>
                </c:pt>
                <c:pt idx="63">
                  <c:v>1.3002735395353132E-2</c:v>
                </c:pt>
                <c:pt idx="64">
                  <c:v>8.6109513669496915E-3</c:v>
                </c:pt>
                <c:pt idx="65">
                  <c:v>5.6270777387829492E-3</c:v>
                </c:pt>
                <c:pt idx="66">
                  <c:v>2.7125248716641597E-3</c:v>
                </c:pt>
                <c:pt idx="67">
                  <c:v>2.8089326579250019E-3</c:v>
                </c:pt>
                <c:pt idx="68">
                  <c:v>3.0614082977790894E-3</c:v>
                </c:pt>
                <c:pt idx="69">
                  <c:v>4.5220073911422191E-3</c:v>
                </c:pt>
                <c:pt idx="70">
                  <c:v>8.4109809281285447E-3</c:v>
                </c:pt>
                <c:pt idx="71">
                  <c:v>1.2554729829434834E-2</c:v>
                </c:pt>
                <c:pt idx="72">
                  <c:v>1.077990153042366E-2</c:v>
                </c:pt>
                <c:pt idx="73">
                  <c:v>8.2071980679169938E-3</c:v>
                </c:pt>
                <c:pt idx="74">
                  <c:v>1.4347034255995308E-2</c:v>
                </c:pt>
                <c:pt idx="75">
                  <c:v>1.2105204194985397E-2</c:v>
                </c:pt>
                <c:pt idx="76">
                  <c:v>1.9130126164404203E-2</c:v>
                </c:pt>
                <c:pt idx="77">
                  <c:v>2.0028032482570266E-2</c:v>
                </c:pt>
                <c:pt idx="78">
                  <c:v>2.1080125291732692E-2</c:v>
                </c:pt>
                <c:pt idx="79">
                  <c:v>1.7742763776941634E-2</c:v>
                </c:pt>
                <c:pt idx="80">
                  <c:v>1.8597418199462052E-2</c:v>
                </c:pt>
                <c:pt idx="81">
                  <c:v>1.4864915344625657E-2</c:v>
                </c:pt>
                <c:pt idx="82">
                  <c:v>1.6044585301697289E-2</c:v>
                </c:pt>
                <c:pt idx="83">
                  <c:v>1.7061054864263743E-2</c:v>
                </c:pt>
                <c:pt idx="84">
                  <c:v>1.5097326134135699E-2</c:v>
                </c:pt>
                <c:pt idx="85">
                  <c:v>1.8263038164316361E-2</c:v>
                </c:pt>
                <c:pt idx="86">
                  <c:v>1.579583644662419E-2</c:v>
                </c:pt>
                <c:pt idx="87">
                  <c:v>1.6357525391685369E-2</c:v>
                </c:pt>
                <c:pt idx="88">
                  <c:v>1.2207783189694142E-2</c:v>
                </c:pt>
                <c:pt idx="89">
                  <c:v>1.1078544301566916E-2</c:v>
                </c:pt>
                <c:pt idx="90">
                  <c:v>1.3760199377930094E-2</c:v>
                </c:pt>
                <c:pt idx="91">
                  <c:v>1.6765315125956547E-2</c:v>
                </c:pt>
                <c:pt idx="92">
                  <c:v>2.1210494743605424E-2</c:v>
                </c:pt>
                <c:pt idx="93">
                  <c:v>1.7968688307175639E-2</c:v>
                </c:pt>
                <c:pt idx="94">
                  <c:v>1.6008443790022621E-2</c:v>
                </c:pt>
                <c:pt idx="95">
                  <c:v>1.6957015008551603E-2</c:v>
                </c:pt>
                <c:pt idx="96">
                  <c:v>1.318758000874333E-2</c:v>
                </c:pt>
                <c:pt idx="97">
                  <c:v>1.2850779519641354E-2</c:v>
                </c:pt>
                <c:pt idx="98">
                  <c:v>1.3473312100879818E-2</c:v>
                </c:pt>
                <c:pt idx="99">
                  <c:v>1.0962982486737407E-2</c:v>
                </c:pt>
                <c:pt idx="100">
                  <c:v>1.2641108239444122E-2</c:v>
                </c:pt>
                <c:pt idx="101">
                  <c:v>7.7978175011393603E-3</c:v>
                </c:pt>
                <c:pt idx="102">
                  <c:v>5.4211879775317769E-3</c:v>
                </c:pt>
                <c:pt idx="103">
                  <c:v>1.9767941296980197E-3</c:v>
                </c:pt>
                <c:pt idx="104">
                  <c:v>2.3424263040440069E-3</c:v>
                </c:pt>
                <c:pt idx="105">
                  <c:v>2.7754906233419508E-3</c:v>
                </c:pt>
                <c:pt idx="106">
                  <c:v>4.2483739277579544E-3</c:v>
                </c:pt>
                <c:pt idx="107">
                  <c:v>3.703152560055648E-3</c:v>
                </c:pt>
                <c:pt idx="108">
                  <c:v>7.7064413967767786E-4</c:v>
                </c:pt>
                <c:pt idx="109">
                  <c:v>-4.9939659293127868E-3</c:v>
                </c:pt>
                <c:pt idx="110">
                  <c:v>-4.6209587702810253E-3</c:v>
                </c:pt>
                <c:pt idx="111">
                  <c:v>-3.0228358294850577E-3</c:v>
                </c:pt>
                <c:pt idx="112">
                  <c:v>-1.4793404872313262E-3</c:v>
                </c:pt>
                <c:pt idx="113">
                  <c:v>-3.3760644103436035E-4</c:v>
                </c:pt>
                <c:pt idx="114">
                  <c:v>3.5002150088949027E-3</c:v>
                </c:pt>
                <c:pt idx="115">
                  <c:v>3.3861631214487115E-3</c:v>
                </c:pt>
                <c:pt idx="116">
                  <c:v>5.0308498635639378E-3</c:v>
                </c:pt>
                <c:pt idx="117">
                  <c:v>6.6418644453545847E-3</c:v>
                </c:pt>
                <c:pt idx="118">
                  <c:v>7.8999775359816053E-3</c:v>
                </c:pt>
                <c:pt idx="119">
                  <c:v>1.6863965879577822E-2</c:v>
                </c:pt>
                <c:pt idx="120">
                  <c:v>1.6347749628805048E-2</c:v>
                </c:pt>
                <c:pt idx="121">
                  <c:v>1.7381709453944304E-2</c:v>
                </c:pt>
                <c:pt idx="122">
                  <c:v>1.1707593607281115E-2</c:v>
                </c:pt>
                <c:pt idx="123">
                  <c:v>7.0764668745245769E-3</c:v>
                </c:pt>
                <c:pt idx="124">
                  <c:v>5.8624961394890557E-3</c:v>
                </c:pt>
                <c:pt idx="125">
                  <c:v>2.2367071661981396E-3</c:v>
                </c:pt>
                <c:pt idx="126">
                  <c:v>4.184339425080931E-3</c:v>
                </c:pt>
                <c:pt idx="127">
                  <c:v>5.8463620317850233E-3</c:v>
                </c:pt>
                <c:pt idx="128">
                  <c:v>3.6826804084923032E-3</c:v>
                </c:pt>
                <c:pt idx="129">
                  <c:v>3.8791573210282854E-3</c:v>
                </c:pt>
                <c:pt idx="130">
                  <c:v>3.576879710305621E-3</c:v>
                </c:pt>
                <c:pt idx="131">
                  <c:v>2.3436450465340302E-3</c:v>
                </c:pt>
                <c:pt idx="132">
                  <c:v>9.2283802059828519E-3</c:v>
                </c:pt>
                <c:pt idx="133">
                  <c:v>1.2872388556144867E-2</c:v>
                </c:pt>
                <c:pt idx="134">
                  <c:v>8.6158636056826669E-3</c:v>
                </c:pt>
                <c:pt idx="135">
                  <c:v>1.1207415746390437E-2</c:v>
                </c:pt>
                <c:pt idx="136">
                  <c:v>1.3191221335237617E-2</c:v>
                </c:pt>
                <c:pt idx="137">
                  <c:v>1.2402598427810644E-2</c:v>
                </c:pt>
                <c:pt idx="138">
                  <c:v>1.8914351776109416E-2</c:v>
                </c:pt>
                <c:pt idx="139">
                  <c:v>1.6079385282502256E-2</c:v>
                </c:pt>
                <c:pt idx="140">
                  <c:v>1.4553268249860727E-2</c:v>
                </c:pt>
                <c:pt idx="141">
                  <c:v>1.7334006004797758E-2</c:v>
                </c:pt>
                <c:pt idx="142">
                  <c:v>1.4130135258969433E-2</c:v>
                </c:pt>
                <c:pt idx="143">
                  <c:v>1.514794146159138E-2</c:v>
                </c:pt>
                <c:pt idx="144">
                  <c:v>9.7226665469249841E-3</c:v>
                </c:pt>
                <c:pt idx="145">
                  <c:v>1.2620785073416907E-2</c:v>
                </c:pt>
                <c:pt idx="146">
                  <c:v>1.0183952623426419E-2</c:v>
                </c:pt>
                <c:pt idx="147">
                  <c:v>7.3582840021219967E-3</c:v>
                </c:pt>
                <c:pt idx="148">
                  <c:v>1.536054218171929E-2</c:v>
                </c:pt>
                <c:pt idx="149">
                  <c:v>1.1394697156610945E-2</c:v>
                </c:pt>
                <c:pt idx="150">
                  <c:v>1.8373886445987815E-2</c:v>
                </c:pt>
                <c:pt idx="151">
                  <c:v>1.372657451507639E-2</c:v>
                </c:pt>
                <c:pt idx="152">
                  <c:v>1.3728191328543719E-2</c:v>
                </c:pt>
                <c:pt idx="153">
                  <c:v>1.4239969150061638E-2</c:v>
                </c:pt>
                <c:pt idx="154">
                  <c:v>1.6674384717662083E-2</c:v>
                </c:pt>
                <c:pt idx="155">
                  <c:v>1.3502491133712286E-2</c:v>
                </c:pt>
                <c:pt idx="156">
                  <c:v>9.8799477739972084E-3</c:v>
                </c:pt>
                <c:pt idx="157">
                  <c:v>1.2599836724431046E-2</c:v>
                </c:pt>
                <c:pt idx="158">
                  <c:v>1.0923102868610323E-2</c:v>
                </c:pt>
                <c:pt idx="159">
                  <c:v>5.2190413094228639E-3</c:v>
                </c:pt>
                <c:pt idx="160">
                  <c:v>4.334283489445606E-3</c:v>
                </c:pt>
                <c:pt idx="161">
                  <c:v>7.0816194366652126E-3</c:v>
                </c:pt>
                <c:pt idx="162">
                  <c:v>1.1760377822064568E-2</c:v>
                </c:pt>
                <c:pt idx="163">
                  <c:v>1.1700971123267101E-2</c:v>
                </c:pt>
                <c:pt idx="164">
                  <c:v>1.6989814056789291E-2</c:v>
                </c:pt>
                <c:pt idx="165">
                  <c:v>1.8666924267622838E-2</c:v>
                </c:pt>
                <c:pt idx="166">
                  <c:v>1.2949051193520206E-2</c:v>
                </c:pt>
                <c:pt idx="167">
                  <c:v>1.6868864908644816E-2</c:v>
                </c:pt>
                <c:pt idx="168">
                  <c:v>1.5062726650517529E-2</c:v>
                </c:pt>
                <c:pt idx="169">
                  <c:v>1.1145228271299797E-2</c:v>
                </c:pt>
                <c:pt idx="170">
                  <c:v>9.6329379578039623E-3</c:v>
                </c:pt>
                <c:pt idx="171">
                  <c:v>7.7548740221624864E-3</c:v>
                </c:pt>
                <c:pt idx="172">
                  <c:v>1.2967407401049739E-2</c:v>
                </c:pt>
                <c:pt idx="173">
                  <c:v>1.2543093255068421E-2</c:v>
                </c:pt>
                <c:pt idx="174">
                  <c:v>1.2958402547116103E-2</c:v>
                </c:pt>
                <c:pt idx="175">
                  <c:v>1.5195518447936996E-2</c:v>
                </c:pt>
                <c:pt idx="176">
                  <c:v>1.5634652538323152E-2</c:v>
                </c:pt>
                <c:pt idx="177">
                  <c:v>1.1830495255796309E-2</c:v>
                </c:pt>
                <c:pt idx="178">
                  <c:v>6.8903617893389217E-3</c:v>
                </c:pt>
                <c:pt idx="179">
                  <c:v>5.9554276031416765E-3</c:v>
                </c:pt>
                <c:pt idx="180">
                  <c:v>2.0128717777280402E-3</c:v>
                </c:pt>
                <c:pt idx="181">
                  <c:v>3.7174639407614053E-3</c:v>
                </c:pt>
                <c:pt idx="182">
                  <c:v>-1.2064287160043485E-3</c:v>
                </c:pt>
                <c:pt idx="183">
                  <c:v>-4.0458300328414659E-3</c:v>
                </c:pt>
                <c:pt idx="184">
                  <c:v>-4.8020970497523168E-3</c:v>
                </c:pt>
                <c:pt idx="185">
                  <c:v>-2.9043583863618935E-3</c:v>
                </c:pt>
                <c:pt idx="186">
                  <c:v>-3.2412707963169994E-3</c:v>
                </c:pt>
                <c:pt idx="187">
                  <c:v>-3.6639628953297693E-3</c:v>
                </c:pt>
                <c:pt idx="188">
                  <c:v>-2.0487171305568178E-3</c:v>
                </c:pt>
                <c:pt idx="189">
                  <c:v>-5.029198467399259E-4</c:v>
                </c:pt>
                <c:pt idx="190">
                  <c:v>-4.1846046490813527E-3</c:v>
                </c:pt>
                <c:pt idx="191">
                  <c:v>-3.1760310630062115E-3</c:v>
                </c:pt>
                <c:pt idx="192">
                  <c:v>-2.0831585638353637E-3</c:v>
                </c:pt>
                <c:pt idx="193">
                  <c:v>-6.8465930239657354E-3</c:v>
                </c:pt>
                <c:pt idx="194">
                  <c:v>-5.529587867852185E-3</c:v>
                </c:pt>
                <c:pt idx="195">
                  <c:v>-6.1278934362297283E-3</c:v>
                </c:pt>
                <c:pt idx="196">
                  <c:v>-8.7259130642837208E-3</c:v>
                </c:pt>
                <c:pt idx="197">
                  <c:v>-1.1904030255120834E-2</c:v>
                </c:pt>
                <c:pt idx="198">
                  <c:v>-9.3310241453798282E-3</c:v>
                </c:pt>
                <c:pt idx="199">
                  <c:v>-8.9657609315607692E-3</c:v>
                </c:pt>
                <c:pt idx="200">
                  <c:v>-1.5012979166229973E-2</c:v>
                </c:pt>
                <c:pt idx="201">
                  <c:v>-1.639290133179875E-2</c:v>
                </c:pt>
                <c:pt idx="202">
                  <c:v>-1.8868436683049983E-2</c:v>
                </c:pt>
                <c:pt idx="203">
                  <c:v>-1.6813350034628815E-2</c:v>
                </c:pt>
                <c:pt idx="204">
                  <c:v>-1.9286813596653865E-2</c:v>
                </c:pt>
                <c:pt idx="205">
                  <c:v>-2.2732748323692421E-2</c:v>
                </c:pt>
                <c:pt idx="206">
                  <c:v>-2.3287104943480255E-2</c:v>
                </c:pt>
                <c:pt idx="207">
                  <c:v>-2.1399790533171068E-2</c:v>
                </c:pt>
                <c:pt idx="208">
                  <c:v>-1.8809040500577467E-2</c:v>
                </c:pt>
                <c:pt idx="209">
                  <c:v>-1.8522667425319647E-2</c:v>
                </c:pt>
                <c:pt idx="210">
                  <c:v>-1.448055701890821E-2</c:v>
                </c:pt>
                <c:pt idx="211">
                  <c:v>-8.9649996264645655E-3</c:v>
                </c:pt>
                <c:pt idx="212">
                  <c:v>-9.9201451513338708E-3</c:v>
                </c:pt>
                <c:pt idx="213">
                  <c:v>-1.5239045461775982E-2</c:v>
                </c:pt>
                <c:pt idx="214">
                  <c:v>-1.244017847851325E-2</c:v>
                </c:pt>
                <c:pt idx="215">
                  <c:v>-1.3857915578472737E-2</c:v>
                </c:pt>
                <c:pt idx="216">
                  <c:v>-1.3911137651872659E-2</c:v>
                </c:pt>
                <c:pt idx="217">
                  <c:v>-1.1509106744437786E-2</c:v>
                </c:pt>
                <c:pt idx="218">
                  <c:v>-8.6005779107837729E-3</c:v>
                </c:pt>
                <c:pt idx="219">
                  <c:v>-9.8910762384971998E-3</c:v>
                </c:pt>
                <c:pt idx="220">
                  <c:v>-1.0846460343709396E-2</c:v>
                </c:pt>
                <c:pt idx="221">
                  <c:v>-8.73559741230703E-3</c:v>
                </c:pt>
                <c:pt idx="222">
                  <c:v>1.947106349555229E-4</c:v>
                </c:pt>
                <c:pt idx="223">
                  <c:v>-4.7708496327782704E-4</c:v>
                </c:pt>
                <c:pt idx="224">
                  <c:v>5.4722774504171283E-3</c:v>
                </c:pt>
                <c:pt idx="225">
                  <c:v>2.0245188021696904E-3</c:v>
                </c:pt>
                <c:pt idx="226">
                  <c:v>7.3471670342134497E-3</c:v>
                </c:pt>
                <c:pt idx="227">
                  <c:v>1.0231216996626154E-2</c:v>
                </c:pt>
                <c:pt idx="228">
                  <c:v>9.9669944197834977E-3</c:v>
                </c:pt>
                <c:pt idx="229">
                  <c:v>1.2033314268625684E-2</c:v>
                </c:pt>
                <c:pt idx="230">
                  <c:v>1.0796814210618944E-2</c:v>
                </c:pt>
                <c:pt idx="231">
                  <c:v>7.6377577190590903E-3</c:v>
                </c:pt>
                <c:pt idx="232">
                  <c:v>3.4339259439254751E-3</c:v>
                </c:pt>
                <c:pt idx="233">
                  <c:v>4.4780569690383801E-3</c:v>
                </c:pt>
                <c:pt idx="234">
                  <c:v>3.2558312748995604E-4</c:v>
                </c:pt>
                <c:pt idx="235">
                  <c:v>-5.790267810509204E-3</c:v>
                </c:pt>
                <c:pt idx="236">
                  <c:v>-5.4632591923037942E-3</c:v>
                </c:pt>
                <c:pt idx="237">
                  <c:v>-1.0853770394347071E-2</c:v>
                </c:pt>
                <c:pt idx="238">
                  <c:v>-1.0447273442978921E-2</c:v>
                </c:pt>
                <c:pt idx="239">
                  <c:v>-1.0732532066998451E-2</c:v>
                </c:pt>
                <c:pt idx="240">
                  <c:v>-1.1390002089536966E-2</c:v>
                </c:pt>
                <c:pt idx="241">
                  <c:v>-3.1087248411916634E-3</c:v>
                </c:pt>
                <c:pt idx="242">
                  <c:v>-7.37095294620938E-4</c:v>
                </c:pt>
                <c:pt idx="243">
                  <c:v>-1.7036490164426456E-3</c:v>
                </c:pt>
                <c:pt idx="244">
                  <c:v>-2.9030055253983812E-3</c:v>
                </c:pt>
                <c:pt idx="245">
                  <c:v>-8.2393561045002537E-3</c:v>
                </c:pt>
                <c:pt idx="246">
                  <c:v>-8.3817497321215292E-3</c:v>
                </c:pt>
                <c:pt idx="247">
                  <c:v>-3.7445375331718435E-3</c:v>
                </c:pt>
                <c:pt idx="248">
                  <c:v>-2.5153904759153403E-3</c:v>
                </c:pt>
                <c:pt idx="249">
                  <c:v>-7.4863798731618037E-3</c:v>
                </c:pt>
                <c:pt idx="250">
                  <c:v>-1.2914297616309304E-3</c:v>
                </c:pt>
                <c:pt idx="251">
                  <c:v>-1.8907939370540771E-3</c:v>
                </c:pt>
                <c:pt idx="252">
                  <c:v>-3.0116922052287548E-3</c:v>
                </c:pt>
                <c:pt idx="253">
                  <c:v>-1.0569399233720566E-2</c:v>
                </c:pt>
                <c:pt idx="254">
                  <c:v>-8.4301502112056094E-3</c:v>
                </c:pt>
                <c:pt idx="255">
                  <c:v>-1.1524110409156773E-2</c:v>
                </c:pt>
                <c:pt idx="256">
                  <c:v>-1.1690829682353623E-2</c:v>
                </c:pt>
                <c:pt idx="257">
                  <c:v>-1.1442704398952319E-2</c:v>
                </c:pt>
                <c:pt idx="258">
                  <c:v>-9.4315858696662619E-3</c:v>
                </c:pt>
                <c:pt idx="259">
                  <c:v>-9.4051259906648959E-3</c:v>
                </c:pt>
                <c:pt idx="260">
                  <c:v>-8.140545549784297E-3</c:v>
                </c:pt>
                <c:pt idx="261">
                  <c:v>-6.5827031331008173E-3</c:v>
                </c:pt>
                <c:pt idx="262">
                  <c:v>-6.8372933028199405E-3</c:v>
                </c:pt>
                <c:pt idx="263">
                  <c:v>-5.6066403938171642E-3</c:v>
                </c:pt>
                <c:pt idx="264">
                  <c:v>-3.4139528117835142E-3</c:v>
                </c:pt>
                <c:pt idx="265">
                  <c:v>-6.8317923728695631E-3</c:v>
                </c:pt>
                <c:pt idx="266">
                  <c:v>-4.7129818243534152E-3</c:v>
                </c:pt>
                <c:pt idx="267">
                  <c:v>-7.1857908465908201E-3</c:v>
                </c:pt>
                <c:pt idx="268">
                  <c:v>-6.3930153804804338E-3</c:v>
                </c:pt>
                <c:pt idx="269">
                  <c:v>1.1027337662366651E-3</c:v>
                </c:pt>
                <c:pt idx="270">
                  <c:v>4.629257239112932E-3</c:v>
                </c:pt>
                <c:pt idx="271">
                  <c:v>7.6193306328453461E-3</c:v>
                </c:pt>
                <c:pt idx="272">
                  <c:v>1.4167374276874263E-2</c:v>
                </c:pt>
                <c:pt idx="273">
                  <c:v>1.7186120544572744E-2</c:v>
                </c:pt>
                <c:pt idx="274">
                  <c:v>2.1303500193444909E-2</c:v>
                </c:pt>
                <c:pt idx="275">
                  <c:v>2.1234645364397137E-2</c:v>
                </c:pt>
                <c:pt idx="276">
                  <c:v>2.0917515125168828E-2</c:v>
                </c:pt>
                <c:pt idx="277">
                  <c:v>1.6965354718247332E-2</c:v>
                </c:pt>
                <c:pt idx="278">
                  <c:v>9.8585182656944163E-3</c:v>
                </c:pt>
                <c:pt idx="279">
                  <c:v>4.5994015169431718E-3</c:v>
                </c:pt>
                <c:pt idx="280">
                  <c:v>9.8030167641962665E-3</c:v>
                </c:pt>
                <c:pt idx="281">
                  <c:v>1.2715116414165218E-2</c:v>
                </c:pt>
                <c:pt idx="282">
                  <c:v>1.2499616722862265E-2</c:v>
                </c:pt>
                <c:pt idx="283">
                  <c:v>1.9115067325831528E-2</c:v>
                </c:pt>
                <c:pt idx="284">
                  <c:v>1.8701217742083602E-2</c:v>
                </c:pt>
                <c:pt idx="285">
                  <c:v>1.9171722215288681E-2</c:v>
                </c:pt>
                <c:pt idx="286">
                  <c:v>1.6453593180735613E-2</c:v>
                </c:pt>
                <c:pt idx="287">
                  <c:v>1.9928715503815152E-2</c:v>
                </c:pt>
                <c:pt idx="288">
                  <c:v>2.5384106476131589E-2</c:v>
                </c:pt>
                <c:pt idx="289">
                  <c:v>2.2174592194418197E-2</c:v>
                </c:pt>
                <c:pt idx="290">
                  <c:v>2.0498845632278231E-2</c:v>
                </c:pt>
                <c:pt idx="291">
                  <c:v>2.0440567308418922E-2</c:v>
                </c:pt>
                <c:pt idx="292">
                  <c:v>2.2900030331628688E-2</c:v>
                </c:pt>
                <c:pt idx="293">
                  <c:v>2.7700314091028112E-2</c:v>
                </c:pt>
                <c:pt idx="294">
                  <c:v>3.1433968705853528E-2</c:v>
                </c:pt>
                <c:pt idx="295">
                  <c:v>3.4746559981301481E-2</c:v>
                </c:pt>
                <c:pt idx="296">
                  <c:v>3.7382814325298837E-2</c:v>
                </c:pt>
                <c:pt idx="297">
                  <c:v>3.9782707991592253E-2</c:v>
                </c:pt>
                <c:pt idx="298">
                  <c:v>4.4386939962891614E-2</c:v>
                </c:pt>
                <c:pt idx="299">
                  <c:v>3.9136535690913389E-2</c:v>
                </c:pt>
                <c:pt idx="300">
                  <c:v>3.4293404474917216E-2</c:v>
                </c:pt>
                <c:pt idx="301">
                  <c:v>3.1320897448056842E-2</c:v>
                </c:pt>
                <c:pt idx="302">
                  <c:v>3.4401116456274708E-2</c:v>
                </c:pt>
                <c:pt idx="303">
                  <c:v>3.1095831922305049E-2</c:v>
                </c:pt>
                <c:pt idx="304">
                  <c:v>3.2769147696324975E-2</c:v>
                </c:pt>
                <c:pt idx="305">
                  <c:v>2.8559680367734638E-2</c:v>
                </c:pt>
                <c:pt idx="306">
                  <c:v>3.4681733296619888E-2</c:v>
                </c:pt>
                <c:pt idx="307">
                  <c:v>3.4300109382897022E-2</c:v>
                </c:pt>
                <c:pt idx="308">
                  <c:v>2.9831040831834164E-2</c:v>
                </c:pt>
                <c:pt idx="309">
                  <c:v>3.0023402340644267E-2</c:v>
                </c:pt>
                <c:pt idx="310">
                  <c:v>3.2155435084912178E-2</c:v>
                </c:pt>
                <c:pt idx="311">
                  <c:v>3.5783922626656126E-2</c:v>
                </c:pt>
                <c:pt idx="312">
                  <c:v>3.8777512172997387E-2</c:v>
                </c:pt>
                <c:pt idx="313">
                  <c:v>3.8255456538959905E-2</c:v>
                </c:pt>
                <c:pt idx="314">
                  <c:v>4.5167810571127211E-2</c:v>
                </c:pt>
                <c:pt idx="315">
                  <c:v>4.1453251032890388E-2</c:v>
                </c:pt>
                <c:pt idx="316">
                  <c:v>4.2428919964644915E-2</c:v>
                </c:pt>
                <c:pt idx="317">
                  <c:v>4.0040168956476413E-2</c:v>
                </c:pt>
                <c:pt idx="318">
                  <c:v>3.7556806365625736E-2</c:v>
                </c:pt>
                <c:pt idx="319">
                  <c:v>3.8997811059336654E-2</c:v>
                </c:pt>
                <c:pt idx="320">
                  <c:v>3.7631328521794918E-2</c:v>
                </c:pt>
                <c:pt idx="321">
                  <c:v>3.1624606220551771E-2</c:v>
                </c:pt>
                <c:pt idx="322">
                  <c:v>3.3752597525176564E-2</c:v>
                </c:pt>
                <c:pt idx="323">
                  <c:v>3.5492589088014441E-2</c:v>
                </c:pt>
                <c:pt idx="324">
                  <c:v>3.4708027582510716E-2</c:v>
                </c:pt>
                <c:pt idx="325">
                  <c:v>3.6823957091030673E-2</c:v>
                </c:pt>
                <c:pt idx="326">
                  <c:v>3.9673795291704998E-2</c:v>
                </c:pt>
                <c:pt idx="327">
                  <c:v>4.1042421787987921E-2</c:v>
                </c:pt>
                <c:pt idx="328">
                  <c:v>3.8595796809630635E-2</c:v>
                </c:pt>
                <c:pt idx="329">
                  <c:v>3.9683191616457163E-2</c:v>
                </c:pt>
                <c:pt idx="330">
                  <c:v>3.9864980911612669E-2</c:v>
                </c:pt>
                <c:pt idx="331">
                  <c:v>4.1121593588762738E-2</c:v>
                </c:pt>
                <c:pt idx="332">
                  <c:v>3.5123406295464343E-2</c:v>
                </c:pt>
                <c:pt idx="333">
                  <c:v>3.714829030975314E-2</c:v>
                </c:pt>
                <c:pt idx="334">
                  <c:v>4.2763298960250655E-2</c:v>
                </c:pt>
                <c:pt idx="335">
                  <c:v>4.4166099748774015E-2</c:v>
                </c:pt>
                <c:pt idx="336">
                  <c:v>4.1592091578626415E-2</c:v>
                </c:pt>
                <c:pt idx="337">
                  <c:v>4.043146219999235E-2</c:v>
                </c:pt>
                <c:pt idx="338">
                  <c:v>4.1049045911138587E-2</c:v>
                </c:pt>
                <c:pt idx="339">
                  <c:v>4.4054110786727219E-2</c:v>
                </c:pt>
                <c:pt idx="340">
                  <c:v>4.2656800326380549E-2</c:v>
                </c:pt>
                <c:pt idx="341">
                  <c:v>4.2259350659939333E-2</c:v>
                </c:pt>
                <c:pt idx="342">
                  <c:v>4.6528520110225437E-2</c:v>
                </c:pt>
                <c:pt idx="343">
                  <c:v>4.7633182416185436E-2</c:v>
                </c:pt>
                <c:pt idx="344">
                  <c:v>4.6737688702023196E-2</c:v>
                </c:pt>
                <c:pt idx="345">
                  <c:v>4.864708340383149E-2</c:v>
                </c:pt>
                <c:pt idx="346">
                  <c:v>5.2121687326807359E-2</c:v>
                </c:pt>
                <c:pt idx="347">
                  <c:v>5.0460181255505006E-2</c:v>
                </c:pt>
                <c:pt idx="348">
                  <c:v>4.9968308602547265E-2</c:v>
                </c:pt>
                <c:pt idx="349">
                  <c:v>5.1927998539747798E-2</c:v>
                </c:pt>
                <c:pt idx="350">
                  <c:v>5.3069511191596593E-2</c:v>
                </c:pt>
                <c:pt idx="351">
                  <c:v>5.3516343514449227E-2</c:v>
                </c:pt>
                <c:pt idx="352">
                  <c:v>5.6266528312981443E-2</c:v>
                </c:pt>
                <c:pt idx="353">
                  <c:v>6.0689209034916272E-2</c:v>
                </c:pt>
                <c:pt idx="354">
                  <c:v>6.7028310665208257E-2</c:v>
                </c:pt>
                <c:pt idx="355">
                  <c:v>6.9164734650579138E-2</c:v>
                </c:pt>
                <c:pt idx="356">
                  <c:v>6.9346818646453395E-2</c:v>
                </c:pt>
                <c:pt idx="357">
                  <c:v>6.8327513221691782E-2</c:v>
                </c:pt>
                <c:pt idx="358">
                  <c:v>6.4772842459274643E-2</c:v>
                </c:pt>
                <c:pt idx="359">
                  <c:v>6.0761056629935799E-2</c:v>
                </c:pt>
                <c:pt idx="360">
                  <c:v>5.8619476492673628E-2</c:v>
                </c:pt>
                <c:pt idx="361">
                  <c:v>5.7204263669532039E-2</c:v>
                </c:pt>
                <c:pt idx="362">
                  <c:v>6.2327718992413933E-2</c:v>
                </c:pt>
                <c:pt idx="363">
                  <c:v>6.1788087063858882E-2</c:v>
                </c:pt>
                <c:pt idx="364">
                  <c:v>6.295407787258632E-2</c:v>
                </c:pt>
                <c:pt idx="365">
                  <c:v>6.2597380442385622E-2</c:v>
                </c:pt>
                <c:pt idx="366">
                  <c:v>7.1602904943403309E-2</c:v>
                </c:pt>
                <c:pt idx="367">
                  <c:v>6.9351233232280235E-2</c:v>
                </c:pt>
                <c:pt idx="368">
                  <c:v>6.8734954449171673E-2</c:v>
                </c:pt>
                <c:pt idx="369">
                  <c:v>7.0705797410350477E-2</c:v>
                </c:pt>
                <c:pt idx="370">
                  <c:v>7.2953172963971039E-2</c:v>
                </c:pt>
                <c:pt idx="371">
                  <c:v>7.3795187664864786E-2</c:v>
                </c:pt>
                <c:pt idx="372">
                  <c:v>7.3290752734377476E-2</c:v>
                </c:pt>
                <c:pt idx="373">
                  <c:v>7.5054622624131345E-2</c:v>
                </c:pt>
                <c:pt idx="374">
                  <c:v>8.0072164356504105E-2</c:v>
                </c:pt>
                <c:pt idx="375">
                  <c:v>8.6690391835946137E-2</c:v>
                </c:pt>
                <c:pt idx="376">
                  <c:v>7.9531078243926717E-2</c:v>
                </c:pt>
                <c:pt idx="377">
                  <c:v>7.7555793093787198E-2</c:v>
                </c:pt>
                <c:pt idx="378">
                  <c:v>8.1348979979872157E-2</c:v>
                </c:pt>
                <c:pt idx="379">
                  <c:v>7.9464466142981305E-2</c:v>
                </c:pt>
                <c:pt idx="380">
                  <c:v>7.6992786271386213E-2</c:v>
                </c:pt>
                <c:pt idx="381">
                  <c:v>7.8423336882061351E-2</c:v>
                </c:pt>
                <c:pt idx="382">
                  <c:v>7.9808480056300687E-2</c:v>
                </c:pt>
                <c:pt idx="383">
                  <c:v>8.173917637736175E-2</c:v>
                </c:pt>
                <c:pt idx="384">
                  <c:v>8.3468142894424502E-2</c:v>
                </c:pt>
                <c:pt idx="385">
                  <c:v>8.2813372501735205E-2</c:v>
                </c:pt>
                <c:pt idx="386">
                  <c:v>8.4797391188960985E-2</c:v>
                </c:pt>
                <c:pt idx="387">
                  <c:v>8.6509508385114897E-2</c:v>
                </c:pt>
                <c:pt idx="388">
                  <c:v>8.2384170852266209E-2</c:v>
                </c:pt>
                <c:pt idx="389">
                  <c:v>8.1920825760352547E-2</c:v>
                </c:pt>
                <c:pt idx="390">
                  <c:v>8.7084536119117595E-2</c:v>
                </c:pt>
                <c:pt idx="391">
                  <c:v>9.0539271303477262E-2</c:v>
                </c:pt>
                <c:pt idx="392">
                  <c:v>8.7804355008935048E-2</c:v>
                </c:pt>
                <c:pt idx="393">
                  <c:v>8.8520141763722845E-2</c:v>
                </c:pt>
                <c:pt idx="394">
                  <c:v>8.525455497056289E-2</c:v>
                </c:pt>
                <c:pt idx="395">
                  <c:v>8.6964387896117656E-2</c:v>
                </c:pt>
                <c:pt idx="396">
                  <c:v>8.0634133717008255E-2</c:v>
                </c:pt>
                <c:pt idx="397">
                  <c:v>8.4266487356120495E-2</c:v>
                </c:pt>
                <c:pt idx="398">
                  <c:v>8.6892314442296642E-2</c:v>
                </c:pt>
                <c:pt idx="399">
                  <c:v>8.2495864674547739E-2</c:v>
                </c:pt>
                <c:pt idx="400">
                  <c:v>8.3484532376720266E-2</c:v>
                </c:pt>
                <c:pt idx="401">
                  <c:v>8.9242506007959438E-2</c:v>
                </c:pt>
                <c:pt idx="402">
                  <c:v>9.3209451546904021E-2</c:v>
                </c:pt>
                <c:pt idx="403">
                  <c:v>9.3013581916275567E-2</c:v>
                </c:pt>
                <c:pt idx="404">
                  <c:v>9.0363097255521996E-2</c:v>
                </c:pt>
                <c:pt idx="405">
                  <c:v>9.0062300745533494E-2</c:v>
                </c:pt>
                <c:pt idx="406">
                  <c:v>9.4904119361226849E-2</c:v>
                </c:pt>
                <c:pt idx="407">
                  <c:v>9.4938274236535392E-2</c:v>
                </c:pt>
                <c:pt idx="408">
                  <c:v>0.10019701433048628</c:v>
                </c:pt>
                <c:pt idx="409">
                  <c:v>0.10414190742567596</c:v>
                </c:pt>
                <c:pt idx="410">
                  <c:v>0.10442916653923616</c:v>
                </c:pt>
                <c:pt idx="411">
                  <c:v>0.11303826455623621</c:v>
                </c:pt>
                <c:pt idx="412">
                  <c:v>0.11317794616133355</c:v>
                </c:pt>
                <c:pt idx="413">
                  <c:v>0.11031467393723871</c:v>
                </c:pt>
                <c:pt idx="414">
                  <c:v>0.11114243929853899</c:v>
                </c:pt>
                <c:pt idx="415">
                  <c:v>0.11038461009422915</c:v>
                </c:pt>
                <c:pt idx="416">
                  <c:v>0.11239610544186779</c:v>
                </c:pt>
                <c:pt idx="417">
                  <c:v>0.10558405250767015</c:v>
                </c:pt>
                <c:pt idx="418">
                  <c:v>0.10483320312396763</c:v>
                </c:pt>
                <c:pt idx="419">
                  <c:v>0.10676596095256695</c:v>
                </c:pt>
                <c:pt idx="420">
                  <c:v>0.10418660475524343</c:v>
                </c:pt>
                <c:pt idx="421">
                  <c:v>0.10640630053449916</c:v>
                </c:pt>
                <c:pt idx="422">
                  <c:v>0.10318583667314742</c:v>
                </c:pt>
                <c:pt idx="423">
                  <c:v>0.10512935884613811</c:v>
                </c:pt>
                <c:pt idx="424">
                  <c:v>0.10665456637926776</c:v>
                </c:pt>
                <c:pt idx="425">
                  <c:v>0.10698878913313913</c:v>
                </c:pt>
                <c:pt idx="426">
                  <c:v>0.11308403780788573</c:v>
                </c:pt>
                <c:pt idx="427">
                  <c:v>0.11796600697652629</c:v>
                </c:pt>
                <c:pt idx="428">
                  <c:v>0.11967778548793459</c:v>
                </c:pt>
                <c:pt idx="429">
                  <c:v>0.11936429094005079</c:v>
                </c:pt>
                <c:pt idx="430">
                  <c:v>0.11767404571782898</c:v>
                </c:pt>
                <c:pt idx="431">
                  <c:v>0.11660754046030536</c:v>
                </c:pt>
                <c:pt idx="432">
                  <c:v>0.11668449000804289</c:v>
                </c:pt>
                <c:pt idx="433">
                  <c:v>0.12170905194778051</c:v>
                </c:pt>
                <c:pt idx="434">
                  <c:v>0.1263157300963838</c:v>
                </c:pt>
                <c:pt idx="435">
                  <c:v>0.1246008488816354</c:v>
                </c:pt>
                <c:pt idx="436">
                  <c:v>0.12660081858220001</c:v>
                </c:pt>
                <c:pt idx="437">
                  <c:v>0.12970184856830555</c:v>
                </c:pt>
                <c:pt idx="438">
                  <c:v>0.12621606213380748</c:v>
                </c:pt>
                <c:pt idx="439">
                  <c:v>0.13377159009218573</c:v>
                </c:pt>
                <c:pt idx="440">
                  <c:v>0.13443415411235271</c:v>
                </c:pt>
                <c:pt idx="441">
                  <c:v>0.13647617973466877</c:v>
                </c:pt>
                <c:pt idx="442">
                  <c:v>0.13638121805156628</c:v>
                </c:pt>
                <c:pt idx="443">
                  <c:v>0.13032642138386205</c:v>
                </c:pt>
                <c:pt idx="444">
                  <c:v>0.13668307331186647</c:v>
                </c:pt>
                <c:pt idx="445">
                  <c:v>0.13583757217514458</c:v>
                </c:pt>
                <c:pt idx="446">
                  <c:v>0.13326585275847364</c:v>
                </c:pt>
                <c:pt idx="447">
                  <c:v>0.13330782651343057</c:v>
                </c:pt>
                <c:pt idx="448">
                  <c:v>0.13695441347548989</c:v>
                </c:pt>
                <c:pt idx="449">
                  <c:v>0.13645725470641271</c:v>
                </c:pt>
                <c:pt idx="450">
                  <c:v>0.13780478840836149</c:v>
                </c:pt>
                <c:pt idx="451">
                  <c:v>0.13493562112092727</c:v>
                </c:pt>
                <c:pt idx="452">
                  <c:v>0.12904154027320078</c:v>
                </c:pt>
                <c:pt idx="453">
                  <c:v>0.12711223207574771</c:v>
                </c:pt>
                <c:pt idx="454">
                  <c:v>0.12830591132181973</c:v>
                </c:pt>
                <c:pt idx="455">
                  <c:v>0.13157836829710495</c:v>
                </c:pt>
                <c:pt idx="456">
                  <c:v>0.13091465992326631</c:v>
                </c:pt>
                <c:pt idx="457">
                  <c:v>0.13082790054133187</c:v>
                </c:pt>
                <c:pt idx="458">
                  <c:v>0.12936526499870057</c:v>
                </c:pt>
                <c:pt idx="459">
                  <c:v>0.13125771350549581</c:v>
                </c:pt>
                <c:pt idx="460">
                  <c:v>0.13410055003942856</c:v>
                </c:pt>
                <c:pt idx="461">
                  <c:v>0.1316051317599706</c:v>
                </c:pt>
                <c:pt idx="462">
                  <c:v>0.12918203532115646</c:v>
                </c:pt>
                <c:pt idx="463">
                  <c:v>0.13204054262488957</c:v>
                </c:pt>
                <c:pt idx="464">
                  <c:v>0.13244597942804998</c:v>
                </c:pt>
                <c:pt idx="465">
                  <c:v>0.12729145069651912</c:v>
                </c:pt>
                <c:pt idx="466">
                  <c:v>0.1208457784408447</c:v>
                </c:pt>
                <c:pt idx="467">
                  <c:v>0.12160772186296105</c:v>
                </c:pt>
                <c:pt idx="468">
                  <c:v>0.12491604429424825</c:v>
                </c:pt>
                <c:pt idx="469">
                  <c:v>0.12283155136918865</c:v>
                </c:pt>
                <c:pt idx="470">
                  <c:v>0.12424806844188624</c:v>
                </c:pt>
                <c:pt idx="471">
                  <c:v>0.12407546054385889</c:v>
                </c:pt>
                <c:pt idx="472">
                  <c:v>0.12209750984467681</c:v>
                </c:pt>
                <c:pt idx="473">
                  <c:v>0.12031118247134991</c:v>
                </c:pt>
                <c:pt idx="474">
                  <c:v>0.12486670341170829</c:v>
                </c:pt>
                <c:pt idx="475">
                  <c:v>0.12117982221742057</c:v>
                </c:pt>
                <c:pt idx="476">
                  <c:v>0.12450884808144159</c:v>
                </c:pt>
                <c:pt idx="477">
                  <c:v>0.12199828662482459</c:v>
                </c:pt>
                <c:pt idx="478">
                  <c:v>0.1196660032875598</c:v>
                </c:pt>
                <c:pt idx="479">
                  <c:v>0.12132173448269716</c:v>
                </c:pt>
                <c:pt idx="480">
                  <c:v>0.11787559005375248</c:v>
                </c:pt>
                <c:pt idx="481">
                  <c:v>0.11489632897926397</c:v>
                </c:pt>
                <c:pt idx="482">
                  <c:v>0.11930159933543383</c:v>
                </c:pt>
                <c:pt idx="483">
                  <c:v>0.11998834230534756</c:v>
                </c:pt>
                <c:pt idx="484">
                  <c:v>0.11653681466023337</c:v>
                </c:pt>
                <c:pt idx="485">
                  <c:v>0.11285084592631642</c:v>
                </c:pt>
                <c:pt idx="486">
                  <c:v>0.11747823123232855</c:v>
                </c:pt>
                <c:pt idx="487">
                  <c:v>0.11403701699542529</c:v>
                </c:pt>
                <c:pt idx="488">
                  <c:v>0.11471436974486547</c:v>
                </c:pt>
                <c:pt idx="489">
                  <c:v>0.11231367126555371</c:v>
                </c:pt>
                <c:pt idx="490">
                  <c:v>0.10562555897169104</c:v>
                </c:pt>
                <c:pt idx="491">
                  <c:v>0.10392010836447545</c:v>
                </c:pt>
                <c:pt idx="492">
                  <c:v>9.9668037240126545E-2</c:v>
                </c:pt>
                <c:pt idx="493">
                  <c:v>0.10266658909702742</c:v>
                </c:pt>
                <c:pt idx="494">
                  <c:v>0.10273472359634669</c:v>
                </c:pt>
                <c:pt idx="495">
                  <c:v>0.10276077648143984</c:v>
                </c:pt>
                <c:pt idx="496">
                  <c:v>0.10015043199906982</c:v>
                </c:pt>
                <c:pt idx="497">
                  <c:v>9.7455218043302719E-2</c:v>
                </c:pt>
                <c:pt idx="498">
                  <c:v>9.4873171450335511E-2</c:v>
                </c:pt>
                <c:pt idx="499">
                  <c:v>8.9316152430218551E-2</c:v>
                </c:pt>
                <c:pt idx="500">
                  <c:v>8.9915365159972199E-2</c:v>
                </c:pt>
                <c:pt idx="501">
                  <c:v>8.6990868757911594E-2</c:v>
                </c:pt>
                <c:pt idx="502">
                  <c:v>9.2114954841855112E-2</c:v>
                </c:pt>
                <c:pt idx="503">
                  <c:v>8.9256690857426685E-2</c:v>
                </c:pt>
                <c:pt idx="504">
                  <c:v>8.9752128102880344E-2</c:v>
                </c:pt>
                <c:pt idx="505">
                  <c:v>8.981739537794832E-2</c:v>
                </c:pt>
                <c:pt idx="506">
                  <c:v>9.686864345244528E-2</c:v>
                </c:pt>
                <c:pt idx="507">
                  <c:v>9.4680446615887703E-2</c:v>
                </c:pt>
                <c:pt idx="508">
                  <c:v>9.7199857446225224E-2</c:v>
                </c:pt>
                <c:pt idx="509">
                  <c:v>9.600368700390513E-2</c:v>
                </c:pt>
                <c:pt idx="510">
                  <c:v>9.818839254399532E-2</c:v>
                </c:pt>
                <c:pt idx="511">
                  <c:v>9.7443551001895515E-2</c:v>
                </c:pt>
                <c:pt idx="512">
                  <c:v>9.4511652722127137E-2</c:v>
                </c:pt>
                <c:pt idx="513">
                  <c:v>9.1482150024829803E-2</c:v>
                </c:pt>
                <c:pt idx="514">
                  <c:v>9.1773169778011324E-2</c:v>
                </c:pt>
                <c:pt idx="515">
                  <c:v>9.0243319744461842E-2</c:v>
                </c:pt>
                <c:pt idx="516">
                  <c:v>9.2608714113755236E-2</c:v>
                </c:pt>
                <c:pt idx="517">
                  <c:v>9.3269846510807622E-2</c:v>
                </c:pt>
                <c:pt idx="518">
                  <c:v>9.4330920804734847E-2</c:v>
                </c:pt>
                <c:pt idx="519">
                  <c:v>9.1751414591780961E-2</c:v>
                </c:pt>
                <c:pt idx="520">
                  <c:v>9.2290452456576799E-2</c:v>
                </c:pt>
                <c:pt idx="521">
                  <c:v>9.6621322942156404E-2</c:v>
                </c:pt>
                <c:pt idx="522">
                  <c:v>9.7145464454708508E-2</c:v>
                </c:pt>
                <c:pt idx="523">
                  <c:v>9.3058208608200035E-2</c:v>
                </c:pt>
                <c:pt idx="524">
                  <c:v>9.1510018621074191E-2</c:v>
                </c:pt>
                <c:pt idx="525">
                  <c:v>8.7377302256802791E-2</c:v>
                </c:pt>
                <c:pt idx="526">
                  <c:v>8.6710900026009993E-2</c:v>
                </c:pt>
                <c:pt idx="527">
                  <c:v>8.9348736748308941E-2</c:v>
                </c:pt>
                <c:pt idx="528">
                  <c:v>8.7640445473656847E-2</c:v>
                </c:pt>
                <c:pt idx="529">
                  <c:v>9.5044372690299389E-2</c:v>
                </c:pt>
                <c:pt idx="530">
                  <c:v>8.9290335864947334E-2</c:v>
                </c:pt>
                <c:pt idx="531">
                  <c:v>9.230561793376757E-2</c:v>
                </c:pt>
                <c:pt idx="532">
                  <c:v>9.1457302102723459E-2</c:v>
                </c:pt>
                <c:pt idx="533">
                  <c:v>8.9271587511725939E-2</c:v>
                </c:pt>
                <c:pt idx="534">
                  <c:v>8.8167879414582997E-2</c:v>
                </c:pt>
                <c:pt idx="535">
                  <c:v>9.0722528653992274E-2</c:v>
                </c:pt>
                <c:pt idx="536">
                  <c:v>9.5466925944948294E-2</c:v>
                </c:pt>
                <c:pt idx="537">
                  <c:v>9.2710272866229973E-2</c:v>
                </c:pt>
                <c:pt idx="538">
                  <c:v>9.000456570619432E-2</c:v>
                </c:pt>
                <c:pt idx="539">
                  <c:v>8.7006962460555379E-2</c:v>
                </c:pt>
                <c:pt idx="540">
                  <c:v>8.0702318676626833E-2</c:v>
                </c:pt>
                <c:pt idx="541">
                  <c:v>8.0874456574147074E-2</c:v>
                </c:pt>
                <c:pt idx="542">
                  <c:v>7.6329816204025097E-2</c:v>
                </c:pt>
                <c:pt idx="543">
                  <c:v>7.1918977806191969E-2</c:v>
                </c:pt>
                <c:pt idx="544">
                  <c:v>7.2384613770629852E-2</c:v>
                </c:pt>
                <c:pt idx="545">
                  <c:v>7.1369249927823591E-2</c:v>
                </c:pt>
                <c:pt idx="546">
                  <c:v>7.6633611293133189E-2</c:v>
                </c:pt>
                <c:pt idx="547">
                  <c:v>8.2034074887413391E-2</c:v>
                </c:pt>
                <c:pt idx="548">
                  <c:v>8.1489118654746062E-2</c:v>
                </c:pt>
                <c:pt idx="549">
                  <c:v>8.316896799190307E-2</c:v>
                </c:pt>
                <c:pt idx="550">
                  <c:v>8.5459524433135994E-2</c:v>
                </c:pt>
                <c:pt idx="551">
                  <c:v>8.4907446286668534E-2</c:v>
                </c:pt>
                <c:pt idx="552">
                  <c:v>8.9044320244539996E-2</c:v>
                </c:pt>
                <c:pt idx="553">
                  <c:v>8.8014279587729005E-2</c:v>
                </c:pt>
                <c:pt idx="554">
                  <c:v>8.9930210009892181E-2</c:v>
                </c:pt>
                <c:pt idx="555">
                  <c:v>9.0500195222719196E-2</c:v>
                </c:pt>
                <c:pt idx="556">
                  <c:v>9.2122527356926692E-2</c:v>
                </c:pt>
                <c:pt idx="557">
                  <c:v>9.4170195667380135E-2</c:v>
                </c:pt>
                <c:pt idx="558">
                  <c:v>9.5616977383371313E-2</c:v>
                </c:pt>
                <c:pt idx="559">
                  <c:v>9.591936332789755E-2</c:v>
                </c:pt>
                <c:pt idx="560">
                  <c:v>9.2337673457044703E-2</c:v>
                </c:pt>
                <c:pt idx="561">
                  <c:v>9.5577836073091324E-2</c:v>
                </c:pt>
                <c:pt idx="562">
                  <c:v>9.7952004088706052E-2</c:v>
                </c:pt>
                <c:pt idx="563">
                  <c:v>9.7957234426921821E-2</c:v>
                </c:pt>
                <c:pt idx="564">
                  <c:v>0.10288732096175932</c:v>
                </c:pt>
                <c:pt idx="565">
                  <c:v>0.10164354499338486</c:v>
                </c:pt>
                <c:pt idx="566">
                  <c:v>0.10140123552104595</c:v>
                </c:pt>
                <c:pt idx="567">
                  <c:v>0.10457345617335018</c:v>
                </c:pt>
                <c:pt idx="568">
                  <c:v>0.10144371340404817</c:v>
                </c:pt>
                <c:pt idx="569">
                  <c:v>0.10026047749107317</c:v>
                </c:pt>
                <c:pt idx="570">
                  <c:v>0.1070786860517379</c:v>
                </c:pt>
                <c:pt idx="571">
                  <c:v>0.10899377490618734</c:v>
                </c:pt>
                <c:pt idx="572">
                  <c:v>0.11080703566158048</c:v>
                </c:pt>
                <c:pt idx="573">
                  <c:v>0.10941944941358793</c:v>
                </c:pt>
                <c:pt idx="574">
                  <c:v>0.11138249998192723</c:v>
                </c:pt>
                <c:pt idx="575">
                  <c:v>0.10886202150540922</c:v>
                </c:pt>
                <c:pt idx="576">
                  <c:v>0.10886998268918854</c:v>
                </c:pt>
                <c:pt idx="577">
                  <c:v>0.10944364444457715</c:v>
                </c:pt>
                <c:pt idx="578">
                  <c:v>0.11876772034787189</c:v>
                </c:pt>
                <c:pt idx="579">
                  <c:v>0.1149821580573175</c:v>
                </c:pt>
                <c:pt idx="580">
                  <c:v>0.10810857492540389</c:v>
                </c:pt>
                <c:pt idx="581">
                  <c:v>9.9915207471560311E-2</c:v>
                </c:pt>
                <c:pt idx="582">
                  <c:v>9.4247422893426538E-2</c:v>
                </c:pt>
                <c:pt idx="583">
                  <c:v>9.3600598808517677E-2</c:v>
                </c:pt>
                <c:pt idx="584">
                  <c:v>9.4526250152473332E-2</c:v>
                </c:pt>
                <c:pt idx="585">
                  <c:v>9.6209320582713267E-2</c:v>
                </c:pt>
                <c:pt idx="586">
                  <c:v>9.4278633808890996E-2</c:v>
                </c:pt>
                <c:pt idx="587">
                  <c:v>9.3701494404933305E-2</c:v>
                </c:pt>
                <c:pt idx="588">
                  <c:v>9.549918210162954E-2</c:v>
                </c:pt>
                <c:pt idx="589">
                  <c:v>9.8706438922849915E-2</c:v>
                </c:pt>
                <c:pt idx="590">
                  <c:v>0.10214594714220199</c:v>
                </c:pt>
                <c:pt idx="591">
                  <c:v>9.8675743000502497E-2</c:v>
                </c:pt>
                <c:pt idx="592">
                  <c:v>0.10074294116839924</c:v>
                </c:pt>
                <c:pt idx="593">
                  <c:v>0.10438851486057067</c:v>
                </c:pt>
                <c:pt idx="594">
                  <c:v>0.10642401838801907</c:v>
                </c:pt>
                <c:pt idx="595">
                  <c:v>0.10489824425612679</c:v>
                </c:pt>
                <c:pt idx="596">
                  <c:v>0.10121198666226382</c:v>
                </c:pt>
                <c:pt idx="597">
                  <c:v>9.7050190777847004E-2</c:v>
                </c:pt>
                <c:pt idx="598">
                  <c:v>9.3193511480357358E-2</c:v>
                </c:pt>
                <c:pt idx="599">
                  <c:v>9.5206011931520007E-2</c:v>
                </c:pt>
                <c:pt idx="600">
                  <c:v>9.383346976493713E-2</c:v>
                </c:pt>
                <c:pt idx="601">
                  <c:v>8.9026260247618241E-2</c:v>
                </c:pt>
                <c:pt idx="602">
                  <c:v>8.71195662078008E-2</c:v>
                </c:pt>
                <c:pt idx="603">
                  <c:v>8.3378761699662018E-2</c:v>
                </c:pt>
                <c:pt idx="604">
                  <c:v>8.0220872645074895E-2</c:v>
                </c:pt>
                <c:pt idx="605">
                  <c:v>7.787557802539552E-2</c:v>
                </c:pt>
                <c:pt idx="606">
                  <c:v>8.0436450901524931E-2</c:v>
                </c:pt>
                <c:pt idx="607">
                  <c:v>8.2568989722491798E-2</c:v>
                </c:pt>
                <c:pt idx="608">
                  <c:v>8.3868844672450593E-2</c:v>
                </c:pt>
                <c:pt idx="609">
                  <c:v>8.173674908143394E-2</c:v>
                </c:pt>
                <c:pt idx="610">
                  <c:v>8.2739725781496326E-2</c:v>
                </c:pt>
                <c:pt idx="611">
                  <c:v>8.1206219592828463E-2</c:v>
                </c:pt>
                <c:pt idx="612">
                  <c:v>8.471245102927949E-2</c:v>
                </c:pt>
                <c:pt idx="613">
                  <c:v>8.4025240753651392E-2</c:v>
                </c:pt>
                <c:pt idx="614">
                  <c:v>8.4173218573945482E-2</c:v>
                </c:pt>
                <c:pt idx="615">
                  <c:v>8.2270307400063636E-2</c:v>
                </c:pt>
                <c:pt idx="616">
                  <c:v>8.3216635441930725E-2</c:v>
                </c:pt>
                <c:pt idx="617">
                  <c:v>8.272682403735529E-2</c:v>
                </c:pt>
                <c:pt idx="618">
                  <c:v>8.2733180995101449E-2</c:v>
                </c:pt>
                <c:pt idx="619">
                  <c:v>8.2677624212825429E-2</c:v>
                </c:pt>
                <c:pt idx="620">
                  <c:v>7.8591740081783698E-2</c:v>
                </c:pt>
                <c:pt idx="621">
                  <c:v>7.3011480404330961E-2</c:v>
                </c:pt>
                <c:pt idx="622">
                  <c:v>7.8204796609949223E-2</c:v>
                </c:pt>
                <c:pt idx="623">
                  <c:v>7.5568671691925882E-2</c:v>
                </c:pt>
                <c:pt idx="624">
                  <c:v>7.0076456927941469E-2</c:v>
                </c:pt>
                <c:pt idx="625">
                  <c:v>6.8263197401479209E-2</c:v>
                </c:pt>
                <c:pt idx="626">
                  <c:v>7.2918443321280071E-2</c:v>
                </c:pt>
                <c:pt idx="627">
                  <c:v>7.3998802076790451E-2</c:v>
                </c:pt>
                <c:pt idx="628">
                  <c:v>7.5884116198739623E-2</c:v>
                </c:pt>
                <c:pt idx="629">
                  <c:v>7.4162605819049043E-2</c:v>
                </c:pt>
                <c:pt idx="630">
                  <c:v>7.2741065873997382E-2</c:v>
                </c:pt>
                <c:pt idx="631">
                  <c:v>6.9951409894325606E-2</c:v>
                </c:pt>
                <c:pt idx="632">
                  <c:v>6.3736879353188419E-2</c:v>
                </c:pt>
                <c:pt idx="633">
                  <c:v>6.654032947433712E-2</c:v>
                </c:pt>
                <c:pt idx="634">
                  <c:v>6.3473579600853466E-2</c:v>
                </c:pt>
                <c:pt idx="635">
                  <c:v>6.4426537237546336E-2</c:v>
                </c:pt>
                <c:pt idx="636">
                  <c:v>6.0199875129667416E-2</c:v>
                </c:pt>
                <c:pt idx="637">
                  <c:v>6.1750287942490836E-2</c:v>
                </c:pt>
                <c:pt idx="638">
                  <c:v>6.5063736288722113E-2</c:v>
                </c:pt>
                <c:pt idx="639">
                  <c:v>6.7129634247062878E-2</c:v>
                </c:pt>
                <c:pt idx="640">
                  <c:v>6.557416489724914E-2</c:v>
                </c:pt>
                <c:pt idx="641">
                  <c:v>6.9234929153537877E-2</c:v>
                </c:pt>
                <c:pt idx="642">
                  <c:v>7.1008329552360194E-2</c:v>
                </c:pt>
                <c:pt idx="643">
                  <c:v>7.0835616857636854E-2</c:v>
                </c:pt>
                <c:pt idx="644">
                  <c:v>7.3491995757660578E-2</c:v>
                </c:pt>
                <c:pt idx="645">
                  <c:v>7.4299992922295541E-2</c:v>
                </c:pt>
                <c:pt idx="646">
                  <c:v>6.5900238960742791E-2</c:v>
                </c:pt>
                <c:pt idx="647">
                  <c:v>6.7488035380248584E-2</c:v>
                </c:pt>
                <c:pt idx="648">
                  <c:v>6.2688076411806418E-2</c:v>
                </c:pt>
                <c:pt idx="649">
                  <c:v>6.490574169113178E-2</c:v>
                </c:pt>
                <c:pt idx="650">
                  <c:v>6.2449348304417313E-2</c:v>
                </c:pt>
                <c:pt idx="651">
                  <c:v>6.3160676751627412E-2</c:v>
                </c:pt>
                <c:pt idx="652">
                  <c:v>6.2281125656227454E-2</c:v>
                </c:pt>
                <c:pt idx="653">
                  <c:v>6.0499023136881942E-2</c:v>
                </c:pt>
                <c:pt idx="654">
                  <c:v>5.8101584040377331E-2</c:v>
                </c:pt>
                <c:pt idx="655">
                  <c:v>5.9784004263940753E-2</c:v>
                </c:pt>
                <c:pt idx="656">
                  <c:v>5.7228305917616545E-2</c:v>
                </c:pt>
                <c:pt idx="657">
                  <c:v>5.8523537523952354E-2</c:v>
                </c:pt>
                <c:pt idx="658">
                  <c:v>5.9073044515950877E-2</c:v>
                </c:pt>
                <c:pt idx="659">
                  <c:v>5.244179761548546E-2</c:v>
                </c:pt>
                <c:pt idx="660">
                  <c:v>5.0910430717612518E-2</c:v>
                </c:pt>
                <c:pt idx="661">
                  <c:v>5.4620782495827046E-2</c:v>
                </c:pt>
                <c:pt idx="662">
                  <c:v>5.8065894438269011E-2</c:v>
                </c:pt>
                <c:pt idx="663">
                  <c:v>5.7017843175682745E-2</c:v>
                </c:pt>
                <c:pt idx="664">
                  <c:v>5.6206866018634442E-2</c:v>
                </c:pt>
                <c:pt idx="665">
                  <c:v>5.3741189226169057E-2</c:v>
                </c:pt>
                <c:pt idx="666">
                  <c:v>5.2855079383305026E-2</c:v>
                </c:pt>
                <c:pt idx="667">
                  <c:v>5.7266769208522431E-2</c:v>
                </c:pt>
                <c:pt idx="668">
                  <c:v>6.0283171651154828E-2</c:v>
                </c:pt>
                <c:pt idx="669">
                  <c:v>5.8987213850783808E-2</c:v>
                </c:pt>
                <c:pt idx="670">
                  <c:v>5.5492348065368437E-2</c:v>
                </c:pt>
                <c:pt idx="671">
                  <c:v>5.371085874484828E-2</c:v>
                </c:pt>
                <c:pt idx="672">
                  <c:v>6.0592847225930058E-2</c:v>
                </c:pt>
                <c:pt idx="673">
                  <c:v>5.8811175466902843E-2</c:v>
                </c:pt>
                <c:pt idx="674">
                  <c:v>6.5035249226575248E-2</c:v>
                </c:pt>
                <c:pt idx="675">
                  <c:v>6.3872191997304512E-2</c:v>
                </c:pt>
                <c:pt idx="676">
                  <c:v>6.2132208739105722E-2</c:v>
                </c:pt>
                <c:pt idx="677">
                  <c:v>6.3802090436346687E-2</c:v>
                </c:pt>
                <c:pt idx="678">
                  <c:v>6.3547471173433026E-2</c:v>
                </c:pt>
                <c:pt idx="679">
                  <c:v>6.568866616229728E-2</c:v>
                </c:pt>
                <c:pt idx="680">
                  <c:v>6.2933320868121242E-2</c:v>
                </c:pt>
                <c:pt idx="681">
                  <c:v>6.113538513436477E-2</c:v>
                </c:pt>
                <c:pt idx="682">
                  <c:v>6.1898134822876268E-2</c:v>
                </c:pt>
                <c:pt idx="683">
                  <c:v>5.5710618126732905E-2</c:v>
                </c:pt>
                <c:pt idx="684">
                  <c:v>5.6595684179183266E-2</c:v>
                </c:pt>
                <c:pt idx="685">
                  <c:v>5.5426904002200614E-2</c:v>
                </c:pt>
                <c:pt idx="686">
                  <c:v>5.024253824926507E-2</c:v>
                </c:pt>
                <c:pt idx="687">
                  <c:v>5.2939874282915064E-2</c:v>
                </c:pt>
                <c:pt idx="688">
                  <c:v>4.9911200784039156E-2</c:v>
                </c:pt>
                <c:pt idx="689">
                  <c:v>4.9713138996381606E-2</c:v>
                </c:pt>
                <c:pt idx="690">
                  <c:v>4.8398182941312616E-2</c:v>
                </c:pt>
                <c:pt idx="691">
                  <c:v>4.8525526597582885E-2</c:v>
                </c:pt>
                <c:pt idx="692">
                  <c:v>4.8925533753053647E-2</c:v>
                </c:pt>
                <c:pt idx="693">
                  <c:v>4.8869542691327865E-2</c:v>
                </c:pt>
                <c:pt idx="694">
                  <c:v>4.4880608991002893E-2</c:v>
                </c:pt>
                <c:pt idx="695">
                  <c:v>4.4489217121951662E-2</c:v>
                </c:pt>
                <c:pt idx="696">
                  <c:v>4.1826421606051094E-2</c:v>
                </c:pt>
                <c:pt idx="697">
                  <c:v>4.3627206894634583E-2</c:v>
                </c:pt>
                <c:pt idx="698">
                  <c:v>3.9460608571017852E-2</c:v>
                </c:pt>
                <c:pt idx="699">
                  <c:v>4.0036613543641381E-2</c:v>
                </c:pt>
                <c:pt idx="700">
                  <c:v>3.9211466711145122E-2</c:v>
                </c:pt>
                <c:pt idx="701">
                  <c:v>3.877853356022963E-2</c:v>
                </c:pt>
                <c:pt idx="702">
                  <c:v>3.8393327335347283E-2</c:v>
                </c:pt>
                <c:pt idx="703">
                  <c:v>4.1244858449269728E-2</c:v>
                </c:pt>
                <c:pt idx="704">
                  <c:v>4.4114649376886791E-2</c:v>
                </c:pt>
                <c:pt idx="705">
                  <c:v>4.2231123047502754E-2</c:v>
                </c:pt>
                <c:pt idx="706">
                  <c:v>4.7337114087674305E-2</c:v>
                </c:pt>
                <c:pt idx="707">
                  <c:v>4.9777531136681333E-2</c:v>
                </c:pt>
                <c:pt idx="708">
                  <c:v>4.8952663942840417E-2</c:v>
                </c:pt>
                <c:pt idx="709">
                  <c:v>5.3280379690896697E-2</c:v>
                </c:pt>
                <c:pt idx="710">
                  <c:v>4.5311629524609938E-2</c:v>
                </c:pt>
                <c:pt idx="711">
                  <c:v>4.2092362153307673E-2</c:v>
                </c:pt>
                <c:pt idx="712">
                  <c:v>4.8815438078226185E-2</c:v>
                </c:pt>
                <c:pt idx="713">
                  <c:v>5.0721294825544876E-2</c:v>
                </c:pt>
                <c:pt idx="714">
                  <c:v>4.7544309848777687E-2</c:v>
                </c:pt>
                <c:pt idx="715">
                  <c:v>4.5800473169784528E-2</c:v>
                </c:pt>
                <c:pt idx="716">
                  <c:v>5.0300276178452986E-2</c:v>
                </c:pt>
                <c:pt idx="717">
                  <c:v>5.2598197783662107E-2</c:v>
                </c:pt>
                <c:pt idx="718">
                  <c:v>5.5611680107858025E-2</c:v>
                </c:pt>
                <c:pt idx="719">
                  <c:v>5.0937842150879264E-2</c:v>
                </c:pt>
                <c:pt idx="720">
                  <c:v>5.0961671580829301E-2</c:v>
                </c:pt>
                <c:pt idx="721">
                  <c:v>5.2498508016092363E-2</c:v>
                </c:pt>
                <c:pt idx="722">
                  <c:v>5.1006246959415615E-2</c:v>
                </c:pt>
                <c:pt idx="723">
                  <c:v>5.4636980251095084E-2</c:v>
                </c:pt>
                <c:pt idx="724">
                  <c:v>5.3699940500882483E-2</c:v>
                </c:pt>
                <c:pt idx="725">
                  <c:v>5.3854642703775595E-2</c:v>
                </c:pt>
                <c:pt idx="726">
                  <c:v>5.2657478170399355E-2</c:v>
                </c:pt>
                <c:pt idx="727">
                  <c:v>5.6784445788868813E-2</c:v>
                </c:pt>
                <c:pt idx="728">
                  <c:v>5.6392564920057217E-2</c:v>
                </c:pt>
                <c:pt idx="729">
                  <c:v>5.9200471042311485E-2</c:v>
                </c:pt>
                <c:pt idx="730">
                  <c:v>5.4256912038513905E-2</c:v>
                </c:pt>
                <c:pt idx="731">
                  <c:v>5.2946191367733569E-2</c:v>
                </c:pt>
                <c:pt idx="732">
                  <c:v>5.1263790606446653E-2</c:v>
                </c:pt>
                <c:pt idx="733">
                  <c:v>5.2938523917429772E-2</c:v>
                </c:pt>
                <c:pt idx="734">
                  <c:v>5.1379716566623213E-2</c:v>
                </c:pt>
                <c:pt idx="735">
                  <c:v>5.7998043737027043E-2</c:v>
                </c:pt>
                <c:pt idx="736">
                  <c:v>5.7709590636942844E-2</c:v>
                </c:pt>
                <c:pt idx="737">
                  <c:v>6.4938754375576904E-2</c:v>
                </c:pt>
                <c:pt idx="738">
                  <c:v>6.4779595527357042E-2</c:v>
                </c:pt>
                <c:pt idx="739">
                  <c:v>6.6764977222343161E-2</c:v>
                </c:pt>
                <c:pt idx="740">
                  <c:v>7.0779025976839161E-2</c:v>
                </c:pt>
                <c:pt idx="741">
                  <c:v>6.9352876196810728E-2</c:v>
                </c:pt>
                <c:pt idx="742">
                  <c:v>7.051447204089567E-2</c:v>
                </c:pt>
                <c:pt idx="743">
                  <c:v>6.6514654180162225E-2</c:v>
                </c:pt>
                <c:pt idx="744">
                  <c:v>6.9296670612602709E-2</c:v>
                </c:pt>
                <c:pt idx="745">
                  <c:v>6.5617516258762054E-2</c:v>
                </c:pt>
                <c:pt idx="746">
                  <c:v>6.751407214352817E-2</c:v>
                </c:pt>
                <c:pt idx="747">
                  <c:v>6.3992332223583914E-2</c:v>
                </c:pt>
                <c:pt idx="748">
                  <c:v>7.0020669477301553E-2</c:v>
                </c:pt>
                <c:pt idx="749">
                  <c:v>6.8757616935681956E-2</c:v>
                </c:pt>
                <c:pt idx="750">
                  <c:v>6.8516869528603114E-2</c:v>
                </c:pt>
                <c:pt idx="751">
                  <c:v>6.5150997406580521E-2</c:v>
                </c:pt>
                <c:pt idx="752">
                  <c:v>6.5060901959613976E-2</c:v>
                </c:pt>
                <c:pt idx="753">
                  <c:v>6.5441480521855111E-2</c:v>
                </c:pt>
                <c:pt idx="754">
                  <c:v>6.8798539000088796E-2</c:v>
                </c:pt>
                <c:pt idx="755">
                  <c:v>6.3598090166049642E-2</c:v>
                </c:pt>
                <c:pt idx="756">
                  <c:v>6.1788100121120113E-2</c:v>
                </c:pt>
                <c:pt idx="757">
                  <c:v>6.1178194929322693E-2</c:v>
                </c:pt>
                <c:pt idx="758">
                  <c:v>6.5445645817599943E-2</c:v>
                </c:pt>
                <c:pt idx="759">
                  <c:v>6.9527823647795764E-2</c:v>
                </c:pt>
                <c:pt idx="760">
                  <c:v>7.2971211170974104E-2</c:v>
                </c:pt>
                <c:pt idx="761">
                  <c:v>7.3069428237653652E-2</c:v>
                </c:pt>
                <c:pt idx="762">
                  <c:v>6.9838284593615879E-2</c:v>
                </c:pt>
                <c:pt idx="763">
                  <c:v>7.1958357574920473E-2</c:v>
                </c:pt>
                <c:pt idx="764">
                  <c:v>7.7484242052525909E-2</c:v>
                </c:pt>
                <c:pt idx="765">
                  <c:v>7.5758950748966505E-2</c:v>
                </c:pt>
                <c:pt idx="766">
                  <c:v>7.41730577717295E-2</c:v>
                </c:pt>
                <c:pt idx="767">
                  <c:v>7.1772379422425786E-2</c:v>
                </c:pt>
                <c:pt idx="768">
                  <c:v>7.0247754863487388E-2</c:v>
                </c:pt>
                <c:pt idx="769">
                  <c:v>6.2375643885890106E-2</c:v>
                </c:pt>
                <c:pt idx="770">
                  <c:v>6.2870485841090118E-2</c:v>
                </c:pt>
                <c:pt idx="771">
                  <c:v>6.0603284686580446E-2</c:v>
                </c:pt>
                <c:pt idx="772">
                  <c:v>6.0798067875754667E-2</c:v>
                </c:pt>
                <c:pt idx="773">
                  <c:v>6.1977909652185158E-2</c:v>
                </c:pt>
                <c:pt idx="774">
                  <c:v>6.2395541688959347E-2</c:v>
                </c:pt>
                <c:pt idx="775">
                  <c:v>5.9359662620853917E-2</c:v>
                </c:pt>
                <c:pt idx="776">
                  <c:v>6.4429760855074861E-2</c:v>
                </c:pt>
                <c:pt idx="777">
                  <c:v>6.3398713458393222E-2</c:v>
                </c:pt>
                <c:pt idx="778">
                  <c:v>6.7807414055712931E-2</c:v>
                </c:pt>
                <c:pt idx="779">
                  <c:v>6.5463104230703256E-2</c:v>
                </c:pt>
                <c:pt idx="780">
                  <c:v>6.6570210219102685E-2</c:v>
                </c:pt>
                <c:pt idx="781">
                  <c:v>6.5990958483906334E-2</c:v>
                </c:pt>
                <c:pt idx="782">
                  <c:v>6.5671455926066422E-2</c:v>
                </c:pt>
                <c:pt idx="783">
                  <c:v>7.0645961514892913E-2</c:v>
                </c:pt>
                <c:pt idx="784">
                  <c:v>7.1950826406408111E-2</c:v>
                </c:pt>
                <c:pt idx="785">
                  <c:v>6.7742195060205207E-2</c:v>
                </c:pt>
                <c:pt idx="786">
                  <c:v>6.8417445541695238E-2</c:v>
                </c:pt>
                <c:pt idx="787">
                  <c:v>6.5314227711921052E-2</c:v>
                </c:pt>
                <c:pt idx="788">
                  <c:v>6.0843863141120877E-2</c:v>
                </c:pt>
                <c:pt idx="789">
                  <c:v>5.5053906491658533E-2</c:v>
                </c:pt>
                <c:pt idx="790">
                  <c:v>5.9127681842465529E-2</c:v>
                </c:pt>
                <c:pt idx="791">
                  <c:v>5.4862191176808218E-2</c:v>
                </c:pt>
                <c:pt idx="792">
                  <c:v>5.7961113505276572E-2</c:v>
                </c:pt>
                <c:pt idx="793">
                  <c:v>5.3416040227045762E-2</c:v>
                </c:pt>
                <c:pt idx="794">
                  <c:v>5.2488696650271296E-2</c:v>
                </c:pt>
                <c:pt idx="795">
                  <c:v>4.5672543493317189E-2</c:v>
                </c:pt>
                <c:pt idx="796">
                  <c:v>4.6533287123241653E-2</c:v>
                </c:pt>
                <c:pt idx="797">
                  <c:v>4.2689535524610127E-2</c:v>
                </c:pt>
                <c:pt idx="798">
                  <c:v>4.2037511418220971E-2</c:v>
                </c:pt>
                <c:pt idx="799">
                  <c:v>4.1073240713609488E-2</c:v>
                </c:pt>
                <c:pt idx="800">
                  <c:v>4.0840230053404439E-2</c:v>
                </c:pt>
                <c:pt idx="801">
                  <c:v>4.0587989436610523E-2</c:v>
                </c:pt>
                <c:pt idx="802">
                  <c:v>4.3123806263038196E-2</c:v>
                </c:pt>
                <c:pt idx="803">
                  <c:v>4.5596964950549712E-2</c:v>
                </c:pt>
                <c:pt idx="804">
                  <c:v>4.8045951819647666E-2</c:v>
                </c:pt>
                <c:pt idx="805">
                  <c:v>4.646526699995239E-2</c:v>
                </c:pt>
                <c:pt idx="806">
                  <c:v>3.774424076257285E-2</c:v>
                </c:pt>
                <c:pt idx="807">
                  <c:v>3.9764063720288262E-2</c:v>
                </c:pt>
                <c:pt idx="808">
                  <c:v>3.8869373747950207E-2</c:v>
                </c:pt>
                <c:pt idx="809">
                  <c:v>3.7494990804510887E-2</c:v>
                </c:pt>
                <c:pt idx="810">
                  <c:v>3.5240781533072099E-2</c:v>
                </c:pt>
                <c:pt idx="811">
                  <c:v>3.5091773001779375E-2</c:v>
                </c:pt>
                <c:pt idx="812">
                  <c:v>3.6369353111085891E-2</c:v>
                </c:pt>
                <c:pt idx="813">
                  <c:v>4.5205950236361689E-2</c:v>
                </c:pt>
                <c:pt idx="814">
                  <c:v>4.75887114945759E-2</c:v>
                </c:pt>
                <c:pt idx="815">
                  <c:v>4.2572774373991866E-2</c:v>
                </c:pt>
                <c:pt idx="816">
                  <c:v>4.3540842297129893E-2</c:v>
                </c:pt>
                <c:pt idx="817">
                  <c:v>4.1179230088810165E-2</c:v>
                </c:pt>
                <c:pt idx="818">
                  <c:v>4.7955917082518146E-2</c:v>
                </c:pt>
                <c:pt idx="819">
                  <c:v>4.6411590514187008E-2</c:v>
                </c:pt>
                <c:pt idx="820">
                  <c:v>4.9355850711181121E-2</c:v>
                </c:pt>
                <c:pt idx="821">
                  <c:v>5.2287541671957587E-2</c:v>
                </c:pt>
                <c:pt idx="822">
                  <c:v>4.649122266400886E-2</c:v>
                </c:pt>
                <c:pt idx="823">
                  <c:v>4.6556551657320033E-2</c:v>
                </c:pt>
                <c:pt idx="824">
                  <c:v>4.9071643037517002E-2</c:v>
                </c:pt>
                <c:pt idx="825">
                  <c:v>4.7170407344398861E-2</c:v>
                </c:pt>
                <c:pt idx="826">
                  <c:v>4.7424075647878303E-2</c:v>
                </c:pt>
                <c:pt idx="827">
                  <c:v>4.6779647463519258E-2</c:v>
                </c:pt>
                <c:pt idx="828">
                  <c:v>4.4087237205824123E-2</c:v>
                </c:pt>
                <c:pt idx="829">
                  <c:v>4.9706754494551558E-2</c:v>
                </c:pt>
                <c:pt idx="830">
                  <c:v>4.3692470953914167E-2</c:v>
                </c:pt>
                <c:pt idx="831">
                  <c:v>4.3745859340269894E-2</c:v>
                </c:pt>
                <c:pt idx="832">
                  <c:v>4.2764490415938251E-2</c:v>
                </c:pt>
                <c:pt idx="833">
                  <c:v>4.0113820486222612E-2</c:v>
                </c:pt>
                <c:pt idx="834">
                  <c:v>4.2076571239220269E-2</c:v>
                </c:pt>
                <c:pt idx="835">
                  <c:v>4.1296246500052182E-2</c:v>
                </c:pt>
                <c:pt idx="836">
                  <c:v>3.8690069766920063E-2</c:v>
                </c:pt>
                <c:pt idx="837">
                  <c:v>3.7257957799884195E-2</c:v>
                </c:pt>
                <c:pt idx="838">
                  <c:v>3.8270808600843143E-2</c:v>
                </c:pt>
                <c:pt idx="839">
                  <c:v>3.1411590446426954E-2</c:v>
                </c:pt>
                <c:pt idx="840">
                  <c:v>3.3835422406935226E-2</c:v>
                </c:pt>
                <c:pt idx="841">
                  <c:v>3.347554721391998E-2</c:v>
                </c:pt>
                <c:pt idx="842">
                  <c:v>3.1755563525352824E-2</c:v>
                </c:pt>
                <c:pt idx="843">
                  <c:v>2.8799741662059439E-2</c:v>
                </c:pt>
                <c:pt idx="844">
                  <c:v>2.796575755153536E-2</c:v>
                </c:pt>
                <c:pt idx="845">
                  <c:v>2.5464843681513194E-2</c:v>
                </c:pt>
                <c:pt idx="846">
                  <c:v>2.5250369518378699E-2</c:v>
                </c:pt>
                <c:pt idx="847">
                  <c:v>2.303520976518179E-2</c:v>
                </c:pt>
                <c:pt idx="848">
                  <c:v>2.2383136494357279E-2</c:v>
                </c:pt>
                <c:pt idx="849">
                  <c:v>2.0010642125289222E-2</c:v>
                </c:pt>
                <c:pt idx="850">
                  <c:v>2.0584568847531654E-2</c:v>
                </c:pt>
                <c:pt idx="851">
                  <c:v>2.1922930941950802E-2</c:v>
                </c:pt>
                <c:pt idx="852">
                  <c:v>1.9727257433656168E-2</c:v>
                </c:pt>
                <c:pt idx="853">
                  <c:v>1.9692344342142482E-2</c:v>
                </c:pt>
                <c:pt idx="854">
                  <c:v>2.0195370130273688E-2</c:v>
                </c:pt>
                <c:pt idx="855">
                  <c:v>2.3239448511652522E-2</c:v>
                </c:pt>
                <c:pt idx="856">
                  <c:v>1.8958728561732113E-2</c:v>
                </c:pt>
                <c:pt idx="857">
                  <c:v>1.8361508625283143E-2</c:v>
                </c:pt>
                <c:pt idx="858">
                  <c:v>1.9012731503624921E-2</c:v>
                </c:pt>
                <c:pt idx="859">
                  <c:v>1.4495881284627036E-2</c:v>
                </c:pt>
                <c:pt idx="860">
                  <c:v>1.3001151811891381E-2</c:v>
                </c:pt>
                <c:pt idx="861">
                  <c:v>9.4507600422547647E-3</c:v>
                </c:pt>
                <c:pt idx="862">
                  <c:v>1.7008166078514297E-2</c:v>
                </c:pt>
                <c:pt idx="863">
                  <c:v>1.290588985212688E-2</c:v>
                </c:pt>
                <c:pt idx="864">
                  <c:v>1.5070423320685483E-2</c:v>
                </c:pt>
                <c:pt idx="865">
                  <c:v>1.1477397023254583E-2</c:v>
                </c:pt>
                <c:pt idx="866">
                  <c:v>1.1195987590365521E-2</c:v>
                </c:pt>
                <c:pt idx="867">
                  <c:v>8.7187395846774676E-3</c:v>
                </c:pt>
                <c:pt idx="868">
                  <c:v>1.2384939502441057E-2</c:v>
                </c:pt>
                <c:pt idx="869">
                  <c:v>8.2345080901497641E-3</c:v>
                </c:pt>
                <c:pt idx="870">
                  <c:v>1.0336385787082993E-2</c:v>
                </c:pt>
                <c:pt idx="871">
                  <c:v>1.651581633443025E-2</c:v>
                </c:pt>
                <c:pt idx="872">
                  <c:v>1.3548300707361021E-2</c:v>
                </c:pt>
                <c:pt idx="873">
                  <c:v>1.1862954997952172E-2</c:v>
                </c:pt>
                <c:pt idx="874">
                  <c:v>1.1957761817118049E-2</c:v>
                </c:pt>
                <c:pt idx="875">
                  <c:v>1.5544915362273251E-2</c:v>
                </c:pt>
                <c:pt idx="876">
                  <c:v>1.2597567418283216E-2</c:v>
                </c:pt>
                <c:pt idx="877">
                  <c:v>1.1886787065075689E-2</c:v>
                </c:pt>
                <c:pt idx="878">
                  <c:v>1.2441564850766959E-2</c:v>
                </c:pt>
                <c:pt idx="879">
                  <c:v>8.4599135016886484E-3</c:v>
                </c:pt>
                <c:pt idx="880">
                  <c:v>1.0595734454722165E-2</c:v>
                </c:pt>
                <c:pt idx="881">
                  <c:v>8.7440487178381526E-3</c:v>
                </c:pt>
                <c:pt idx="882">
                  <c:v>1.383138935503349E-2</c:v>
                </c:pt>
                <c:pt idx="883">
                  <c:v>1.239518773606775E-2</c:v>
                </c:pt>
                <c:pt idx="884">
                  <c:v>1.2734392976104092E-2</c:v>
                </c:pt>
                <c:pt idx="885">
                  <c:v>1.0645936921223401E-2</c:v>
                </c:pt>
                <c:pt idx="886">
                  <c:v>1.6751420181515153E-2</c:v>
                </c:pt>
                <c:pt idx="887">
                  <c:v>1.4382534007908969E-2</c:v>
                </c:pt>
                <c:pt idx="888">
                  <c:v>1.547087859965509E-2</c:v>
                </c:pt>
                <c:pt idx="889">
                  <c:v>1.31997529913391E-2</c:v>
                </c:pt>
                <c:pt idx="890">
                  <c:v>1.9563021219480774E-2</c:v>
                </c:pt>
                <c:pt idx="891">
                  <c:v>1.3909414297099177E-2</c:v>
                </c:pt>
                <c:pt idx="892">
                  <c:v>1.2360199791625146E-2</c:v>
                </c:pt>
                <c:pt idx="893">
                  <c:v>1.2053831611063798E-2</c:v>
                </c:pt>
                <c:pt idx="894">
                  <c:v>1.4208722302850507E-2</c:v>
                </c:pt>
                <c:pt idx="895">
                  <c:v>1.0315853138785983E-2</c:v>
                </c:pt>
                <c:pt idx="896">
                  <c:v>9.2563959835391812E-3</c:v>
                </c:pt>
                <c:pt idx="897">
                  <c:v>1.2289643303287932E-2</c:v>
                </c:pt>
                <c:pt idx="898">
                  <c:v>8.4099438138528961E-3</c:v>
                </c:pt>
                <c:pt idx="899">
                  <c:v>9.8156331492259517E-3</c:v>
                </c:pt>
                <c:pt idx="900">
                  <c:v>9.9485547158286846E-3</c:v>
                </c:pt>
                <c:pt idx="901">
                  <c:v>1.1162063426585982E-2</c:v>
                </c:pt>
                <c:pt idx="902">
                  <c:v>1.3651045840543417E-2</c:v>
                </c:pt>
                <c:pt idx="903">
                  <c:v>1.3610882976933037E-2</c:v>
                </c:pt>
                <c:pt idx="904">
                  <c:v>1.3310059241758135E-2</c:v>
                </c:pt>
                <c:pt idx="905">
                  <c:v>9.9970972085613192E-3</c:v>
                </c:pt>
                <c:pt idx="906">
                  <c:v>1.0519141560441873E-2</c:v>
                </c:pt>
                <c:pt idx="907">
                  <c:v>9.9152424512451379E-3</c:v>
                </c:pt>
                <c:pt idx="908">
                  <c:v>9.9430044104647057E-3</c:v>
                </c:pt>
                <c:pt idx="909">
                  <c:v>1.079369133289486E-2</c:v>
                </c:pt>
                <c:pt idx="910">
                  <c:v>1.1206099553359829E-2</c:v>
                </c:pt>
                <c:pt idx="911">
                  <c:v>1.195811743775075E-2</c:v>
                </c:pt>
                <c:pt idx="912">
                  <c:v>1.264725711504237E-2</c:v>
                </c:pt>
                <c:pt idx="913">
                  <c:v>1.3799338207947858E-2</c:v>
                </c:pt>
                <c:pt idx="914">
                  <c:v>1.4636371573837376E-2</c:v>
                </c:pt>
                <c:pt idx="915">
                  <c:v>1.5230063634140419E-2</c:v>
                </c:pt>
                <c:pt idx="916">
                  <c:v>1.3861745477265906E-2</c:v>
                </c:pt>
                <c:pt idx="917">
                  <c:v>1.2565903620659213E-2</c:v>
                </c:pt>
                <c:pt idx="918">
                  <c:v>1.5698754809681113E-2</c:v>
                </c:pt>
                <c:pt idx="919">
                  <c:v>2.6566543649847937E-2</c:v>
                </c:pt>
                <c:pt idx="920">
                  <c:v>2.2530725427373159E-2</c:v>
                </c:pt>
                <c:pt idx="921">
                  <c:v>2.266079183729779E-2</c:v>
                </c:pt>
                <c:pt idx="922">
                  <c:v>1.6456995101478199E-2</c:v>
                </c:pt>
                <c:pt idx="923">
                  <c:v>1.7442348292473316E-2</c:v>
                </c:pt>
                <c:pt idx="924">
                  <c:v>1.8328491024994148E-2</c:v>
                </c:pt>
                <c:pt idx="925">
                  <c:v>2.3219747843160998E-2</c:v>
                </c:pt>
                <c:pt idx="926">
                  <c:v>2.0602075558455314E-2</c:v>
                </c:pt>
                <c:pt idx="927">
                  <c:v>2.3007616519294272E-2</c:v>
                </c:pt>
                <c:pt idx="928">
                  <c:v>2.0915489186593132E-2</c:v>
                </c:pt>
                <c:pt idx="929">
                  <c:v>2.075613954092325E-2</c:v>
                </c:pt>
                <c:pt idx="930">
                  <c:v>2.2080416290840489E-2</c:v>
                </c:pt>
                <c:pt idx="931">
                  <c:v>2.5262868432203815E-2</c:v>
                </c:pt>
                <c:pt idx="932">
                  <c:v>1.8385249107363472E-2</c:v>
                </c:pt>
                <c:pt idx="933">
                  <c:v>2.0450807276598842E-2</c:v>
                </c:pt>
                <c:pt idx="934">
                  <c:v>2.0942262718889874E-2</c:v>
                </c:pt>
                <c:pt idx="935">
                  <c:v>1.9122743890707245E-2</c:v>
                </c:pt>
                <c:pt idx="936">
                  <c:v>2.1881060024583867E-2</c:v>
                </c:pt>
                <c:pt idx="937">
                  <c:v>1.6984833025770509E-2</c:v>
                </c:pt>
                <c:pt idx="938">
                  <c:v>1.5177324785869634E-2</c:v>
                </c:pt>
                <c:pt idx="939">
                  <c:v>1.6292894839241262E-2</c:v>
                </c:pt>
                <c:pt idx="940">
                  <c:v>1.5002834016509205E-2</c:v>
                </c:pt>
                <c:pt idx="941">
                  <c:v>1.7909963687611684E-2</c:v>
                </c:pt>
                <c:pt idx="942">
                  <c:v>1.7435718058690406E-2</c:v>
                </c:pt>
                <c:pt idx="943">
                  <c:v>2.3747782962147145E-2</c:v>
                </c:pt>
                <c:pt idx="944">
                  <c:v>2.554060003041778E-2</c:v>
                </c:pt>
                <c:pt idx="945">
                  <c:v>2.191147454773875E-2</c:v>
                </c:pt>
                <c:pt idx="946">
                  <c:v>1.7664296191882548E-2</c:v>
                </c:pt>
                <c:pt idx="947">
                  <c:v>1.9938448136301481E-2</c:v>
                </c:pt>
                <c:pt idx="948">
                  <c:v>2.0330037159706851E-2</c:v>
                </c:pt>
                <c:pt idx="949">
                  <c:v>2.263806361725576E-2</c:v>
                </c:pt>
                <c:pt idx="950">
                  <c:v>1.8616739906650408E-2</c:v>
                </c:pt>
                <c:pt idx="951">
                  <c:v>1.693685044921709E-2</c:v>
                </c:pt>
                <c:pt idx="952">
                  <c:v>1.9406779415423285E-2</c:v>
                </c:pt>
                <c:pt idx="953">
                  <c:v>2.0310807330016879E-2</c:v>
                </c:pt>
                <c:pt idx="954">
                  <c:v>1.461421849957833E-2</c:v>
                </c:pt>
                <c:pt idx="955">
                  <c:v>1.2511807779174725E-2</c:v>
                </c:pt>
                <c:pt idx="956">
                  <c:v>1.0718139569660062E-2</c:v>
                </c:pt>
                <c:pt idx="957">
                  <c:v>1.002178022773652E-2</c:v>
                </c:pt>
                <c:pt idx="958">
                  <c:v>9.0933713894913015E-3</c:v>
                </c:pt>
                <c:pt idx="959">
                  <c:v>1.2286676848570176E-2</c:v>
                </c:pt>
                <c:pt idx="960">
                  <c:v>1.2139137591974224E-2</c:v>
                </c:pt>
                <c:pt idx="961">
                  <c:v>8.0603422788355483E-3</c:v>
                </c:pt>
                <c:pt idx="962">
                  <c:v>7.0057272815835792E-3</c:v>
                </c:pt>
                <c:pt idx="963">
                  <c:v>7.7052166642485528E-3</c:v>
                </c:pt>
                <c:pt idx="964">
                  <c:v>1.1613867639827502E-2</c:v>
                </c:pt>
                <c:pt idx="965">
                  <c:v>1.3909064511820411E-2</c:v>
                </c:pt>
                <c:pt idx="966">
                  <c:v>1.5137392606018228E-2</c:v>
                </c:pt>
                <c:pt idx="967">
                  <c:v>1.6154934180209801E-2</c:v>
                </c:pt>
                <c:pt idx="968">
                  <c:v>1.7090396665302054E-2</c:v>
                </c:pt>
                <c:pt idx="969">
                  <c:v>1.7448764942731149E-2</c:v>
                </c:pt>
                <c:pt idx="970">
                  <c:v>1.9362748644648351E-2</c:v>
                </c:pt>
                <c:pt idx="971">
                  <c:v>1.9216029469431895E-2</c:v>
                </c:pt>
                <c:pt idx="972">
                  <c:v>1.7399016356598424E-2</c:v>
                </c:pt>
                <c:pt idx="973">
                  <c:v>1.2125719210731221E-2</c:v>
                </c:pt>
                <c:pt idx="974">
                  <c:v>1.388609018324293E-2</c:v>
                </c:pt>
                <c:pt idx="975">
                  <c:v>1.5916044361099019E-2</c:v>
                </c:pt>
                <c:pt idx="976">
                  <c:v>9.2463390597462107E-3</c:v>
                </c:pt>
                <c:pt idx="977">
                  <c:v>9.9850639785932088E-3</c:v>
                </c:pt>
                <c:pt idx="978">
                  <c:v>8.2967481966618999E-3</c:v>
                </c:pt>
                <c:pt idx="979">
                  <c:v>9.6486091589947608E-3</c:v>
                </c:pt>
                <c:pt idx="980">
                  <c:v>1.3151512269968701E-2</c:v>
                </c:pt>
                <c:pt idx="981">
                  <c:v>1.4116882333541601E-2</c:v>
                </c:pt>
                <c:pt idx="982">
                  <c:v>2.1961624701579467E-2</c:v>
                </c:pt>
                <c:pt idx="983">
                  <c:v>1.9693980061423831E-2</c:v>
                </c:pt>
                <c:pt idx="984">
                  <c:v>1.5254107392993384E-2</c:v>
                </c:pt>
                <c:pt idx="985">
                  <c:v>1.4743724171445276E-2</c:v>
                </c:pt>
                <c:pt idx="986">
                  <c:v>1.3765667177710479E-2</c:v>
                </c:pt>
                <c:pt idx="987">
                  <c:v>1.6430457726752643E-2</c:v>
                </c:pt>
                <c:pt idx="988">
                  <c:v>1.2559987269024606E-2</c:v>
                </c:pt>
                <c:pt idx="989">
                  <c:v>1.389787532394229E-2</c:v>
                </c:pt>
                <c:pt idx="990">
                  <c:v>1.2859416231652775E-2</c:v>
                </c:pt>
                <c:pt idx="991">
                  <c:v>1.1938778996655935E-2</c:v>
                </c:pt>
                <c:pt idx="992">
                  <c:v>1.2472391788109497E-2</c:v>
                </c:pt>
                <c:pt idx="993">
                  <c:v>1.2623541912814741E-2</c:v>
                </c:pt>
                <c:pt idx="994">
                  <c:v>1.0815525074866937E-2</c:v>
                </c:pt>
                <c:pt idx="995">
                  <c:v>1.3038332309977233E-2</c:v>
                </c:pt>
                <c:pt idx="996">
                  <c:v>1.8651303065994933E-2</c:v>
                </c:pt>
                <c:pt idx="997">
                  <c:v>2.0641127488891509E-2</c:v>
                </c:pt>
                <c:pt idx="998">
                  <c:v>2.2084889482066619E-2</c:v>
                </c:pt>
                <c:pt idx="999">
                  <c:v>2.576129542401236E-2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5B-2346-ADDE-FE370279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253344"/>
        <c:axId val="574267264"/>
      </c:scatterChart>
      <c:valAx>
        <c:axId val="59725334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67264"/>
        <c:crosses val="autoZero"/>
        <c:crossBetween val="midCat"/>
      </c:valAx>
      <c:valAx>
        <c:axId val="57426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5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Error between paths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84977206796519"/>
                  <c:y val="-0.2161005395158938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Model!$F$6:$F$1005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</c:numCache>
            </c:numRef>
          </c:xVal>
          <c:yVal>
            <c:numRef>
              <c:f>Model!$J$6:$J$1005</c:f>
              <c:numCache>
                <c:formatCode>General</c:formatCode>
                <c:ptCount val="1000"/>
                <c:pt idx="0">
                  <c:v>0</c:v>
                </c:pt>
                <c:pt idx="1">
                  <c:v>4.9152396976483784E-3</c:v>
                </c:pt>
                <c:pt idx="2">
                  <c:v>3.0262865815572984E-3</c:v>
                </c:pt>
                <c:pt idx="3">
                  <c:v>3.1497686916799883E-3</c:v>
                </c:pt>
                <c:pt idx="4">
                  <c:v>8.1938446033726041E-3</c:v>
                </c:pt>
                <c:pt idx="5">
                  <c:v>7.3581534874741471E-3</c:v>
                </c:pt>
                <c:pt idx="6">
                  <c:v>5.9052396184067334E-3</c:v>
                </c:pt>
                <c:pt idx="7">
                  <c:v>9.1118275531582808E-3</c:v>
                </c:pt>
                <c:pt idx="8">
                  <c:v>1.0595264506562493E-2</c:v>
                </c:pt>
                <c:pt idx="9">
                  <c:v>7.7288949406919012E-3</c:v>
                </c:pt>
                <c:pt idx="10">
                  <c:v>5.9134032892975263E-3</c:v>
                </c:pt>
                <c:pt idx="11">
                  <c:v>8.4615753853420038E-3</c:v>
                </c:pt>
                <c:pt idx="12">
                  <c:v>8.9224675930665749E-3</c:v>
                </c:pt>
                <c:pt idx="13">
                  <c:v>7.2523646906760275E-3</c:v>
                </c:pt>
                <c:pt idx="14">
                  <c:v>5.4989668406766334E-3</c:v>
                </c:pt>
                <c:pt idx="15">
                  <c:v>5.1446132018195308E-3</c:v>
                </c:pt>
                <c:pt idx="16">
                  <c:v>8.9782804550123975E-4</c:v>
                </c:pt>
                <c:pt idx="17">
                  <c:v>1.2584537517789478E-3</c:v>
                </c:pt>
                <c:pt idx="18">
                  <c:v>8.974669626084595E-4</c:v>
                </c:pt>
                <c:pt idx="19">
                  <c:v>4.1648882056555779E-4</c:v>
                </c:pt>
                <c:pt idx="20">
                  <c:v>6.4190304044123639E-5</c:v>
                </c:pt>
                <c:pt idx="21">
                  <c:v>1.2872220179971361E-4</c:v>
                </c:pt>
                <c:pt idx="22">
                  <c:v>6.1009139366147852E-4</c:v>
                </c:pt>
                <c:pt idx="23">
                  <c:v>1.7809683761673672E-3</c:v>
                </c:pt>
                <c:pt idx="24">
                  <c:v>2.3771078074157972E-3</c:v>
                </c:pt>
                <c:pt idx="25">
                  <c:v>1.638591829740927E-3</c:v>
                </c:pt>
                <c:pt idx="26">
                  <c:v>4.69903512620597E-3</c:v>
                </c:pt>
                <c:pt idx="27">
                  <c:v>9.94051320169409E-3</c:v>
                </c:pt>
                <c:pt idx="28">
                  <c:v>8.8473990484724922E-3</c:v>
                </c:pt>
                <c:pt idx="29">
                  <c:v>9.3416077460466169E-3</c:v>
                </c:pt>
                <c:pt idx="30">
                  <c:v>7.0633815251741981E-3</c:v>
                </c:pt>
                <c:pt idx="31">
                  <c:v>7.4331606170429596E-3</c:v>
                </c:pt>
                <c:pt idx="32">
                  <c:v>9.7253261383058592E-3</c:v>
                </c:pt>
                <c:pt idx="33">
                  <c:v>6.2278965331292561E-3</c:v>
                </c:pt>
                <c:pt idx="34">
                  <c:v>1.3219658720012524E-2</c:v>
                </c:pt>
                <c:pt idx="35">
                  <c:v>1.4493573261869544E-2</c:v>
                </c:pt>
                <c:pt idx="36">
                  <c:v>1.6200875859621235E-2</c:v>
                </c:pt>
                <c:pt idx="37">
                  <c:v>1.6240821697486807E-2</c:v>
                </c:pt>
                <c:pt idx="38">
                  <c:v>1.2905013753332126E-2</c:v>
                </c:pt>
                <c:pt idx="39">
                  <c:v>1.0326094032080405E-2</c:v>
                </c:pt>
                <c:pt idx="40">
                  <c:v>1.0484068537625095E-2</c:v>
                </c:pt>
                <c:pt idx="41">
                  <c:v>1.424003279085183E-2</c:v>
                </c:pt>
                <c:pt idx="42">
                  <c:v>1.2461753235103004E-2</c:v>
                </c:pt>
                <c:pt idx="43">
                  <c:v>8.9420697415628324E-3</c:v>
                </c:pt>
                <c:pt idx="44">
                  <c:v>1.0075029804061069E-2</c:v>
                </c:pt>
                <c:pt idx="45">
                  <c:v>9.5545913010480453E-3</c:v>
                </c:pt>
                <c:pt idx="46">
                  <c:v>9.5725829601054774E-3</c:v>
                </c:pt>
                <c:pt idx="47">
                  <c:v>5.0911227124212175E-3</c:v>
                </c:pt>
                <c:pt idx="48">
                  <c:v>4.1248318072481232E-3</c:v>
                </c:pt>
                <c:pt idx="49">
                  <c:v>6.4835440367404084E-3</c:v>
                </c:pt>
                <c:pt idx="50">
                  <c:v>6.3736035729818619E-3</c:v>
                </c:pt>
                <c:pt idx="51">
                  <c:v>5.0878964679108782E-3</c:v>
                </c:pt>
                <c:pt idx="52">
                  <c:v>6.1917824689045609E-3</c:v>
                </c:pt>
                <c:pt idx="53">
                  <c:v>9.0288180867531542E-3</c:v>
                </c:pt>
                <c:pt idx="54">
                  <c:v>1.0646430610814016E-2</c:v>
                </c:pt>
                <c:pt idx="55">
                  <c:v>9.1652393774405427E-3</c:v>
                </c:pt>
                <c:pt idx="56">
                  <c:v>5.7249609021343562E-3</c:v>
                </c:pt>
                <c:pt idx="57">
                  <c:v>3.1506969954209589E-3</c:v>
                </c:pt>
                <c:pt idx="58">
                  <c:v>7.2519184689546923E-3</c:v>
                </c:pt>
                <c:pt idx="59">
                  <c:v>6.6897400095512795E-3</c:v>
                </c:pt>
                <c:pt idx="60">
                  <c:v>2.5842691646668463E-3</c:v>
                </c:pt>
                <c:pt idx="61">
                  <c:v>3.9079854153418504E-3</c:v>
                </c:pt>
                <c:pt idx="62">
                  <c:v>2.8812094981204555E-3</c:v>
                </c:pt>
                <c:pt idx="63">
                  <c:v>2.9198142487587148E-3</c:v>
                </c:pt>
                <c:pt idx="64">
                  <c:v>1.4288680120867411E-3</c:v>
                </c:pt>
                <c:pt idx="65">
                  <c:v>4.3838361380290182E-3</c:v>
                </c:pt>
                <c:pt idx="66">
                  <c:v>7.2702531257856692E-3</c:v>
                </c:pt>
                <c:pt idx="67">
                  <c:v>7.1756542902671168E-3</c:v>
                </c:pt>
                <c:pt idx="68">
                  <c:v>6.9265389233517678E-3</c:v>
                </c:pt>
                <c:pt idx="69">
                  <c:v>5.481319315987972E-3</c:v>
                </c:pt>
                <c:pt idx="70">
                  <c:v>1.6319887458653062E-3</c:v>
                </c:pt>
                <c:pt idx="71">
                  <c:v>2.4693980057075519E-3</c:v>
                </c:pt>
                <c:pt idx="72">
                  <c:v>7.1149750503337293E-4</c:v>
                </c:pt>
                <c:pt idx="73">
                  <c:v>1.8363279657416052E-3</c:v>
                </c:pt>
                <c:pt idx="74">
                  <c:v>4.2410901059483121E-3</c:v>
                </c:pt>
                <c:pt idx="75">
                  <c:v>2.0209083723936577E-3</c:v>
                </c:pt>
                <c:pt idx="76">
                  <c:v>8.9742109343365854E-3</c:v>
                </c:pt>
                <c:pt idx="77">
                  <c:v>9.8621545302337958E-3</c:v>
                </c:pt>
                <c:pt idx="78">
                  <c:v>1.0902712285150913E-2</c:v>
                </c:pt>
                <c:pt idx="79">
                  <c:v>7.5982128022764536E-3</c:v>
                </c:pt>
                <c:pt idx="80">
                  <c:v>8.4433542544603037E-3</c:v>
                </c:pt>
                <c:pt idx="81">
                  <c:v>4.7476188726872301E-3</c:v>
                </c:pt>
                <c:pt idx="82">
                  <c:v>5.9145286933340556E-3</c:v>
                </c:pt>
                <c:pt idx="83">
                  <c:v>6.9198678357209539E-3</c:v>
                </c:pt>
                <c:pt idx="84">
                  <c:v>4.9750599189009818E-3</c:v>
                </c:pt>
                <c:pt idx="85">
                  <c:v>8.1079543365748866E-3</c:v>
                </c:pt>
                <c:pt idx="86">
                  <c:v>5.6647756076923707E-3</c:v>
                </c:pt>
                <c:pt idx="87">
                  <c:v>6.2199223604070368E-3</c:v>
                </c:pt>
                <c:pt idx="88">
                  <c:v>2.1110826057952215E-3</c:v>
                </c:pt>
                <c:pt idx="89">
                  <c:v>9.9231347795583798E-4</c:v>
                </c:pt>
                <c:pt idx="90">
                  <c:v>3.6461461698311555E-3</c:v>
                </c:pt>
                <c:pt idx="91">
                  <c:v>6.6200941635670418E-3</c:v>
                </c:pt>
                <c:pt idx="92">
                  <c:v>1.1019411198489877E-2</c:v>
                </c:pt>
                <c:pt idx="93">
                  <c:v>7.8095450236542342E-3</c:v>
                </c:pt>
                <c:pt idx="94">
                  <c:v>5.8682189946982436E-3</c:v>
                </c:pt>
                <c:pt idx="95">
                  <c:v>6.8063345101289016E-3</c:v>
                </c:pt>
                <c:pt idx="96">
                  <c:v>3.0740277375233271E-3</c:v>
                </c:pt>
                <c:pt idx="97">
                  <c:v>2.7397435449554395E-3</c:v>
                </c:pt>
                <c:pt idx="98">
                  <c:v>3.3551374034967232E-3</c:v>
                </c:pt>
                <c:pt idx="99">
                  <c:v>8.6918051026305641E-4</c:v>
                </c:pt>
                <c:pt idx="100">
                  <c:v>2.5295658110483597E-3</c:v>
                </c:pt>
                <c:pt idx="101">
                  <c:v>2.2659774065078228E-3</c:v>
                </c:pt>
                <c:pt idx="102">
                  <c:v>4.6196965615187668E-3</c:v>
                </c:pt>
                <c:pt idx="103">
                  <c:v>8.0305923949065706E-3</c:v>
                </c:pt>
                <c:pt idx="104">
                  <c:v>7.6694545450852417E-3</c:v>
                </c:pt>
                <c:pt idx="105">
                  <c:v>7.2415590393128349E-3</c:v>
                </c:pt>
                <c:pt idx="106">
                  <c:v>5.7842225662269519E-3</c:v>
                </c:pt>
                <c:pt idx="107">
                  <c:v>6.3248591335011957E-3</c:v>
                </c:pt>
                <c:pt idx="108">
                  <c:v>9.2290030566909535E-3</c:v>
                </c:pt>
                <c:pt idx="109">
                  <c:v>1.4937268722635453E-2</c:v>
                </c:pt>
                <c:pt idx="110">
                  <c:v>1.4568792858201165E-2</c:v>
                </c:pt>
                <c:pt idx="111">
                  <c:v>1.2987342419986274E-2</c:v>
                </c:pt>
                <c:pt idx="112">
                  <c:v>1.1460006898045598E-2</c:v>
                </c:pt>
                <c:pt idx="113">
                  <c:v>1.0330465228189764E-2</c:v>
                </c:pt>
                <c:pt idx="114">
                  <c:v>6.5317285689601469E-3</c:v>
                </c:pt>
                <c:pt idx="115">
                  <c:v>6.6454981471489004E-3</c:v>
                </c:pt>
                <c:pt idx="116">
                  <c:v>5.0180994362262407E-3</c:v>
                </c:pt>
                <c:pt idx="117">
                  <c:v>3.4240673529332133E-3</c:v>
                </c:pt>
                <c:pt idx="118">
                  <c:v>2.1794272073780933E-3</c:v>
                </c:pt>
                <c:pt idx="119">
                  <c:v>6.6933753936377332E-3</c:v>
                </c:pt>
                <c:pt idx="120">
                  <c:v>6.1815013408207716E-3</c:v>
                </c:pt>
                <c:pt idx="121">
                  <c:v>7.2041133247203685E-3</c:v>
                </c:pt>
                <c:pt idx="122">
                  <c:v>1.5864261524107023E-3</c:v>
                </c:pt>
                <c:pt idx="123">
                  <c:v>2.9990335521851994E-3</c:v>
                </c:pt>
                <c:pt idx="124">
                  <c:v>4.2017031230758119E-3</c:v>
                </c:pt>
                <c:pt idx="125">
                  <c:v>7.7921059743495469E-3</c:v>
                </c:pt>
                <c:pt idx="126">
                  <c:v>5.8647843468352962E-3</c:v>
                </c:pt>
                <c:pt idx="127">
                  <c:v>4.2202545364147239E-3</c:v>
                </c:pt>
                <c:pt idx="128">
                  <c:v>6.3631459879189625E-3</c:v>
                </c:pt>
                <c:pt idx="129">
                  <c:v>6.1694909955772028E-3</c:v>
                </c:pt>
                <c:pt idx="130">
                  <c:v>6.4696043925238471E-3</c:v>
                </c:pt>
                <c:pt idx="131">
                  <c:v>7.6913749265300757E-3</c:v>
                </c:pt>
                <c:pt idx="132">
                  <c:v>8.7648438036161055E-4</c:v>
                </c:pt>
                <c:pt idx="133">
                  <c:v>2.729943650446931E-3</c:v>
                </c:pt>
                <c:pt idx="134">
                  <c:v>1.4845830669130474E-3</c:v>
                </c:pt>
                <c:pt idx="135">
                  <c:v>1.0800182281810195E-3</c:v>
                </c:pt>
                <c:pt idx="136">
                  <c:v>3.0429371967481342E-3</c:v>
                </c:pt>
                <c:pt idx="137">
                  <c:v>2.2614000289103275E-3</c:v>
                </c:pt>
                <c:pt idx="138">
                  <c:v>8.7063420596573491E-3</c:v>
                </c:pt>
                <c:pt idx="139">
                  <c:v>5.8992503004061114E-3</c:v>
                </c:pt>
                <c:pt idx="140">
                  <c:v>4.387701995641485E-3</c:v>
                </c:pt>
                <c:pt idx="141">
                  <c:v>7.1393882347892835E-3</c:v>
                </c:pt>
                <c:pt idx="142">
                  <c:v>3.9670885677815116E-3</c:v>
                </c:pt>
                <c:pt idx="143">
                  <c:v>4.9737164673516274E-3</c:v>
                </c:pt>
                <c:pt idx="144">
                  <c:v>3.9765262428003746E-4</c:v>
                </c:pt>
                <c:pt idx="145">
                  <c:v>2.4703643318690904E-3</c:v>
                </c:pt>
                <c:pt idx="146">
                  <c:v>5.724282176988206E-5</c:v>
                </c:pt>
                <c:pt idx="147">
                  <c:v>2.7408599650057455E-3</c:v>
                </c:pt>
                <c:pt idx="148">
                  <c:v>5.1797823309608585E-3</c:v>
                </c:pt>
                <c:pt idx="149">
                  <c:v>1.2531598327808965E-3</c:v>
                </c:pt>
                <c:pt idx="150">
                  <c:v>8.1607870144888382E-3</c:v>
                </c:pt>
                <c:pt idx="151">
                  <c:v>3.5597174679950321E-3</c:v>
                </c:pt>
                <c:pt idx="152">
                  <c:v>3.5604397111291177E-3</c:v>
                </c:pt>
                <c:pt idx="153">
                  <c:v>4.0661590663072147E-3</c:v>
                </c:pt>
                <c:pt idx="154">
                  <c:v>6.475015668036271E-3</c:v>
                </c:pt>
                <c:pt idx="155">
                  <c:v>3.3343849568062082E-3</c:v>
                </c:pt>
                <c:pt idx="156">
                  <c:v>2.524442157910041E-4</c:v>
                </c:pt>
                <c:pt idx="157">
                  <c:v>2.4391092041153827E-3</c:v>
                </c:pt>
                <c:pt idx="158">
                  <c:v>7.7844007877627894E-4</c:v>
                </c:pt>
                <c:pt idx="159">
                  <c:v>4.8690709550611756E-3</c:v>
                </c:pt>
                <c:pt idx="160">
                  <c:v>5.7458131755713411E-3</c:v>
                </c:pt>
                <c:pt idx="161">
                  <c:v>3.0269354820648678E-3</c:v>
                </c:pt>
                <c:pt idx="162">
                  <c:v>1.6037784024425308E-3</c:v>
                </c:pt>
                <c:pt idx="163">
                  <c:v>1.5440968634876529E-3</c:v>
                </c:pt>
                <c:pt idx="164">
                  <c:v>6.7784607715302408E-3</c:v>
                </c:pt>
                <c:pt idx="165">
                  <c:v>8.43762656094405E-3</c:v>
                </c:pt>
                <c:pt idx="166">
                  <c:v>2.7769122447733989E-3</c:v>
                </c:pt>
                <c:pt idx="167">
                  <c:v>6.6560869248340586E-3</c:v>
                </c:pt>
                <c:pt idx="168">
                  <c:v>4.8674051183888196E-3</c:v>
                </c:pt>
                <c:pt idx="169">
                  <c:v>9.8869726187534625E-4</c:v>
                </c:pt>
                <c:pt idx="170">
                  <c:v>5.091931526494415E-4</c:v>
                </c:pt>
                <c:pt idx="171">
                  <c:v>2.369190633589641E-3</c:v>
                </c:pt>
                <c:pt idx="172">
                  <c:v>2.7898185673615444E-3</c:v>
                </c:pt>
                <c:pt idx="173">
                  <c:v>2.3689230769116856E-3</c:v>
                </c:pt>
                <c:pt idx="174">
                  <c:v>2.7791485747526087E-3</c:v>
                </c:pt>
                <c:pt idx="175">
                  <c:v>4.9926967434165467E-3</c:v>
                </c:pt>
                <c:pt idx="176">
                  <c:v>5.4264878452677662E-3</c:v>
                </c:pt>
                <c:pt idx="177">
                  <c:v>1.6600226526148395E-3</c:v>
                </c:pt>
                <c:pt idx="178">
                  <c:v>3.2311075491943371E-3</c:v>
                </c:pt>
                <c:pt idx="179">
                  <c:v>4.1574961681411478E-3</c:v>
                </c:pt>
                <c:pt idx="180">
                  <c:v>8.0613178833038972E-3</c:v>
                </c:pt>
                <c:pt idx="181">
                  <c:v>6.374687454070274E-3</c:v>
                </c:pt>
                <c:pt idx="182">
                  <c:v>1.125011219031883E-2</c:v>
                </c:pt>
                <c:pt idx="183">
                  <c:v>1.4062028069041388E-2</c:v>
                </c:pt>
                <c:pt idx="184">
                  <c:v>1.4811607586887234E-2</c:v>
                </c:pt>
                <c:pt idx="185">
                  <c:v>1.2933634555464256E-2</c:v>
                </c:pt>
                <c:pt idx="186">
                  <c:v>1.3268034647735653E-2</c:v>
                </c:pt>
                <c:pt idx="187">
                  <c:v>1.3687359191602733E-2</c:v>
                </c:pt>
                <c:pt idx="188">
                  <c:v>1.2089085294913168E-2</c:v>
                </c:pt>
                <c:pt idx="189">
                  <c:v>1.0559595554284927E-2</c:v>
                </c:pt>
                <c:pt idx="190">
                  <c:v>1.4205358210127089E-2</c:v>
                </c:pt>
                <c:pt idx="191">
                  <c:v>1.320769407959028E-2</c:v>
                </c:pt>
                <c:pt idx="192">
                  <c:v>1.2126586432493147E-2</c:v>
                </c:pt>
                <c:pt idx="193">
                  <c:v>1.6843379594320827E-2</c:v>
                </c:pt>
                <c:pt idx="194">
                  <c:v>1.5540326500493792E-2</c:v>
                </c:pt>
                <c:pt idx="195">
                  <c:v>1.6133519225028693E-2</c:v>
                </c:pt>
                <c:pt idx="196">
                  <c:v>1.8706550523850188E-2</c:v>
                </c:pt>
                <c:pt idx="197">
                  <c:v>2.1853995575556416E-2</c:v>
                </c:pt>
                <c:pt idx="198">
                  <c:v>1.9307329443023127E-2</c:v>
                </c:pt>
                <c:pt idx="199">
                  <c:v>1.8946531278052223E-2</c:v>
                </c:pt>
                <c:pt idx="200">
                  <c:v>2.4934715046268287E-2</c:v>
                </c:pt>
                <c:pt idx="201">
                  <c:v>2.6301852584397763E-2</c:v>
                </c:pt>
                <c:pt idx="202">
                  <c:v>2.8753837900638596E-2</c:v>
                </c:pt>
                <c:pt idx="203">
                  <c:v>2.6719805855742761E-2</c:v>
                </c:pt>
                <c:pt idx="204">
                  <c:v>2.9169745347200755E-2</c:v>
                </c:pt>
                <c:pt idx="205">
                  <c:v>3.2582676316969747E-2</c:v>
                </c:pt>
                <c:pt idx="206">
                  <c:v>3.3132416564944381E-2</c:v>
                </c:pt>
                <c:pt idx="207">
                  <c:v>3.1264419509792508E-2</c:v>
                </c:pt>
                <c:pt idx="208">
                  <c:v>2.8699946319276144E-2</c:v>
                </c:pt>
                <c:pt idx="209">
                  <c:v>2.8417213678113527E-2</c:v>
                </c:pt>
                <c:pt idx="210">
                  <c:v>2.4415799000380191E-2</c:v>
                </c:pt>
                <c:pt idx="211">
                  <c:v>1.8955746122419008E-2</c:v>
                </c:pt>
                <c:pt idx="212">
                  <c:v>1.9902241087533853E-2</c:v>
                </c:pt>
                <c:pt idx="213">
                  <c:v>2.5169291141422502E-2</c:v>
                </c:pt>
                <c:pt idx="214">
                  <c:v>2.2398945504907602E-2</c:v>
                </c:pt>
                <c:pt idx="215">
                  <c:v>2.3803478219561594E-2</c:v>
                </c:pt>
                <c:pt idx="216">
                  <c:v>2.3857005043679609E-2</c:v>
                </c:pt>
                <c:pt idx="217">
                  <c:v>2.1479604732995806E-2</c:v>
                </c:pt>
                <c:pt idx="218">
                  <c:v>1.8600808781308327E-2</c:v>
                </c:pt>
                <c:pt idx="219">
                  <c:v>1.9879315428202746E-2</c:v>
                </c:pt>
                <c:pt idx="220">
                  <c:v>2.0826047898848322E-2</c:v>
                </c:pt>
                <c:pt idx="221">
                  <c:v>1.8737005123766928E-2</c:v>
                </c:pt>
                <c:pt idx="222">
                  <c:v>9.8968111175409719E-3</c:v>
                </c:pt>
                <c:pt idx="223">
                  <c:v>1.0562720477686588E-2</c:v>
                </c:pt>
                <c:pt idx="224">
                  <c:v>4.674104291996304E-3</c:v>
                </c:pt>
                <c:pt idx="225">
                  <c:v>8.0879773225644401E-3</c:v>
                </c:pt>
                <c:pt idx="226">
                  <c:v>2.8198984749089485E-3</c:v>
                </c:pt>
                <c:pt idx="227">
                  <c:v>3.405574802869786E-5</c:v>
                </c:pt>
                <c:pt idx="228">
                  <c:v>2.2836293761976587E-4</c:v>
                </c:pt>
                <c:pt idx="229">
                  <c:v>1.8160919037288215E-3</c:v>
                </c:pt>
                <c:pt idx="230">
                  <c:v>5.9127684030211604E-4</c:v>
                </c:pt>
                <c:pt idx="231">
                  <c:v>2.5366226318187645E-3</c:v>
                </c:pt>
                <c:pt idx="232">
                  <c:v>6.6988502990792086E-3</c:v>
                </c:pt>
                <c:pt idx="233">
                  <c:v>5.6661183722914125E-3</c:v>
                </c:pt>
                <c:pt idx="234">
                  <c:v>9.7776259840306468E-3</c:v>
                </c:pt>
                <c:pt idx="235">
                  <c:v>1.5833035237532732E-2</c:v>
                </c:pt>
                <c:pt idx="236">
                  <c:v>1.5510142772004992E-2</c:v>
                </c:pt>
                <c:pt idx="237">
                  <c:v>2.0847756651028684E-2</c:v>
                </c:pt>
                <c:pt idx="238">
                  <c:v>2.0446141331909178E-2</c:v>
                </c:pt>
                <c:pt idx="239">
                  <c:v>2.0729401576684011E-2</c:v>
                </c:pt>
                <c:pt idx="240">
                  <c:v>2.1381172640818798E-2</c:v>
                </c:pt>
                <c:pt idx="241">
                  <c:v>1.3183404495000045E-2</c:v>
                </c:pt>
                <c:pt idx="242">
                  <c:v>1.0836432934103416E-2</c:v>
                </c:pt>
                <c:pt idx="243">
                  <c:v>1.1794134984409408E-2</c:v>
                </c:pt>
                <c:pt idx="244">
                  <c:v>1.2982311594803252E-2</c:v>
                </c:pt>
                <c:pt idx="245">
                  <c:v>1.8266135472549634E-2</c:v>
                </c:pt>
                <c:pt idx="246">
                  <c:v>1.8407952392871602E-2</c:v>
                </c:pt>
                <c:pt idx="247">
                  <c:v>1.3817955617222395E-2</c:v>
                </c:pt>
                <c:pt idx="248">
                  <c:v>1.2601989631903971E-2</c:v>
                </c:pt>
                <c:pt idx="249">
                  <c:v>1.752406271991035E-2</c:v>
                </c:pt>
                <c:pt idx="250">
                  <c:v>1.1392027344633486E-2</c:v>
                </c:pt>
                <c:pt idx="251">
                  <c:v>1.1986226065216278E-2</c:v>
                </c:pt>
                <c:pt idx="252">
                  <c:v>1.3096726033972985E-2</c:v>
                </c:pt>
                <c:pt idx="253">
                  <c:v>2.0579727285655006E-2</c:v>
                </c:pt>
                <c:pt idx="254">
                  <c:v>1.8462649627697197E-2</c:v>
                </c:pt>
                <c:pt idx="255">
                  <c:v>2.1526615192019274E-2</c:v>
                </c:pt>
                <c:pt idx="256">
                  <c:v>2.1692513809431942E-2</c:v>
                </c:pt>
                <c:pt idx="257">
                  <c:v>2.1447696449026804E-2</c:v>
                </c:pt>
                <c:pt idx="258">
                  <c:v>1.945745819544601E-2</c:v>
                </c:pt>
                <c:pt idx="259">
                  <c:v>1.9432104890744366E-2</c:v>
                </c:pt>
                <c:pt idx="260">
                  <c:v>1.8180992361385179E-2</c:v>
                </c:pt>
                <c:pt idx="261">
                  <c:v>1.6639571502763101E-2</c:v>
                </c:pt>
                <c:pt idx="262">
                  <c:v>1.6892462311629601E-2</c:v>
                </c:pt>
                <c:pt idx="263">
                  <c:v>1.5674978237657077E-2</c:v>
                </c:pt>
                <c:pt idx="264">
                  <c:v>1.350513328669746E-2</c:v>
                </c:pt>
                <c:pt idx="265">
                  <c:v>1.6889564437084736E-2</c:v>
                </c:pt>
                <c:pt idx="266">
                  <c:v>1.4792830064933324E-2</c:v>
                </c:pt>
                <c:pt idx="267">
                  <c:v>1.7241718377261159E-2</c:v>
                </c:pt>
                <c:pt idx="268">
                  <c:v>1.6457726324911159E-2</c:v>
                </c:pt>
                <c:pt idx="269">
                  <c:v>9.0381814021481682E-3</c:v>
                </c:pt>
                <c:pt idx="270">
                  <c:v>5.5481732497453156E-3</c:v>
                </c:pt>
                <c:pt idx="271">
                  <c:v>2.5893002791063744E-3</c:v>
                </c:pt>
                <c:pt idx="272">
                  <c:v>3.891120978477932E-3</c:v>
                </c:pt>
                <c:pt idx="273">
                  <c:v>6.8780569092200105E-3</c:v>
                </c:pt>
                <c:pt idx="274">
                  <c:v>1.0952211391967243E-2</c:v>
                </c:pt>
                <c:pt idx="275">
                  <c:v>1.0883163911444817E-2</c:v>
                </c:pt>
                <c:pt idx="276">
                  <c:v>1.0568398690397699E-2</c:v>
                </c:pt>
                <c:pt idx="277">
                  <c:v>6.6559676237791694E-3</c:v>
                </c:pt>
                <c:pt idx="278">
                  <c:v>3.7909820392992809E-4</c:v>
                </c:pt>
                <c:pt idx="279">
                  <c:v>5.5856514646061882E-3</c:v>
                </c:pt>
                <c:pt idx="280">
                  <c:v>4.357894870419092E-4</c:v>
                </c:pt>
                <c:pt idx="281">
                  <c:v>2.4457114683682536E-3</c:v>
                </c:pt>
                <c:pt idx="282">
                  <c:v>2.2315281275012578E-3</c:v>
                </c:pt>
                <c:pt idx="283">
                  <c:v>8.7782604462414791E-3</c:v>
                </c:pt>
                <c:pt idx="284">
                  <c:v>8.3677694315252276E-3</c:v>
                </c:pt>
                <c:pt idx="285">
                  <c:v>8.8325356908086801E-3</c:v>
                </c:pt>
                <c:pt idx="286">
                  <c:v>6.1414421520736163E-3</c:v>
                </c:pt>
                <c:pt idx="287">
                  <c:v>9.5799402592479429E-3</c:v>
                </c:pt>
                <c:pt idx="288">
                  <c:v>1.4978082204798999E-2</c:v>
                </c:pt>
                <c:pt idx="289">
                  <c:v>1.180084814215179E-2</c:v>
                </c:pt>
                <c:pt idx="290">
                  <c:v>1.0141485484289536E-2</c:v>
                </c:pt>
                <c:pt idx="291">
                  <c:v>1.0082906206819491E-2</c:v>
                </c:pt>
                <c:pt idx="292">
                  <c:v>1.2516080063626962E-2</c:v>
                </c:pt>
                <c:pt idx="293">
                  <c:v>1.726572153572134E-2</c:v>
                </c:pt>
                <c:pt idx="294">
                  <c:v>2.0959606089970551E-2</c:v>
                </c:pt>
                <c:pt idx="295">
                  <c:v>2.4236676318407709E-2</c:v>
                </c:pt>
                <c:pt idx="296">
                  <c:v>2.6844381942307625E-2</c:v>
                </c:pt>
                <c:pt idx="297">
                  <c:v>2.9218131837657483E-2</c:v>
                </c:pt>
                <c:pt idx="298">
                  <c:v>3.3772886098576121E-2</c:v>
                </c:pt>
                <c:pt idx="299">
                  <c:v>2.8576868427169864E-2</c:v>
                </c:pt>
                <c:pt idx="300">
                  <c:v>2.378358818411172E-2</c:v>
                </c:pt>
                <c:pt idx="301">
                  <c:v>2.0841204932858865E-2</c:v>
                </c:pt>
                <c:pt idx="302">
                  <c:v>2.3888316833497129E-2</c:v>
                </c:pt>
                <c:pt idx="303">
                  <c:v>2.0616636277112611E-2</c:v>
                </c:pt>
                <c:pt idx="304">
                  <c:v>2.2271558281866364E-2</c:v>
                </c:pt>
                <c:pt idx="305">
                  <c:v>1.810506079876182E-2</c:v>
                </c:pt>
                <c:pt idx="306">
                  <c:v>2.4162286488634145E-2</c:v>
                </c:pt>
                <c:pt idx="307">
                  <c:v>2.3783727317301294E-2</c:v>
                </c:pt>
                <c:pt idx="308">
                  <c:v>1.9360410561764241E-2</c:v>
                </c:pt>
                <c:pt idx="309">
                  <c:v>1.9549845413648528E-2</c:v>
                </c:pt>
                <c:pt idx="310">
                  <c:v>2.1658703818285177E-2</c:v>
                </c:pt>
                <c:pt idx="311">
                  <c:v>2.5248280806775703E-2</c:v>
                </c:pt>
                <c:pt idx="312">
                  <c:v>2.8209491624927627E-2</c:v>
                </c:pt>
                <c:pt idx="313">
                  <c:v>2.7691987484962273E-2</c:v>
                </c:pt>
                <c:pt idx="314">
                  <c:v>3.4530457139933121E-2</c:v>
                </c:pt>
                <c:pt idx="315">
                  <c:v>3.0854211086497628E-2</c:v>
                </c:pt>
                <c:pt idx="316">
                  <c:v>3.1818634430286249E-2</c:v>
                </c:pt>
                <c:pt idx="317">
                  <c:v>2.9454139219990034E-2</c:v>
                </c:pt>
                <c:pt idx="318">
                  <c:v>2.6995973646497966E-2</c:v>
                </c:pt>
                <c:pt idx="319">
                  <c:v>2.8420879473388595E-2</c:v>
                </c:pt>
                <c:pt idx="320">
                  <c:v>2.7067835317286841E-2</c:v>
                </c:pt>
                <c:pt idx="321">
                  <c:v>2.1123153556558014E-2</c:v>
                </c:pt>
                <c:pt idx="322">
                  <c:v>2.3227948992509739E-2</c:v>
                </c:pt>
                <c:pt idx="323">
                  <c:v>2.4948763824775164E-2</c:v>
                </c:pt>
                <c:pt idx="324">
                  <c:v>2.4171500342027044E-2</c:v>
                </c:pt>
                <c:pt idx="325">
                  <c:v>2.6264279337077992E-2</c:v>
                </c:pt>
                <c:pt idx="326">
                  <c:v>2.9083178974199701E-2</c:v>
                </c:pt>
                <c:pt idx="327">
                  <c:v>3.0436422790799306E-2</c:v>
                </c:pt>
                <c:pt idx="328">
                  <c:v>2.801465468602158E-2</c:v>
                </c:pt>
                <c:pt idx="329">
                  <c:v>2.9089648024118162E-2</c:v>
                </c:pt>
                <c:pt idx="330">
                  <c:v>2.9268577091436682E-2</c:v>
                </c:pt>
                <c:pt idx="331">
                  <c:v>3.051098166429984E-2</c:v>
                </c:pt>
                <c:pt idx="332">
                  <c:v>2.4575020651716385E-2</c:v>
                </c:pt>
                <c:pt idx="333">
                  <c:v>2.6577685566412768E-2</c:v>
                </c:pt>
                <c:pt idx="334">
                  <c:v>3.2132500013161445E-2</c:v>
                </c:pt>
                <c:pt idx="335">
                  <c:v>3.3519493776118646E-2</c:v>
                </c:pt>
                <c:pt idx="336">
                  <c:v>3.097178196928381E-2</c:v>
                </c:pt>
                <c:pt idx="337">
                  <c:v>2.9822469957344718E-2</c:v>
                </c:pt>
                <c:pt idx="338">
                  <c:v>3.0432583745618774E-2</c:v>
                </c:pt>
                <c:pt idx="339">
                  <c:v>3.3404892305908901E-2</c:v>
                </c:pt>
                <c:pt idx="340">
                  <c:v>3.2021433837638835E-2</c:v>
                </c:pt>
                <c:pt idx="341">
                  <c:v>3.1627241993897354E-2</c:v>
                </c:pt>
                <c:pt idx="342">
                  <c:v>3.5850175366777419E-2</c:v>
                </c:pt>
                <c:pt idx="343">
                  <c:v>3.6942129025962625E-2</c:v>
                </c:pt>
                <c:pt idx="344">
                  <c:v>3.6055202977838222E-2</c:v>
                </c:pt>
                <c:pt idx="345">
                  <c:v>3.7943311895088455E-2</c:v>
                </c:pt>
                <c:pt idx="346">
                  <c:v>4.1379859264466148E-2</c:v>
                </c:pt>
                <c:pt idx="347">
                  <c:v>3.9735139414859323E-2</c:v>
                </c:pt>
                <c:pt idx="348">
                  <c:v>3.9247551782889856E-2</c:v>
                </c:pt>
                <c:pt idx="349">
                  <c:v>4.118533763146464E-2</c:v>
                </c:pt>
                <c:pt idx="350">
                  <c:v>4.2313664011020602E-2</c:v>
                </c:pt>
                <c:pt idx="351">
                  <c:v>4.2754738125581317E-2</c:v>
                </c:pt>
                <c:pt idx="352">
                  <c:v>4.5474440366898988E-2</c:v>
                </c:pt>
                <c:pt idx="353">
                  <c:v>4.9848511059391712E-2</c:v>
                </c:pt>
                <c:pt idx="354">
                  <c:v>5.6117977482933734E-2</c:v>
                </c:pt>
                <c:pt idx="355">
                  <c:v>5.8230163779662544E-2</c:v>
                </c:pt>
                <c:pt idx="356">
                  <c:v>5.8409259187645078E-2</c:v>
                </c:pt>
                <c:pt idx="357">
                  <c:v>5.7400044274307734E-2</c:v>
                </c:pt>
                <c:pt idx="358">
                  <c:v>5.3882982096338912E-2</c:v>
                </c:pt>
                <c:pt idx="359">
                  <c:v>4.9913616310052963E-2</c:v>
                </c:pt>
                <c:pt idx="360">
                  <c:v>4.7794155116191513E-2</c:v>
                </c:pt>
                <c:pt idx="361">
                  <c:v>4.6393202297753296E-2</c:v>
                </c:pt>
                <c:pt idx="362">
                  <c:v>5.1460380479894569E-2</c:v>
                </c:pt>
                <c:pt idx="363">
                  <c:v>5.0925594584543918E-2</c:v>
                </c:pt>
                <c:pt idx="364">
                  <c:v>5.2077974969809732E-2</c:v>
                </c:pt>
                <c:pt idx="365">
                  <c:v>5.1724146491823171E-2</c:v>
                </c:pt>
                <c:pt idx="366">
                  <c:v>6.0630729390395224E-2</c:v>
                </c:pt>
                <c:pt idx="367">
                  <c:v>5.8402621619727112E-2</c:v>
                </c:pt>
                <c:pt idx="368">
                  <c:v>5.7792052945208096E-2</c:v>
                </c:pt>
                <c:pt idx="369">
                  <c:v>5.9740391631057183E-2</c:v>
                </c:pt>
                <c:pt idx="370">
                  <c:v>6.1962187922088567E-2</c:v>
                </c:pt>
                <c:pt idx="371">
                  <c:v>6.2793967227358749E-2</c:v>
                </c:pt>
                <c:pt idx="372">
                  <c:v>6.229404052302482E-2</c:v>
                </c:pt>
                <c:pt idx="373">
                  <c:v>6.4037560416855099E-2</c:v>
                </c:pt>
                <c:pt idx="374">
                  <c:v>6.8998891519105265E-2</c:v>
                </c:pt>
                <c:pt idx="375">
                  <c:v>7.554285708715594E-2</c:v>
                </c:pt>
                <c:pt idx="376">
                  <c:v>6.8461702939320995E-2</c:v>
                </c:pt>
                <c:pt idx="377">
                  <c:v>6.6507142927289972E-2</c:v>
                </c:pt>
                <c:pt idx="378">
                  <c:v>7.0257485980441722E-2</c:v>
                </c:pt>
                <c:pt idx="379">
                  <c:v>6.839273625123507E-2</c:v>
                </c:pt>
                <c:pt idx="380">
                  <c:v>6.5947247431256295E-2</c:v>
                </c:pt>
                <c:pt idx="381">
                  <c:v>6.7361025421418919E-2</c:v>
                </c:pt>
                <c:pt idx="382">
                  <c:v>6.872986967987986E-2</c:v>
                </c:pt>
                <c:pt idx="383">
                  <c:v>7.0638211842419363E-2</c:v>
                </c:pt>
                <c:pt idx="384">
                  <c:v>7.2347011016586041E-2</c:v>
                </c:pt>
                <c:pt idx="385">
                  <c:v>7.1698451850297856E-2</c:v>
                </c:pt>
                <c:pt idx="386">
                  <c:v>7.3659447708074755E-2</c:v>
                </c:pt>
                <c:pt idx="387">
                  <c:v>7.5351513647546095E-2</c:v>
                </c:pt>
                <c:pt idx="388">
                  <c:v>7.1270882064321778E-2</c:v>
                </c:pt>
                <c:pt idx="389">
                  <c:v>7.0811627376818842E-2</c:v>
                </c:pt>
                <c:pt idx="390">
                  <c:v>7.591702006871813E-2</c:v>
                </c:pt>
                <c:pt idx="391">
                  <c:v>7.9332214336229626E-2</c:v>
                </c:pt>
                <c:pt idx="392">
                  <c:v>7.6626730248649549E-2</c:v>
                </c:pt>
                <c:pt idx="393">
                  <c:v>7.733349616634122E-2</c:v>
                </c:pt>
                <c:pt idx="394">
                  <c:v>7.4103184764040028E-2</c:v>
                </c:pt>
                <c:pt idx="395">
                  <c:v>7.5792967032291006E-2</c:v>
                </c:pt>
                <c:pt idx="396">
                  <c:v>6.9531877688951096E-2</c:v>
                </c:pt>
                <c:pt idx="397">
                  <c:v>7.3122959787319877E-2</c:v>
                </c:pt>
                <c:pt idx="398">
                  <c:v>7.5718562953824842E-2</c:v>
                </c:pt>
                <c:pt idx="399">
                  <c:v>7.1369886540421867E-2</c:v>
                </c:pt>
                <c:pt idx="400">
                  <c:v>7.2346554960545872E-2</c:v>
                </c:pt>
                <c:pt idx="401">
                  <c:v>7.8039428520693455E-2</c:v>
                </c:pt>
                <c:pt idx="402">
                  <c:v>8.1960967006467461E-2</c:v>
                </c:pt>
                <c:pt idx="403">
                  <c:v>8.1766229909680438E-2</c:v>
                </c:pt>
                <c:pt idx="404">
                  <c:v>7.9144337918993155E-2</c:v>
                </c:pt>
                <c:pt idx="405">
                  <c:v>7.8845846317523713E-2</c:v>
                </c:pt>
                <c:pt idx="406">
                  <c:v>8.363238489114809E-2</c:v>
                </c:pt>
                <c:pt idx="407">
                  <c:v>8.366509034063703E-2</c:v>
                </c:pt>
                <c:pt idx="408">
                  <c:v>8.8863557490331105E-2</c:v>
                </c:pt>
                <c:pt idx="409">
                  <c:v>9.276274818813246E-2</c:v>
                </c:pt>
                <c:pt idx="410">
                  <c:v>9.3045663906626691E-2</c:v>
                </c:pt>
                <c:pt idx="411">
                  <c:v>0.10155562522525614</c:v>
                </c:pt>
                <c:pt idx="412">
                  <c:v>0.10169260195610223</c:v>
                </c:pt>
                <c:pt idx="413">
                  <c:v>9.886093737759051E-2</c:v>
                </c:pt>
                <c:pt idx="414">
                  <c:v>9.9678152727671526E-2</c:v>
                </c:pt>
                <c:pt idx="415">
                  <c:v>9.8927872471248873E-2</c:v>
                </c:pt>
                <c:pt idx="416">
                  <c:v>0.1009152852837991</c:v>
                </c:pt>
                <c:pt idx="417">
                  <c:v>9.4179773925314722E-2</c:v>
                </c:pt>
                <c:pt idx="418">
                  <c:v>9.3436360737129201E-2</c:v>
                </c:pt>
                <c:pt idx="419">
                  <c:v>9.5346065056968021E-2</c:v>
                </c:pt>
                <c:pt idx="420">
                  <c:v>9.2794920978980275E-2</c:v>
                </c:pt>
                <c:pt idx="421">
                  <c:v>9.4988311557197863E-2</c:v>
                </c:pt>
                <c:pt idx="422">
                  <c:v>9.1803326481922465E-2</c:v>
                </c:pt>
                <c:pt idx="423">
                  <c:v>9.3723704012876413E-2</c:v>
                </c:pt>
                <c:pt idx="424">
                  <c:v>9.5230478431262366E-2</c:v>
                </c:pt>
                <c:pt idx="425">
                  <c:v>9.5559803024096945E-2</c:v>
                </c:pt>
                <c:pt idx="426">
                  <c:v>0.10158434682588678</c:v>
                </c:pt>
                <c:pt idx="427">
                  <c:v>0.10640913980725383</c:v>
                </c:pt>
                <c:pt idx="428">
                  <c:v>0.10810007229260152</c:v>
                </c:pt>
                <c:pt idx="429">
                  <c:v>0.10778906949986571</c:v>
                </c:pt>
                <c:pt idx="430">
                  <c:v>0.10611717706766827</c:v>
                </c:pt>
                <c:pt idx="431">
                  <c:v>0.10506182545129185</c:v>
                </c:pt>
                <c:pt idx="432">
                  <c:v>0.10513677272399743</c:v>
                </c:pt>
                <c:pt idx="433">
                  <c:v>0.1101022650294626</c:v>
                </c:pt>
                <c:pt idx="434">
                  <c:v>0.11465441892316484</c:v>
                </c:pt>
                <c:pt idx="435">
                  <c:v>0.11295830573316071</c:v>
                </c:pt>
                <c:pt idx="436">
                  <c:v>0.11493391669937036</c:v>
                </c:pt>
                <c:pt idx="437">
                  <c:v>0.11799770223265756</c:v>
                </c:pt>
                <c:pt idx="438">
                  <c:v>0.11455134746693481</c:v>
                </c:pt>
                <c:pt idx="439">
                  <c:v>0.12201758955623292</c:v>
                </c:pt>
                <c:pt idx="440">
                  <c:v>0.12267123351214215</c:v>
                </c:pt>
                <c:pt idx="441">
                  <c:v>0.12468814103487211</c:v>
                </c:pt>
                <c:pt idx="442">
                  <c:v>0.12459313055813104</c:v>
                </c:pt>
                <c:pt idx="443">
                  <c:v>0.11860807438750702</c:v>
                </c:pt>
                <c:pt idx="444">
                  <c:v>0.12488911824399951</c:v>
                </c:pt>
                <c:pt idx="445">
                  <c:v>0.12405238422290529</c:v>
                </c:pt>
                <c:pt idx="446">
                  <c:v>0.12150966289887805</c:v>
                </c:pt>
                <c:pt idx="447">
                  <c:v>0.12154998774407791</c:v>
                </c:pt>
                <c:pt idx="448">
                  <c:v>0.12515261661519181</c:v>
                </c:pt>
                <c:pt idx="449">
                  <c:v>0.12466013680853195</c:v>
                </c:pt>
                <c:pt idx="450">
                  <c:v>0.12599065428712142</c:v>
                </c:pt>
                <c:pt idx="451">
                  <c:v>0.12315404657439154</c:v>
                </c:pt>
                <c:pt idx="452">
                  <c:v>0.1173277933437713</c:v>
                </c:pt>
                <c:pt idx="453">
                  <c:v>0.11541983299345691</c:v>
                </c:pt>
                <c:pt idx="454">
                  <c:v>0.11659845393270891</c:v>
                </c:pt>
                <c:pt idx="455">
                  <c:v>0.11983152815197796</c:v>
                </c:pt>
                <c:pt idx="456">
                  <c:v>0.11917443134197957</c:v>
                </c:pt>
                <c:pt idx="457">
                  <c:v>0.11908753396343227</c:v>
                </c:pt>
                <c:pt idx="458">
                  <c:v>0.11764084314095444</c:v>
                </c:pt>
                <c:pt idx="459">
                  <c:v>0.1195100134243616</c:v>
                </c:pt>
                <c:pt idx="460">
                  <c:v>0.12231837172182411</c:v>
                </c:pt>
                <c:pt idx="461">
                  <c:v>0.11985105241065584</c:v>
                </c:pt>
                <c:pt idx="462">
                  <c:v>0.11745514537077274</c:v>
                </c:pt>
                <c:pt idx="463">
                  <c:v>0.12027905486645424</c:v>
                </c:pt>
                <c:pt idx="464">
                  <c:v>0.12067858299358279</c:v>
                </c:pt>
                <c:pt idx="465">
                  <c:v>0.11558317867920312</c:v>
                </c:pt>
                <c:pt idx="466">
                  <c:v>0.10921131211154742</c:v>
                </c:pt>
                <c:pt idx="467">
                  <c:v>0.10996328929722171</c:v>
                </c:pt>
                <c:pt idx="468">
                  <c:v>0.11323203329716812</c:v>
                </c:pt>
                <c:pt idx="469">
                  <c:v>0.11117064118177047</c:v>
                </c:pt>
                <c:pt idx="470">
                  <c:v>0.11256955357889925</c:v>
                </c:pt>
                <c:pt idx="471">
                  <c:v>0.11239781500473595</c:v>
                </c:pt>
                <c:pt idx="472">
                  <c:v>0.11044171628281366</c:v>
                </c:pt>
                <c:pt idx="473">
                  <c:v>0.10867498082521128</c:v>
                </c:pt>
                <c:pt idx="474">
                  <c:v>0.11317643672114162</c:v>
                </c:pt>
                <c:pt idx="475">
                  <c:v>0.10953127888592927</c:v>
                </c:pt>
                <c:pt idx="476">
                  <c:v>0.1128204718049514</c:v>
                </c:pt>
                <c:pt idx="477">
                  <c:v>0.11033797070940012</c:v>
                </c:pt>
                <c:pt idx="478">
                  <c:v>0.10803161660116789</c:v>
                </c:pt>
                <c:pt idx="479">
                  <c:v>0.10966701012214042</c:v>
                </c:pt>
                <c:pt idx="480">
                  <c:v>0.10625967976455886</c:v>
                </c:pt>
                <c:pt idx="481">
                  <c:v>0.10331372060502399</c:v>
                </c:pt>
                <c:pt idx="482">
                  <c:v>0.10766692510437278</c:v>
                </c:pt>
                <c:pt idx="483">
                  <c:v>0.10834457588256209</c:v>
                </c:pt>
                <c:pt idx="484">
                  <c:v>0.1049318892292244</c:v>
                </c:pt>
                <c:pt idx="485">
                  <c:v>0.10128733572032203</c:v>
                </c:pt>
                <c:pt idx="486">
                  <c:v>0.10586017374185258</c:v>
                </c:pt>
                <c:pt idx="487">
                  <c:v>0.10245759792443977</c:v>
                </c:pt>
                <c:pt idx="488">
                  <c:v>0.10312601654377522</c:v>
                </c:pt>
                <c:pt idx="489">
                  <c:v>0.10075188225122138</c:v>
                </c:pt>
                <c:pt idx="490">
                  <c:v>9.4139435340626354E-2</c:v>
                </c:pt>
                <c:pt idx="491">
                  <c:v>9.2452384044427058E-2</c:v>
                </c:pt>
                <c:pt idx="492">
                  <c:v>8.824769019098716E-2</c:v>
                </c:pt>
                <c:pt idx="493">
                  <c:v>9.1210992383379513E-2</c:v>
                </c:pt>
                <c:pt idx="494">
                  <c:v>9.1277257037672643E-2</c:v>
                </c:pt>
                <c:pt idx="495">
                  <c:v>9.130192002282525E-2</c:v>
                </c:pt>
                <c:pt idx="496">
                  <c:v>8.8720241126112265E-2</c:v>
                </c:pt>
                <c:pt idx="497">
                  <c:v>8.6054587184879489E-2</c:v>
                </c:pt>
                <c:pt idx="498">
                  <c:v>8.3500744775989746E-2</c:v>
                </c:pt>
                <c:pt idx="499">
                  <c:v>7.8005426230476238E-2</c:v>
                </c:pt>
                <c:pt idx="500">
                  <c:v>7.8596822809564551E-2</c:v>
                </c:pt>
                <c:pt idx="501">
                  <c:v>7.5704184418661183E-2</c:v>
                </c:pt>
                <c:pt idx="502">
                  <c:v>8.0769458266498576E-2</c:v>
                </c:pt>
                <c:pt idx="503">
                  <c:v>7.79423799590373E-2</c:v>
                </c:pt>
                <c:pt idx="504">
                  <c:v>7.8431168814116825E-2</c:v>
                </c:pt>
                <c:pt idx="505">
                  <c:v>7.8494635379907834E-2</c:v>
                </c:pt>
                <c:pt idx="506">
                  <c:v>8.5465010077156012E-2</c:v>
                </c:pt>
                <c:pt idx="507">
                  <c:v>8.3300562221987451E-2</c:v>
                </c:pt>
                <c:pt idx="508">
                  <c:v>8.5790301738257774E-2</c:v>
                </c:pt>
                <c:pt idx="509">
                  <c:v>8.4606636597968132E-2</c:v>
                </c:pt>
                <c:pt idx="510">
                  <c:v>8.676543307418573E-2</c:v>
                </c:pt>
                <c:pt idx="511">
                  <c:v>8.6027979867152049E-2</c:v>
                </c:pt>
                <c:pt idx="512">
                  <c:v>8.312829022956511E-2</c:v>
                </c:pt>
                <c:pt idx="513">
                  <c:v>8.013201128866565E-2</c:v>
                </c:pt>
                <c:pt idx="514">
                  <c:v>8.0418670936922912E-2</c:v>
                </c:pt>
                <c:pt idx="515">
                  <c:v>7.8905040277562552E-2</c:v>
                </c:pt>
                <c:pt idx="516">
                  <c:v>8.1242621599142986E-2</c:v>
                </c:pt>
                <c:pt idx="517">
                  <c:v>8.1895194097344554E-2</c:v>
                </c:pt>
                <c:pt idx="518">
                  <c:v>8.2943165828809701E-2</c:v>
                </c:pt>
                <c:pt idx="519">
                  <c:v>8.0391806227030238E-2</c:v>
                </c:pt>
                <c:pt idx="520">
                  <c:v>8.0923672469316421E-2</c:v>
                </c:pt>
                <c:pt idx="521">
                  <c:v>8.5204328150247532E-2</c:v>
                </c:pt>
                <c:pt idx="522">
                  <c:v>8.5721425450985378E-2</c:v>
                </c:pt>
                <c:pt idx="523">
                  <c:v>8.1679504190187116E-2</c:v>
                </c:pt>
                <c:pt idx="524">
                  <c:v>8.0147774477252312E-2</c:v>
                </c:pt>
                <c:pt idx="525">
                  <c:v>7.6060664138129425E-2</c:v>
                </c:pt>
                <c:pt idx="526">
                  <c:v>7.5400709534241495E-2</c:v>
                </c:pt>
                <c:pt idx="527">
                  <c:v>7.8007729910327867E-2</c:v>
                </c:pt>
                <c:pt idx="528">
                  <c:v>7.6317653720312364E-2</c:v>
                </c:pt>
                <c:pt idx="529">
                  <c:v>8.3636704101189174E-2</c:v>
                </c:pt>
                <c:pt idx="530">
                  <c:v>7.7946785656611284E-2</c:v>
                </c:pt>
                <c:pt idx="531">
                  <c:v>8.0926879927393655E-2</c:v>
                </c:pt>
                <c:pt idx="532">
                  <c:v>8.0087102101505908E-2</c:v>
                </c:pt>
                <c:pt idx="533">
                  <c:v>7.7925044098758389E-2</c:v>
                </c:pt>
                <c:pt idx="534">
                  <c:v>7.6832736707237878E-2</c:v>
                </c:pt>
                <c:pt idx="535">
                  <c:v>7.9357441181287347E-2</c:v>
                </c:pt>
                <c:pt idx="536">
                  <c:v>8.4046930559105504E-2</c:v>
                </c:pt>
                <c:pt idx="537">
                  <c:v>8.132051273927883E-2</c:v>
                </c:pt>
                <c:pt idx="538">
                  <c:v>7.8644386809403041E-2</c:v>
                </c:pt>
                <c:pt idx="539">
                  <c:v>7.5679583936336711E-2</c:v>
                </c:pt>
                <c:pt idx="540">
                  <c:v>6.9444787054786808E-2</c:v>
                </c:pt>
                <c:pt idx="541">
                  <c:v>6.9613946218905792E-2</c:v>
                </c:pt>
                <c:pt idx="542">
                  <c:v>6.5119111511940497E-2</c:v>
                </c:pt>
                <c:pt idx="543">
                  <c:v>6.0756374366655333E-2</c:v>
                </c:pt>
                <c:pt idx="544">
                  <c:v>6.1215802827010932E-2</c:v>
                </c:pt>
                <c:pt idx="545">
                  <c:v>6.02106967294464E-2</c:v>
                </c:pt>
                <c:pt idx="546">
                  <c:v>6.5415370932900702E-2</c:v>
                </c:pt>
                <c:pt idx="547">
                  <c:v>7.0754290551290816E-2</c:v>
                </c:pt>
                <c:pt idx="548">
                  <c:v>7.0214403135888032E-2</c:v>
                </c:pt>
                <c:pt idx="549">
                  <c:v>7.1874321206305478E-2</c:v>
                </c:pt>
                <c:pt idx="550">
                  <c:v>7.4138024885206266E-2</c:v>
                </c:pt>
                <c:pt idx="551">
                  <c:v>7.3591110848275937E-2</c:v>
                </c:pt>
                <c:pt idx="552">
                  <c:v>7.7680199823490254E-2</c:v>
                </c:pt>
                <c:pt idx="553">
                  <c:v>7.666074486092643E-2</c:v>
                </c:pt>
                <c:pt idx="554">
                  <c:v>7.855392144634385E-2</c:v>
                </c:pt>
                <c:pt idx="555">
                  <c:v>7.9116375735599404E-2</c:v>
                </c:pt>
                <c:pt idx="556">
                  <c:v>8.0719225154135293E-2</c:v>
                </c:pt>
                <c:pt idx="557">
                  <c:v>8.2742534989119765E-2</c:v>
                </c:pt>
                <c:pt idx="558">
                  <c:v>8.4171755585750019E-2</c:v>
                </c:pt>
                <c:pt idx="559">
                  <c:v>8.4469610340733497E-2</c:v>
                </c:pt>
                <c:pt idx="560">
                  <c:v>8.0927614505220985E-2</c:v>
                </c:pt>
                <c:pt idx="561">
                  <c:v>8.4129814285794857E-2</c:v>
                </c:pt>
                <c:pt idx="562">
                  <c:v>8.6475791951673917E-2</c:v>
                </c:pt>
                <c:pt idx="563">
                  <c:v>8.6479873716499539E-2</c:v>
                </c:pt>
                <c:pt idx="564">
                  <c:v>9.135236429335751E-2</c:v>
                </c:pt>
                <c:pt idx="565">
                  <c:v>9.0121771762114E-2</c:v>
                </c:pt>
                <c:pt idx="566">
                  <c:v>8.9881145773110391E-2</c:v>
                </c:pt>
                <c:pt idx="567">
                  <c:v>9.3015806275836291E-2</c:v>
                </c:pt>
                <c:pt idx="568">
                  <c:v>8.992093844140904E-2</c:v>
                </c:pt>
                <c:pt idx="569">
                  <c:v>8.8750179478996091E-2</c:v>
                </c:pt>
                <c:pt idx="570">
                  <c:v>9.548884486750242E-2</c:v>
                </c:pt>
                <c:pt idx="571">
                  <c:v>9.7380690061283692E-2</c:v>
                </c:pt>
                <c:pt idx="572">
                  <c:v>9.9171838258835465E-2</c:v>
                </c:pt>
                <c:pt idx="573">
                  <c:v>9.7799206540147607E-2</c:v>
                </c:pt>
                <c:pt idx="574">
                  <c:v>9.9738392954964297E-2</c:v>
                </c:pt>
                <c:pt idx="575">
                  <c:v>9.7245996532892107E-2</c:v>
                </c:pt>
                <c:pt idx="576">
                  <c:v>9.7252750767030896E-2</c:v>
                </c:pt>
                <c:pt idx="577">
                  <c:v>9.7818656238954596E-2</c:v>
                </c:pt>
                <c:pt idx="578">
                  <c:v>0.10703312128728949</c:v>
                </c:pt>
                <c:pt idx="579">
                  <c:v>0.10329059654641679</c:v>
                </c:pt>
                <c:pt idx="580">
                  <c:v>9.6495674773779849E-2</c:v>
                </c:pt>
                <c:pt idx="581">
                  <c:v>8.8395597008129378E-2</c:v>
                </c:pt>
                <c:pt idx="582">
                  <c:v>8.2791574101204149E-2</c:v>
                </c:pt>
                <c:pt idx="583">
                  <c:v>8.215104635783757E-2</c:v>
                </c:pt>
                <c:pt idx="584">
                  <c:v>8.3065054257987922E-2</c:v>
                </c:pt>
                <c:pt idx="585">
                  <c:v>8.472780947924774E-2</c:v>
                </c:pt>
                <c:pt idx="586">
                  <c:v>8.2818096035119734E-2</c:v>
                </c:pt>
                <c:pt idx="587">
                  <c:v>8.2246460474248426E-2</c:v>
                </c:pt>
                <c:pt idx="588">
                  <c:v>8.4022534792984202E-2</c:v>
                </c:pt>
                <c:pt idx="589">
                  <c:v>8.7191979638133549E-2</c:v>
                </c:pt>
                <c:pt idx="590">
                  <c:v>9.0590873633281291E-2</c:v>
                </c:pt>
                <c:pt idx="591">
                  <c:v>8.7159445198766172E-2</c:v>
                </c:pt>
                <c:pt idx="592">
                  <c:v>8.9201809815351932E-2</c:v>
                </c:pt>
                <c:pt idx="593">
                  <c:v>9.2804294489807648E-2</c:v>
                </c:pt>
                <c:pt idx="594">
                  <c:v>9.4815176694181033E-2</c:v>
                </c:pt>
                <c:pt idx="595">
                  <c:v>9.3305923723836823E-2</c:v>
                </c:pt>
                <c:pt idx="596">
                  <c:v>8.9661050773863146E-2</c:v>
                </c:pt>
                <c:pt idx="597">
                  <c:v>8.5545945313341004E-2</c:v>
                </c:pt>
                <c:pt idx="598">
                  <c:v>8.1732288256396626E-2</c:v>
                </c:pt>
                <c:pt idx="599">
                  <c:v>8.3720707053046295E-2</c:v>
                </c:pt>
                <c:pt idx="600">
                  <c:v>8.2362771018910652E-2</c:v>
                </c:pt>
                <c:pt idx="601">
                  <c:v>7.7609274869462896E-2</c:v>
                </c:pt>
                <c:pt idx="602">
                  <c:v>7.5723171010832827E-2</c:v>
                </c:pt>
                <c:pt idx="603">
                  <c:v>7.202368283613779E-2</c:v>
                </c:pt>
                <c:pt idx="604">
                  <c:v>6.8900393145422137E-2</c:v>
                </c:pt>
                <c:pt idx="605">
                  <c:v>6.6580457997187703E-2</c:v>
                </c:pt>
                <c:pt idx="606">
                  <c:v>6.9111435212926092E-2</c:v>
                </c:pt>
                <c:pt idx="607">
                  <c:v>7.1218838698810794E-2</c:v>
                </c:pt>
                <c:pt idx="608">
                  <c:v>7.2502929607716482E-2</c:v>
                </c:pt>
                <c:pt idx="609">
                  <c:v>7.0393883732031537E-2</c:v>
                </c:pt>
                <c:pt idx="610">
                  <c:v>7.1384465556908347E-2</c:v>
                </c:pt>
                <c:pt idx="611">
                  <c:v>6.9867230714882753E-2</c:v>
                </c:pt>
                <c:pt idx="612">
                  <c:v>7.3332736162104478E-2</c:v>
                </c:pt>
                <c:pt idx="613">
                  <c:v>7.2652248277201487E-2</c:v>
                </c:pt>
                <c:pt idx="614">
                  <c:v>7.279748664107516E-2</c:v>
                </c:pt>
                <c:pt idx="615">
                  <c:v>7.0915053236092609E-2</c:v>
                </c:pt>
                <c:pt idx="616">
                  <c:v>7.1849613523704739E-2</c:v>
                </c:pt>
                <c:pt idx="617">
                  <c:v>7.1364284970441005E-2</c:v>
                </c:pt>
                <c:pt idx="618">
                  <c:v>7.1369509438469106E-2</c:v>
                </c:pt>
                <c:pt idx="619">
                  <c:v>7.1313520819313997E-2</c:v>
                </c:pt>
                <c:pt idx="620">
                  <c:v>6.7272730399156683E-2</c:v>
                </c:pt>
                <c:pt idx="621">
                  <c:v>6.1754154454348169E-2</c:v>
                </c:pt>
                <c:pt idx="622">
                  <c:v>6.688805158777468E-2</c:v>
                </c:pt>
                <c:pt idx="623">
                  <c:v>6.4280549732009196E-2</c:v>
                </c:pt>
                <c:pt idx="624">
                  <c:v>5.8848867851069492E-2</c:v>
                </c:pt>
                <c:pt idx="625">
                  <c:v>5.7054832230176274E-2</c:v>
                </c:pt>
                <c:pt idx="626">
                  <c:v>6.165696132949746E-2</c:v>
                </c:pt>
                <c:pt idx="627">
                  <c:v>6.2724156115979979E-2</c:v>
                </c:pt>
                <c:pt idx="628">
                  <c:v>6.4587236952365346E-2</c:v>
                </c:pt>
                <c:pt idx="629">
                  <c:v>6.2884033065709499E-2</c:v>
                </c:pt>
                <c:pt idx="630">
                  <c:v>6.1477407291917655E-2</c:v>
                </c:pt>
                <c:pt idx="631">
                  <c:v>5.8717962657860029E-2</c:v>
                </c:pt>
                <c:pt idx="632">
                  <c:v>5.2571709166568677E-2</c:v>
                </c:pt>
                <c:pt idx="633">
                  <c:v>5.5342922181360762E-2</c:v>
                </c:pt>
                <c:pt idx="634">
                  <c:v>5.2309292290376626E-2</c:v>
                </c:pt>
                <c:pt idx="635">
                  <c:v>5.3250629114871585E-2</c:v>
                </c:pt>
                <c:pt idx="636">
                  <c:v>4.9069887885311608E-2</c:v>
                </c:pt>
                <c:pt idx="637">
                  <c:v>5.0602089072601539E-2</c:v>
                </c:pt>
                <c:pt idx="638">
                  <c:v>5.3877672495991881E-2</c:v>
                </c:pt>
                <c:pt idx="639">
                  <c:v>5.5919507743436146E-2</c:v>
                </c:pt>
                <c:pt idx="640">
                  <c:v>5.4380362100509658E-2</c:v>
                </c:pt>
                <c:pt idx="641">
                  <c:v>5.7999215455235946E-2</c:v>
                </c:pt>
                <c:pt idx="642">
                  <c:v>5.9751720147072071E-2</c:v>
                </c:pt>
                <c:pt idx="643">
                  <c:v>5.9579906236864641E-2</c:v>
                </c:pt>
                <c:pt idx="644">
                  <c:v>6.2205429696844054E-2</c:v>
                </c:pt>
                <c:pt idx="645">
                  <c:v>6.3003297362024355E-2</c:v>
                </c:pt>
                <c:pt idx="646">
                  <c:v>5.4696609924863263E-2</c:v>
                </c:pt>
                <c:pt idx="647">
                  <c:v>5.6265649065541934E-2</c:v>
                </c:pt>
                <c:pt idx="648">
                  <c:v>5.1518178561759401E-2</c:v>
                </c:pt>
                <c:pt idx="649">
                  <c:v>5.3710127087758908E-2</c:v>
                </c:pt>
                <c:pt idx="650">
                  <c:v>5.1280063426833195E-2</c:v>
                </c:pt>
                <c:pt idx="651">
                  <c:v>5.1982457023842681E-2</c:v>
                </c:pt>
                <c:pt idx="652">
                  <c:v>5.1111671773357577E-2</c:v>
                </c:pt>
                <c:pt idx="653">
                  <c:v>4.9348355274931498E-2</c:v>
                </c:pt>
                <c:pt idx="654">
                  <c:v>4.6976491060363182E-2</c:v>
                </c:pt>
                <c:pt idx="655">
                  <c:v>4.8639245350843775E-2</c:v>
                </c:pt>
                <c:pt idx="656">
                  <c:v>4.6110861094111541E-2</c:v>
                </c:pt>
                <c:pt idx="657">
                  <c:v>4.7390734471315532E-2</c:v>
                </c:pt>
                <c:pt idx="658">
                  <c:v>4.7933135656073371E-2</c:v>
                </c:pt>
                <c:pt idx="659">
                  <c:v>4.1374196808473367E-2</c:v>
                </c:pt>
                <c:pt idx="660">
                  <c:v>3.9858695138249814E-2</c:v>
                </c:pt>
                <c:pt idx="661">
                  <c:v>4.352714149892889E-2</c:v>
                </c:pt>
                <c:pt idx="662">
                  <c:v>4.6933124330719458E-2</c:v>
                </c:pt>
                <c:pt idx="663">
                  <c:v>4.589567487932323E-2</c:v>
                </c:pt>
                <c:pt idx="664">
                  <c:v>4.5092667138469156E-2</c:v>
                </c:pt>
                <c:pt idx="665">
                  <c:v>4.2653238898890077E-2</c:v>
                </c:pt>
                <c:pt idx="666">
                  <c:v>4.1775906237904885E-2</c:v>
                </c:pt>
                <c:pt idx="667">
                  <c:v>4.6137814320065931E-2</c:v>
                </c:pt>
                <c:pt idx="668">
                  <c:v>4.9119725862829408E-2</c:v>
                </c:pt>
                <c:pt idx="669">
                  <c:v>4.7837149679092889E-2</c:v>
                </c:pt>
                <c:pt idx="670">
                  <c:v>4.4380008652988294E-2</c:v>
                </c:pt>
                <c:pt idx="671">
                  <c:v>4.2617209069671445E-2</c:v>
                </c:pt>
                <c:pt idx="672">
                  <c:v>4.9421904060348007E-2</c:v>
                </c:pt>
                <c:pt idx="673">
                  <c:v>4.7659017796811608E-2</c:v>
                </c:pt>
                <c:pt idx="674">
                  <c:v>5.3812736227142964E-2</c:v>
                </c:pt>
                <c:pt idx="675">
                  <c:v>5.2661643121640789E-2</c:v>
                </c:pt>
                <c:pt idx="676">
                  <c:v>5.0940044235550715E-2</c:v>
                </c:pt>
                <c:pt idx="677">
                  <c:v>5.2590276059140205E-2</c:v>
                </c:pt>
                <c:pt idx="678">
                  <c:v>5.2337474425974508E-2</c:v>
                </c:pt>
                <c:pt idx="679">
                  <c:v>5.4453714506382575E-2</c:v>
                </c:pt>
                <c:pt idx="680">
                  <c:v>5.1728127341332274E-2</c:v>
                </c:pt>
                <c:pt idx="681">
                  <c:v>4.9949213693703892E-2</c:v>
                </c:pt>
                <c:pt idx="682">
                  <c:v>5.0702443244771467E-2</c:v>
                </c:pt>
                <c:pt idx="683">
                  <c:v>4.4582680275968435E-2</c:v>
                </c:pt>
                <c:pt idx="684">
                  <c:v>4.5456925650766304E-2</c:v>
                </c:pt>
                <c:pt idx="685">
                  <c:v>4.4300092281150422E-2</c:v>
                </c:pt>
                <c:pt idx="686">
                  <c:v>3.9172014703962615E-2</c:v>
                </c:pt>
                <c:pt idx="687">
                  <c:v>4.1838578107476466E-2</c:v>
                </c:pt>
                <c:pt idx="688">
                  <c:v>3.8842332485512374E-2</c:v>
                </c:pt>
                <c:pt idx="689">
                  <c:v>3.8645457074633405E-2</c:v>
                </c:pt>
                <c:pt idx="690">
                  <c:v>3.7343987515068101E-2</c:v>
                </c:pt>
                <c:pt idx="691">
                  <c:v>3.7468935854007235E-2</c:v>
                </c:pt>
                <c:pt idx="692">
                  <c:v>3.7863544229358392E-2</c:v>
                </c:pt>
                <c:pt idx="693">
                  <c:v>3.7807175132803787E-2</c:v>
                </c:pt>
                <c:pt idx="694">
                  <c:v>3.3861099730407643E-2</c:v>
                </c:pt>
                <c:pt idx="695">
                  <c:v>3.3473015160694668E-2</c:v>
                </c:pt>
                <c:pt idx="696">
                  <c:v>3.0838403942406743E-2</c:v>
                </c:pt>
                <c:pt idx="697">
                  <c:v>3.2618488751532407E-2</c:v>
                </c:pt>
                <c:pt idx="698">
                  <c:v>2.8496484255008604E-2</c:v>
                </c:pt>
                <c:pt idx="699">
                  <c:v>2.9065223662216942E-2</c:v>
                </c:pt>
                <c:pt idx="700">
                  <c:v>2.824811043168779E-2</c:v>
                </c:pt>
                <c:pt idx="701">
                  <c:v>2.7818927070688726E-2</c:v>
                </c:pt>
                <c:pt idx="702">
                  <c:v>2.7436949212373274E-2</c:v>
                </c:pt>
                <c:pt idx="703">
                  <c:v>3.0256354224006993E-2</c:v>
                </c:pt>
                <c:pt idx="704">
                  <c:v>3.3093720502406616E-2</c:v>
                </c:pt>
                <c:pt idx="705">
                  <c:v>3.1229858765489126E-2</c:v>
                </c:pt>
                <c:pt idx="706">
                  <c:v>3.6278791834631938E-2</c:v>
                </c:pt>
                <c:pt idx="707">
                  <c:v>3.8691310361197516E-2</c:v>
                </c:pt>
                <c:pt idx="708">
                  <c:v>3.7874547706524798E-2</c:v>
                </c:pt>
                <c:pt idx="709">
                  <c:v>4.2153422195109494E-2</c:v>
                </c:pt>
                <c:pt idx="710">
                  <c:v>3.427161210250558E-2</c:v>
                </c:pt>
                <c:pt idx="711">
                  <c:v>3.1086688777034938E-2</c:v>
                </c:pt>
                <c:pt idx="712">
                  <c:v>3.773485725497884E-2</c:v>
                </c:pt>
                <c:pt idx="713">
                  <c:v>3.9618668444848348E-2</c:v>
                </c:pt>
                <c:pt idx="714">
                  <c:v>3.6475752017683265E-2</c:v>
                </c:pt>
                <c:pt idx="715">
                  <c:v>3.4750124974120042E-2</c:v>
                </c:pt>
                <c:pt idx="716">
                  <c:v>3.9199311904203366E-2</c:v>
                </c:pt>
                <c:pt idx="717">
                  <c:v>4.1470802224256684E-2</c:v>
                </c:pt>
                <c:pt idx="718">
                  <c:v>4.4449836950001362E-2</c:v>
                </c:pt>
                <c:pt idx="719">
                  <c:v>3.9826818214153598E-2</c:v>
                </c:pt>
                <c:pt idx="720">
                  <c:v>3.9849382539588238E-2</c:v>
                </c:pt>
                <c:pt idx="721">
                  <c:v>4.136819801149056E-2</c:v>
                </c:pt>
                <c:pt idx="722">
                  <c:v>3.98914596327829E-2</c:v>
                </c:pt>
                <c:pt idx="723">
                  <c:v>4.3480931829097097E-2</c:v>
                </c:pt>
                <c:pt idx="724">
                  <c:v>4.2553287753131525E-2</c:v>
                </c:pt>
                <c:pt idx="725">
                  <c:v>4.270526483147543E-2</c:v>
                </c:pt>
                <c:pt idx="726">
                  <c:v>4.1520376238168601E-2</c:v>
                </c:pt>
                <c:pt idx="727">
                  <c:v>4.5600472365949891E-2</c:v>
                </c:pt>
                <c:pt idx="728">
                  <c:v>4.5211940695961114E-2</c:v>
                </c:pt>
                <c:pt idx="729">
                  <c:v>4.7987524553098043E-2</c:v>
                </c:pt>
                <c:pt idx="730">
                  <c:v>4.3098012671065798E-2</c:v>
                </c:pt>
                <c:pt idx="731">
                  <c:v>4.1800838351744168E-2</c:v>
                </c:pt>
                <c:pt idx="732">
                  <c:v>4.0136087855801278E-2</c:v>
                </c:pt>
                <c:pt idx="733">
                  <c:v>4.1791244219313871E-2</c:v>
                </c:pt>
                <c:pt idx="734">
                  <c:v>4.0248720447077835E-2</c:v>
                </c:pt>
                <c:pt idx="735">
                  <c:v>4.6792438771317807E-2</c:v>
                </c:pt>
                <c:pt idx="736">
                  <c:v>4.6506186235898112E-2</c:v>
                </c:pt>
                <c:pt idx="737">
                  <c:v>5.3653381619722197E-2</c:v>
                </c:pt>
                <c:pt idx="738">
                  <c:v>5.349497841787057E-2</c:v>
                </c:pt>
                <c:pt idx="739">
                  <c:v>5.5456991693907123E-2</c:v>
                </c:pt>
                <c:pt idx="740">
                  <c:v>5.9424704615104726E-2</c:v>
                </c:pt>
                <c:pt idx="741">
                  <c:v>5.8013625281695486E-2</c:v>
                </c:pt>
                <c:pt idx="742">
                  <c:v>5.9161051712111723E-2</c:v>
                </c:pt>
                <c:pt idx="743">
                  <c:v>5.5205326993505027E-2</c:v>
                </c:pt>
                <c:pt idx="744">
                  <c:v>5.7954926988726979E-2</c:v>
                </c:pt>
                <c:pt idx="745">
                  <c:v>5.4316213050565831E-2</c:v>
                </c:pt>
                <c:pt idx="746">
                  <c:v>5.619036652089282E-2</c:v>
                </c:pt>
                <c:pt idx="747">
                  <c:v>5.2707235205894667E-2</c:v>
                </c:pt>
                <c:pt idx="748">
                  <c:v>5.8666580980637123E-2</c:v>
                </c:pt>
                <c:pt idx="749">
                  <c:v>5.7416757481709019E-2</c:v>
                </c:pt>
                <c:pt idx="750">
                  <c:v>5.7177686516602322E-2</c:v>
                </c:pt>
                <c:pt idx="751">
                  <c:v>5.384872080366318E-2</c:v>
                </c:pt>
                <c:pt idx="752">
                  <c:v>5.3758604593188472E-2</c:v>
                </c:pt>
                <c:pt idx="753">
                  <c:v>5.4133863580080335E-2</c:v>
                </c:pt>
                <c:pt idx="754">
                  <c:v>5.7452015899623614E-2</c:v>
                </c:pt>
                <c:pt idx="755">
                  <c:v>5.2309140592857309E-2</c:v>
                </c:pt>
                <c:pt idx="756">
                  <c:v>5.0518450022516662E-2</c:v>
                </c:pt>
                <c:pt idx="757">
                  <c:v>4.9914360047600158E-2</c:v>
                </c:pt>
                <c:pt idx="758">
                  <c:v>5.4132809802090197E-2</c:v>
                </c:pt>
                <c:pt idx="759">
                  <c:v>5.8167862899066614E-2</c:v>
                </c:pt>
                <c:pt idx="760">
                  <c:v>6.1571177947289883E-2</c:v>
                </c:pt>
                <c:pt idx="761">
                  <c:v>6.1667226923817327E-2</c:v>
                </c:pt>
                <c:pt idx="762">
                  <c:v>5.8471666195609388E-2</c:v>
                </c:pt>
                <c:pt idx="763">
                  <c:v>6.0566665970486537E-2</c:v>
                </c:pt>
                <c:pt idx="764">
                  <c:v>6.60286271500546E-2</c:v>
                </c:pt>
                <c:pt idx="765">
                  <c:v>6.432194202250599E-2</c:v>
                </c:pt>
                <c:pt idx="766">
                  <c:v>6.2753041351611805E-2</c:v>
                </c:pt>
                <c:pt idx="767">
                  <c:v>6.0378581048227485E-2</c:v>
                </c:pt>
                <c:pt idx="768">
                  <c:v>5.8870194361648115E-2</c:v>
                </c:pt>
                <c:pt idx="769">
                  <c:v>5.1085891021566077E-2</c:v>
                </c:pt>
                <c:pt idx="770">
                  <c:v>5.1574137117516239E-2</c:v>
                </c:pt>
                <c:pt idx="771">
                  <c:v>4.9331382198535279E-2</c:v>
                </c:pt>
                <c:pt idx="772">
                  <c:v>4.9522951640562349E-2</c:v>
                </c:pt>
                <c:pt idx="773">
                  <c:v>5.0688509576638528E-2</c:v>
                </c:pt>
                <c:pt idx="774">
                  <c:v>5.1100414927361948E-2</c:v>
                </c:pt>
                <c:pt idx="775">
                  <c:v>4.8097603922006411E-2</c:v>
                </c:pt>
                <c:pt idx="776">
                  <c:v>5.3109666490966288E-2</c:v>
                </c:pt>
                <c:pt idx="777">
                  <c:v>5.2089201690919303E-2</c:v>
                </c:pt>
                <c:pt idx="778">
                  <c:v>5.6447100698506628E-2</c:v>
                </c:pt>
                <c:pt idx="779">
                  <c:v>5.4128241496389513E-2</c:v>
                </c:pt>
                <c:pt idx="780">
                  <c:v>5.5221804110131459E-2</c:v>
                </c:pt>
                <c:pt idx="781">
                  <c:v>5.4648056848997553E-2</c:v>
                </c:pt>
                <c:pt idx="782">
                  <c:v>5.433112362670342E-2</c:v>
                </c:pt>
                <c:pt idx="783">
                  <c:v>5.924826479919422E-2</c:v>
                </c:pt>
                <c:pt idx="784">
                  <c:v>6.0537256982667306E-2</c:v>
                </c:pt>
                <c:pt idx="785">
                  <c:v>5.6375316029830272E-2</c:v>
                </c:pt>
                <c:pt idx="786">
                  <c:v>5.704187550366982E-2</c:v>
                </c:pt>
                <c:pt idx="787">
                  <c:v>5.3972716886974914E-2</c:v>
                </c:pt>
                <c:pt idx="788">
                  <c:v>4.9551696450067531E-2</c:v>
                </c:pt>
                <c:pt idx="789">
                  <c:v>4.3825636437207195E-2</c:v>
                </c:pt>
                <c:pt idx="790">
                  <c:v>4.7852749086536306E-2</c:v>
                </c:pt>
                <c:pt idx="791">
                  <c:v>4.3634026845800034E-2</c:v>
                </c:pt>
                <c:pt idx="792">
                  <c:v>4.6697227147870751E-2</c:v>
                </c:pt>
                <c:pt idx="793">
                  <c:v>4.2201999772316597E-2</c:v>
                </c:pt>
                <c:pt idx="794">
                  <c:v>4.1283994073940691E-2</c:v>
                </c:pt>
                <c:pt idx="795">
                  <c:v>3.4542625740233125E-2</c:v>
                </c:pt>
                <c:pt idx="796">
                  <c:v>3.5392828315989472E-2</c:v>
                </c:pt>
                <c:pt idx="797">
                  <c:v>3.159063670123697E-2</c:v>
                </c:pt>
                <c:pt idx="798">
                  <c:v>3.0944825240987267E-2</c:v>
                </c:pt>
                <c:pt idx="799">
                  <c:v>2.9990210568474354E-2</c:v>
                </c:pt>
                <c:pt idx="800">
                  <c:v>2.9758783218041845E-2</c:v>
                </c:pt>
                <c:pt idx="801">
                  <c:v>2.9508338079533451E-2</c:v>
                </c:pt>
                <c:pt idx="802">
                  <c:v>3.201515565408096E-2</c:v>
                </c:pt>
                <c:pt idx="803">
                  <c:v>3.4459930547217611E-2</c:v>
                </c:pt>
                <c:pt idx="804">
                  <c:v>3.6880726435375794E-2</c:v>
                </c:pt>
                <c:pt idx="805">
                  <c:v>3.531659948875563E-2</c:v>
                </c:pt>
                <c:pt idx="806">
                  <c:v>2.6690970389958608E-2</c:v>
                </c:pt>
                <c:pt idx="807">
                  <c:v>2.8687559031324902E-2</c:v>
                </c:pt>
                <c:pt idx="808">
                  <c:v>2.7801746648591093E-2</c:v>
                </c:pt>
                <c:pt idx="809">
                  <c:v>2.6441515509522191E-2</c:v>
                </c:pt>
                <c:pt idx="810">
                  <c:v>2.4211107224511898E-2</c:v>
                </c:pt>
                <c:pt idx="811">
                  <c:v>2.4062758385210398E-2</c:v>
                </c:pt>
                <c:pt idx="812">
                  <c:v>2.5325323155846541E-2</c:v>
                </c:pt>
                <c:pt idx="813">
                  <c:v>3.4063334991107926E-2</c:v>
                </c:pt>
                <c:pt idx="814">
                  <c:v>3.6418628183798804E-2</c:v>
                </c:pt>
                <c:pt idx="815">
                  <c:v>3.1457341812964376E-2</c:v>
                </c:pt>
                <c:pt idx="816">
                  <c:v>3.2413697065116855E-2</c:v>
                </c:pt>
                <c:pt idx="817">
                  <c:v>3.0077226407189978E-2</c:v>
                </c:pt>
                <c:pt idx="818">
                  <c:v>3.6777752253064622E-2</c:v>
                </c:pt>
                <c:pt idx="819">
                  <c:v>3.5249598841538818E-2</c:v>
                </c:pt>
                <c:pt idx="820">
                  <c:v>3.8160083608459003E-2</c:v>
                </c:pt>
                <c:pt idx="821">
                  <c:v>4.1058033289142523E-2</c:v>
                </c:pt>
                <c:pt idx="822">
                  <c:v>3.532533270843919E-2</c:v>
                </c:pt>
                <c:pt idx="823">
                  <c:v>3.5388933906388489E-2</c:v>
                </c:pt>
                <c:pt idx="824">
                  <c:v>3.7875018399857782E-2</c:v>
                </c:pt>
                <c:pt idx="825">
                  <c:v>3.5993954169953692E-2</c:v>
                </c:pt>
                <c:pt idx="826">
                  <c:v>3.6243795776016968E-2</c:v>
                </c:pt>
                <c:pt idx="827">
                  <c:v>3.5605536327001856E-2</c:v>
                </c:pt>
                <c:pt idx="828">
                  <c:v>3.2942042529918766E-2</c:v>
                </c:pt>
                <c:pt idx="829">
                  <c:v>3.8498019637982668E-2</c:v>
                </c:pt>
                <c:pt idx="830">
                  <c:v>3.2549657024932184E-2</c:v>
                </c:pt>
                <c:pt idx="831">
                  <c:v>3.2601456847570001E-2</c:v>
                </c:pt>
                <c:pt idx="832">
                  <c:v>3.1629976914821646E-2</c:v>
                </c:pt>
                <c:pt idx="833">
                  <c:v>2.9007662911266184E-2</c:v>
                </c:pt>
                <c:pt idx="834">
                  <c:v>3.0947697244212702E-2</c:v>
                </c:pt>
                <c:pt idx="835">
                  <c:v>3.017502346804446E-2</c:v>
                </c:pt>
                <c:pt idx="836">
                  <c:v>2.75966786823897E-2</c:v>
                </c:pt>
                <c:pt idx="837">
                  <c:v>2.6179388590553191E-2</c:v>
                </c:pt>
                <c:pt idx="838">
                  <c:v>2.718007742103121E-2</c:v>
                </c:pt>
                <c:pt idx="839">
                  <c:v>2.0395363322139939E-2</c:v>
                </c:pt>
                <c:pt idx="840">
                  <c:v>2.2791605528615776E-2</c:v>
                </c:pt>
                <c:pt idx="841">
                  <c:v>2.2434710612733628E-2</c:v>
                </c:pt>
                <c:pt idx="842">
                  <c:v>2.0732643348075806E-2</c:v>
                </c:pt>
                <c:pt idx="843">
                  <c:v>1.7808242410498075E-2</c:v>
                </c:pt>
                <c:pt idx="844">
                  <c:v>1.6982415300264189E-2</c:v>
                </c:pt>
                <c:pt idx="845">
                  <c:v>1.4507851576286656E-2</c:v>
                </c:pt>
                <c:pt idx="846">
                  <c:v>1.429475748040239E-2</c:v>
                </c:pt>
                <c:pt idx="847">
                  <c:v>1.2102774139980788E-2</c:v>
                </c:pt>
                <c:pt idx="848">
                  <c:v>1.1456841410943414E-2</c:v>
                </c:pt>
                <c:pt idx="849">
                  <c:v>9.1091715622048479E-3</c:v>
                </c:pt>
                <c:pt idx="850">
                  <c:v>9.6759189502679081E-3</c:v>
                </c:pt>
                <c:pt idx="851">
                  <c:v>1.0998786183221669E-2</c:v>
                </c:pt>
                <c:pt idx="852">
                  <c:v>8.8260140297576253E-3</c:v>
                </c:pt>
                <c:pt idx="853">
                  <c:v>8.7905316340492635E-3</c:v>
                </c:pt>
                <c:pt idx="854">
                  <c:v>9.2871481694479386E-3</c:v>
                </c:pt>
                <c:pt idx="855">
                  <c:v>1.2297167754721798E-2</c:v>
                </c:pt>
                <c:pt idx="856">
                  <c:v>8.0620273499268022E-3</c:v>
                </c:pt>
                <c:pt idx="857">
                  <c:v>7.470337421410931E-3</c:v>
                </c:pt>
                <c:pt idx="858">
                  <c:v>8.1135510044374748E-3</c:v>
                </c:pt>
                <c:pt idx="859">
                  <c:v>3.6446546272075435E-3</c:v>
                </c:pt>
                <c:pt idx="860">
                  <c:v>2.1651221069373238E-3</c:v>
                </c:pt>
                <c:pt idx="861">
                  <c:v>1.3479732766693564E-3</c:v>
                </c:pt>
                <c:pt idx="862">
                  <c:v>6.1269533101611495E-3</c:v>
                </c:pt>
                <c:pt idx="863">
                  <c:v>2.0680816125535576E-3</c:v>
                </c:pt>
                <c:pt idx="864">
                  <c:v>4.2083007193325639E-3</c:v>
                </c:pt>
                <c:pt idx="865">
                  <c:v>6.5311853697238957E-4</c:v>
                </c:pt>
                <c:pt idx="866">
                  <c:v>3.7380853716212185E-4</c:v>
                </c:pt>
                <c:pt idx="867">
                  <c:v>2.0777159418088539E-3</c:v>
                </c:pt>
                <c:pt idx="868">
                  <c:v>1.5480810388340781E-3</c:v>
                </c:pt>
                <c:pt idx="869">
                  <c:v>2.5586021554038826E-3</c:v>
                </c:pt>
                <c:pt idx="870">
                  <c:v>4.8025785423403029E-4</c:v>
                </c:pt>
                <c:pt idx="871">
                  <c:v>5.6314952392030743E-3</c:v>
                </c:pt>
                <c:pt idx="872">
                  <c:v>2.6951444026151721E-3</c:v>
                </c:pt>
                <c:pt idx="873">
                  <c:v>1.0270555793929284E-3</c:v>
                </c:pt>
                <c:pt idx="874">
                  <c:v>1.1199057086452181E-3</c:v>
                </c:pt>
                <c:pt idx="875">
                  <c:v>4.667352495430873E-3</c:v>
                </c:pt>
                <c:pt idx="876">
                  <c:v>1.7509330666685176E-3</c:v>
                </c:pt>
                <c:pt idx="877">
                  <c:v>1.0468893698146759E-3</c:v>
                </c:pt>
                <c:pt idx="878">
                  <c:v>1.5947444121515667E-3</c:v>
                </c:pt>
                <c:pt idx="879">
                  <c:v>2.3449334605529174E-3</c:v>
                </c:pt>
                <c:pt idx="880">
                  <c:v>2.3303775301931375E-4</c:v>
                </c:pt>
                <c:pt idx="881">
                  <c:v>2.0657126139088655E-3</c:v>
                </c:pt>
                <c:pt idx="882">
                  <c:v>2.9658147460974518E-3</c:v>
                </c:pt>
                <c:pt idx="883">
                  <c:v>1.5441987812556072E-3</c:v>
                </c:pt>
                <c:pt idx="884">
                  <c:v>1.8788033456976008E-3</c:v>
                </c:pt>
                <c:pt idx="885">
                  <c:v>1.8804293695045236E-4</c:v>
                </c:pt>
                <c:pt idx="886">
                  <c:v>5.8504559485464073E-3</c:v>
                </c:pt>
                <c:pt idx="887">
                  <c:v>3.5063029157499735E-3</c:v>
                </c:pt>
                <c:pt idx="888">
                  <c:v>4.5819165527183885E-3</c:v>
                </c:pt>
                <c:pt idx="889">
                  <c:v>2.334440663942389E-3</c:v>
                </c:pt>
                <c:pt idx="890">
                  <c:v>8.6277203878603638E-3</c:v>
                </c:pt>
                <c:pt idx="891">
                  <c:v>3.0345394177316385E-3</c:v>
                </c:pt>
                <c:pt idx="892">
                  <c:v>1.5011447195869537E-3</c:v>
                </c:pt>
                <c:pt idx="893">
                  <c:v>1.1971515446602826E-3</c:v>
                </c:pt>
                <c:pt idx="894">
                  <c:v>3.3277908211360209E-3</c:v>
                </c:pt>
                <c:pt idx="895">
                  <c:v>5.2393175467958103E-4</c:v>
                </c:pt>
                <c:pt idx="896">
                  <c:v>1.5728948548526384E-3</c:v>
                </c:pt>
                <c:pt idx="897">
                  <c:v>1.4266719842854266E-3</c:v>
                </c:pt>
                <c:pt idx="898">
                  <c:v>2.4120893000246276E-3</c:v>
                </c:pt>
                <c:pt idx="899">
                  <c:v>1.022483477485946E-3</c:v>
                </c:pt>
                <c:pt idx="900">
                  <c:v>8.9192803683119624E-4</c:v>
                </c:pt>
                <c:pt idx="901">
                  <c:v>3.0754453037804518E-4</c:v>
                </c:pt>
                <c:pt idx="902">
                  <c:v>2.7686628646079788E-3</c:v>
                </c:pt>
                <c:pt idx="903">
                  <c:v>2.7279952108254964E-3</c:v>
                </c:pt>
                <c:pt idx="904">
                  <c:v>2.4294903218179259E-3</c:v>
                </c:pt>
                <c:pt idx="905">
                  <c:v>8.4858457710851147E-4</c:v>
                </c:pt>
                <c:pt idx="906">
                  <c:v>3.3311094298751898E-4</c:v>
                </c:pt>
                <c:pt idx="907">
                  <c:v>9.3142162654286445E-4</c:v>
                </c:pt>
                <c:pt idx="908">
                  <c:v>9.0489217294274955E-4</c:v>
                </c:pt>
                <c:pt idx="909">
                  <c:v>6.4328779338769515E-5</c:v>
                </c:pt>
                <c:pt idx="910">
                  <c:v>3.4268597837211132E-4</c:v>
                </c:pt>
                <c:pt idx="911">
                  <c:v>1.0856322966157558E-3</c:v>
                </c:pt>
                <c:pt idx="912">
                  <c:v>1.7663730272729286E-3</c:v>
                </c:pt>
                <c:pt idx="913">
                  <c:v>2.9050285043044459E-3</c:v>
                </c:pt>
                <c:pt idx="914">
                  <c:v>3.7320386490759267E-3</c:v>
                </c:pt>
                <c:pt idx="915">
                  <c:v>4.3183408553480133E-3</c:v>
                </c:pt>
                <c:pt idx="916">
                  <c:v>2.9639327684689194E-3</c:v>
                </c:pt>
                <c:pt idx="917">
                  <c:v>1.6811993038550691E-3</c:v>
                </c:pt>
                <c:pt idx="918">
                  <c:v>4.7791100718608832E-3</c:v>
                </c:pt>
                <c:pt idx="919">
                  <c:v>1.5527159761078161E-2</c:v>
                </c:pt>
                <c:pt idx="920">
                  <c:v>1.1534643835447764E-2</c:v>
                </c:pt>
                <c:pt idx="921">
                  <c:v>1.1662326610030051E-2</c:v>
                </c:pt>
                <c:pt idx="922">
                  <c:v>5.5252929788847382E-3</c:v>
                </c:pt>
                <c:pt idx="923">
                  <c:v>6.4989696640938184E-3</c:v>
                </c:pt>
                <c:pt idx="924">
                  <c:v>7.3745041512455999E-3</c:v>
                </c:pt>
                <c:pt idx="925">
                  <c:v>1.2211335708382441E-2</c:v>
                </c:pt>
                <c:pt idx="926">
                  <c:v>9.6213550937155889E-3</c:v>
                </c:pt>
                <c:pt idx="927">
                  <c:v>1.1999609378415111E-2</c:v>
                </c:pt>
                <c:pt idx="928">
                  <c:v>9.9294265381804133E-3</c:v>
                </c:pt>
                <c:pt idx="929">
                  <c:v>9.770862805385274E-3</c:v>
                </c:pt>
                <c:pt idx="930">
                  <c:v>1.1079689443798306E-2</c:v>
                </c:pt>
                <c:pt idx="931">
                  <c:v>1.422626998525877E-2</c:v>
                </c:pt>
                <c:pt idx="932">
                  <c:v>7.4230001775514951E-3</c:v>
                </c:pt>
                <c:pt idx="933">
                  <c:v>9.4650394112644858E-3</c:v>
                </c:pt>
                <c:pt idx="934">
                  <c:v>9.9501618066902987E-3</c:v>
                </c:pt>
                <c:pt idx="935">
                  <c:v>8.1495801139717262E-3</c:v>
                </c:pt>
                <c:pt idx="936">
                  <c:v>1.0876766190894982E-2</c:v>
                </c:pt>
                <c:pt idx="937">
                  <c:v>6.0330920806118092E-3</c:v>
                </c:pt>
                <c:pt idx="938">
                  <c:v>4.2443243981079883E-3</c:v>
                </c:pt>
                <c:pt idx="939">
                  <c:v>5.3467991769092713E-3</c:v>
                </c:pt>
                <c:pt idx="940">
                  <c:v>4.0698396676898171E-3</c:v>
                </c:pt>
                <c:pt idx="941">
                  <c:v>6.9443344795088527E-3</c:v>
                </c:pt>
                <c:pt idx="942">
                  <c:v>6.4743133233862629E-3</c:v>
                </c:pt>
                <c:pt idx="943">
                  <c:v>1.2716324227759252E-2</c:v>
                </c:pt>
                <c:pt idx="944">
                  <c:v>1.448846815386593E-2</c:v>
                </c:pt>
                <c:pt idx="945">
                  <c:v>1.0898237977436723E-2</c:v>
                </c:pt>
                <c:pt idx="946">
                  <c:v>6.6965710696991667E-3</c:v>
                </c:pt>
                <c:pt idx="947">
                  <c:v>8.9449104559016258E-3</c:v>
                </c:pt>
                <c:pt idx="948">
                  <c:v>9.331256077146145E-3</c:v>
                </c:pt>
                <c:pt idx="949">
                  <c:v>1.1613021496309247E-2</c:v>
                </c:pt>
                <c:pt idx="950">
                  <c:v>7.6347886597589627E-3</c:v>
                </c:pt>
                <c:pt idx="951">
                  <c:v>5.9722971413285666E-3</c:v>
                </c:pt>
                <c:pt idx="952">
                  <c:v>8.4142796910714312E-3</c:v>
                </c:pt>
                <c:pt idx="953">
                  <c:v>9.3074533626547832E-3</c:v>
                </c:pt>
                <c:pt idx="954">
                  <c:v>3.6721358579945053E-3</c:v>
                </c:pt>
                <c:pt idx="955">
                  <c:v>1.5916577415610728E-3</c:v>
                </c:pt>
                <c:pt idx="956">
                  <c:v>1.8346990662180054E-4</c:v>
                </c:pt>
                <c:pt idx="957">
                  <c:v>8.7321267008671696E-4</c:v>
                </c:pt>
                <c:pt idx="958">
                  <c:v>1.792493400445988E-3</c:v>
                </c:pt>
                <c:pt idx="959">
                  <c:v>1.3652150332095873E-3</c:v>
                </c:pt>
                <c:pt idx="960">
                  <c:v>1.2183380630956201E-3</c:v>
                </c:pt>
                <c:pt idx="961">
                  <c:v>2.8171439696339663E-3</c:v>
                </c:pt>
                <c:pt idx="962">
                  <c:v>3.8612782550957337E-3</c:v>
                </c:pt>
                <c:pt idx="963">
                  <c:v>3.1702900079952122E-3</c:v>
                </c:pt>
                <c:pt idx="964">
                  <c:v>6.9502720692618189E-4</c:v>
                </c:pt>
                <c:pt idx="965">
                  <c:v>2.9643051538862011E-3</c:v>
                </c:pt>
                <c:pt idx="966">
                  <c:v>4.1782952116633035E-3</c:v>
                </c:pt>
                <c:pt idx="967">
                  <c:v>5.1837808707697035E-3</c:v>
                </c:pt>
                <c:pt idx="968">
                  <c:v>6.1080703559783216E-3</c:v>
                </c:pt>
                <c:pt idx="969">
                  <c:v>6.4615671830010254E-3</c:v>
                </c:pt>
                <c:pt idx="970">
                  <c:v>8.3536407029544454E-3</c:v>
                </c:pt>
                <c:pt idx="971">
                  <c:v>8.2075723972786056E-3</c:v>
                </c:pt>
                <c:pt idx="972">
                  <c:v>6.4094990749594318E-3</c:v>
                </c:pt>
                <c:pt idx="973">
                  <c:v>1.1927923561209659E-3</c:v>
                </c:pt>
                <c:pt idx="974">
                  <c:v>2.9330432966738918E-3</c:v>
                </c:pt>
                <c:pt idx="975">
                  <c:v>4.9398928604966266E-3</c:v>
                </c:pt>
                <c:pt idx="976">
                  <c:v>1.6581215538205383E-3</c:v>
                </c:pt>
                <c:pt idx="977">
                  <c:v>9.2835597536511903E-4</c:v>
                </c:pt>
                <c:pt idx="978">
                  <c:v>2.5992827534077716E-3</c:v>
                </c:pt>
                <c:pt idx="979">
                  <c:v>1.2630309279791276E-3</c:v>
                </c:pt>
                <c:pt idx="980">
                  <c:v>2.2008153195532815E-3</c:v>
                </c:pt>
                <c:pt idx="981">
                  <c:v>3.1547103947063629E-3</c:v>
                </c:pt>
                <c:pt idx="982">
                  <c:v>1.0912552025999845E-2</c:v>
                </c:pt>
                <c:pt idx="983">
                  <c:v>8.6688618265434673E-3</c:v>
                </c:pt>
                <c:pt idx="984">
                  <c:v>4.2766579026715726E-3</c:v>
                </c:pt>
                <c:pt idx="985">
                  <c:v>3.7709013630704176E-3</c:v>
                </c:pt>
                <c:pt idx="986">
                  <c:v>2.8025748723325E-3</c:v>
                </c:pt>
                <c:pt idx="987">
                  <c:v>5.4372943229155576E-3</c:v>
                </c:pt>
                <c:pt idx="988">
                  <c:v>1.6081506467084863E-3</c:v>
                </c:pt>
                <c:pt idx="989">
                  <c:v>2.9304968248764132E-3</c:v>
                </c:pt>
                <c:pt idx="990">
                  <c:v>1.9024231334035645E-3</c:v>
                </c:pt>
                <c:pt idx="991">
                  <c:v>9.9087851775988244E-4</c:v>
                </c:pt>
                <c:pt idx="992">
                  <c:v>1.5177300664698766E-3</c:v>
                </c:pt>
                <c:pt idx="993">
                  <c:v>1.666286765575932E-3</c:v>
                </c:pt>
                <c:pt idx="994">
                  <c:v>1.2297007904989513E-4</c:v>
                </c:pt>
                <c:pt idx="995">
                  <c:v>2.074662446489314E-3</c:v>
                </c:pt>
                <c:pt idx="996">
                  <c:v>7.6252475094754808E-3</c:v>
                </c:pt>
                <c:pt idx="997">
                  <c:v>9.5922482697441604E-3</c:v>
                </c:pt>
                <c:pt idx="998">
                  <c:v>1.1019154198902112E-2</c:v>
                </c:pt>
                <c:pt idx="999">
                  <c:v>1.4654014614684902E-2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CA-CE4E-A3F0-4F651D17F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04800"/>
        <c:axId val="597106448"/>
      </c:scatterChart>
      <c:valAx>
        <c:axId val="59710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6448"/>
        <c:crosses val="autoZero"/>
        <c:crossBetween val="midCat"/>
      </c:valAx>
      <c:valAx>
        <c:axId val="5971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Cumulative Z increments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Model!$C$6:$C$1005</c:f>
              <c:numCache>
                <c:formatCode>General</c:formatCode>
                <c:ptCount val="1000"/>
                <c:pt idx="0">
                  <c:v>1.5668951601409411</c:v>
                </c:pt>
                <c:pt idx="1">
                  <c:v>0.96108620093041441</c:v>
                </c:pt>
                <c:pt idx="2">
                  <c:v>0.99805752561699324</c:v>
                </c:pt>
                <c:pt idx="3">
                  <c:v>2.6068735913964787</c:v>
                </c:pt>
                <c:pt idx="4">
                  <c:v>2.3376090195749475</c:v>
                </c:pt>
                <c:pt idx="5">
                  <c:v>1.8711516273430151</c:v>
                </c:pt>
                <c:pt idx="6">
                  <c:v>2.8931105429794428</c:v>
                </c:pt>
                <c:pt idx="7">
                  <c:v>3.3647287765353755</c:v>
                </c:pt>
                <c:pt idx="8">
                  <c:v>2.4468296257873505</c:v>
                </c:pt>
                <c:pt idx="9">
                  <c:v>1.8645577444785673</c:v>
                </c:pt>
                <c:pt idx="10">
                  <c:v>2.6761877873062074</c:v>
                </c:pt>
                <c:pt idx="11">
                  <c:v>2.8211258558146661</c:v>
                </c:pt>
                <c:pt idx="12">
                  <c:v>2.2853285405359278</c:v>
                </c:pt>
                <c:pt idx="13">
                  <c:v>1.7228775727087191</c:v>
                </c:pt>
                <c:pt idx="14">
                  <c:v>1.6072900491244084</c:v>
                </c:pt>
                <c:pt idx="15">
                  <c:v>0.24831177902473867</c:v>
                </c:pt>
                <c:pt idx="16">
                  <c:v>-0.44300117669229955</c:v>
                </c:pt>
                <c:pt idx="17">
                  <c:v>-0.33030523647568999</c:v>
                </c:pt>
                <c:pt idx="18">
                  <c:v>8.6806611512724896E-2</c:v>
                </c:pt>
                <c:pt idx="19">
                  <c:v>-2.8284228597061895E-2</c:v>
                </c:pt>
                <c:pt idx="20">
                  <c:v>-9.2474043639866624E-2</c:v>
                </c:pt>
                <c:pt idx="21">
                  <c:v>0.14094942607140593</c:v>
                </c:pt>
                <c:pt idx="22">
                  <c:v>-0.62536753746758367</c:v>
                </c:pt>
                <c:pt idx="23">
                  <c:v>-0.81841541229515291</c:v>
                </c:pt>
                <c:pt idx="24">
                  <c:v>-0.58516482553572835</c:v>
                </c:pt>
                <c:pt idx="25">
                  <c:v>1.4366633263464355</c:v>
                </c:pt>
                <c:pt idx="26">
                  <c:v>3.1086519726837984</c:v>
                </c:pt>
                <c:pt idx="27">
                  <c:v>2.7571991774404805</c:v>
                </c:pt>
                <c:pt idx="28">
                  <c:v>2.912796809096867</c:v>
                </c:pt>
                <c:pt idx="29">
                  <c:v>2.1827362471359346</c:v>
                </c:pt>
                <c:pt idx="30">
                  <c:v>2.2985236572026508</c:v>
                </c:pt>
                <c:pt idx="31">
                  <c:v>3.0284476788451928</c:v>
                </c:pt>
                <c:pt idx="32">
                  <c:v>1.9089166274845906</c:v>
                </c:pt>
                <c:pt idx="33">
                  <c:v>4.140158330996961</c:v>
                </c:pt>
                <c:pt idx="34">
                  <c:v>4.5450052687261477</c:v>
                </c:pt>
                <c:pt idx="35">
                  <c:v>5.0883601478105884</c:v>
                </c:pt>
                <c:pt idx="36">
                  <c:v>5.0990801622043005</c:v>
                </c:pt>
                <c:pt idx="37">
                  <c:v>4.0313151071916531</c:v>
                </c:pt>
                <c:pt idx="38">
                  <c:v>3.2052767437325174</c:v>
                </c:pt>
                <c:pt idx="39">
                  <c:v>3.2535111220805004</c:v>
                </c:pt>
                <c:pt idx="40">
                  <c:v>4.4512146983520626</c:v>
                </c:pt>
                <c:pt idx="41">
                  <c:v>3.8809892060035489</c:v>
                </c:pt>
                <c:pt idx="42">
                  <c:v>2.7543968270977643</c:v>
                </c:pt>
                <c:pt idx="43">
                  <c:v>3.1140599048855284</c:v>
                </c:pt>
                <c:pt idx="44">
                  <c:v>2.9455561497109621</c:v>
                </c:pt>
                <c:pt idx="45">
                  <c:v>2.9490458250075986</c:v>
                </c:pt>
                <c:pt idx="46">
                  <c:v>1.5151467005524983</c:v>
                </c:pt>
                <c:pt idx="47">
                  <c:v>1.2040617424235418</c:v>
                </c:pt>
                <c:pt idx="48">
                  <c:v>1.9551239364478183</c:v>
                </c:pt>
                <c:pt idx="49">
                  <c:v>1.9176449028265483</c:v>
                </c:pt>
                <c:pt idx="50">
                  <c:v>1.5045584797148752</c:v>
                </c:pt>
                <c:pt idx="51">
                  <c:v>1.8547967905915139</c:v>
                </c:pt>
                <c:pt idx="52">
                  <c:v>2.758752960003203</c:v>
                </c:pt>
                <c:pt idx="53">
                  <c:v>3.2732553290998423</c:v>
                </c:pt>
                <c:pt idx="54">
                  <c:v>2.7978378257215692</c:v>
                </c:pt>
                <c:pt idx="55">
                  <c:v>1.6965304145698465</c:v>
                </c:pt>
                <c:pt idx="56">
                  <c:v>0.87179431192190715</c:v>
                </c:pt>
                <c:pt idx="57">
                  <c:v>2.1794836087540466</c:v>
                </c:pt>
                <c:pt idx="58">
                  <c:v>1.9975571911160703</c:v>
                </c:pt>
                <c:pt idx="59">
                  <c:v>0.68369921388689292</c:v>
                </c:pt>
                <c:pt idx="60">
                  <c:v>1.1040752539186156</c:v>
                </c:pt>
                <c:pt idx="61">
                  <c:v>0.77363057908878197</c:v>
                </c:pt>
                <c:pt idx="62">
                  <c:v>0.78348840541996878</c:v>
                </c:pt>
                <c:pt idx="63">
                  <c:v>-0.6081361825541699</c:v>
                </c:pt>
                <c:pt idx="64">
                  <c:v>-1.5546570291111976</c:v>
                </c:pt>
                <c:pt idx="65">
                  <c:v>-2.4793499885659518</c:v>
                </c:pt>
                <c:pt idx="66">
                  <c:v>-2.4519381454272535</c:v>
                </c:pt>
                <c:pt idx="67">
                  <c:v>-2.3751677972478351</c:v>
                </c:pt>
                <c:pt idx="68">
                  <c:v>-1.9163281820437263</c:v>
                </c:pt>
                <c:pt idx="69">
                  <c:v>-0.68948455699021727</c:v>
                </c:pt>
                <c:pt idx="70">
                  <c:v>0.61805312088542341</c:v>
                </c:pt>
                <c:pt idx="71">
                  <c:v>5.4009807850068037E-2</c:v>
                </c:pt>
                <c:pt idx="72">
                  <c:v>-0.76241252631572531</c:v>
                </c:pt>
                <c:pt idx="73">
                  <c:v>1.1763684920247686</c:v>
                </c:pt>
                <c:pt idx="74">
                  <c:v>0.46469554870135554</c:v>
                </c:pt>
                <c:pt idx="75">
                  <c:v>2.6835025267369081</c:v>
                </c:pt>
                <c:pt idx="76">
                  <c:v>2.9649023031336879</c:v>
                </c:pt>
                <c:pt idx="77">
                  <c:v>3.2950909613419155</c:v>
                </c:pt>
                <c:pt idx="78">
                  <c:v>2.2371761508041219</c:v>
                </c:pt>
                <c:pt idx="79">
                  <c:v>2.5048539207358447</c:v>
                </c:pt>
                <c:pt idx="80">
                  <c:v>1.3218996890976735</c:v>
                </c:pt>
                <c:pt idx="81">
                  <c:v>1.6922705288729099</c:v>
                </c:pt>
                <c:pt idx="82">
                  <c:v>2.0110675964738958</c:v>
                </c:pt>
                <c:pt idx="83">
                  <c:v>1.3874282378136891</c:v>
                </c:pt>
                <c:pt idx="84">
                  <c:v>2.3858794774022063</c:v>
                </c:pt>
                <c:pt idx="85">
                  <c:v>1.603058030010889</c:v>
                </c:pt>
                <c:pt idx="86">
                  <c:v>1.7780257820080954</c:v>
                </c:pt>
                <c:pt idx="87">
                  <c:v>0.46305145490667621</c:v>
                </c:pt>
                <c:pt idx="88">
                  <c:v>0.10316067537312534</c:v>
                </c:pt>
                <c:pt idx="89">
                  <c:v>0.94840492711473567</c:v>
                </c:pt>
                <c:pt idx="90">
                  <c:v>1.8960263402349966</c:v>
                </c:pt>
                <c:pt idx="91">
                  <c:v>3.2991537334702117</c:v>
                </c:pt>
                <c:pt idx="92">
                  <c:v>2.2714617254092566</c:v>
                </c:pt>
                <c:pt idx="93">
                  <c:v>1.6489529286147631</c:v>
                </c:pt>
                <c:pt idx="94">
                  <c:v>1.946276438093558</c:v>
                </c:pt>
                <c:pt idx="95">
                  <c:v>0.751590778699748</c:v>
                </c:pt>
                <c:pt idx="96">
                  <c:v>0.64233453734746904</c:v>
                </c:pt>
                <c:pt idx="97">
                  <c:v>0.83645056764248971</c:v>
                </c:pt>
                <c:pt idx="98">
                  <c:v>3.9838735548883508E-2</c:v>
                </c:pt>
                <c:pt idx="99">
                  <c:v>0.56771962942873355</c:v>
                </c:pt>
                <c:pt idx="100">
                  <c:v>-0.96670249142127529</c:v>
                </c:pt>
                <c:pt idx="101">
                  <c:v>-1.7212120034648968</c:v>
                </c:pt>
                <c:pt idx="102">
                  <c:v>-2.8134702809925356</c:v>
                </c:pt>
                <c:pt idx="103">
                  <c:v>-2.70094122005449</c:v>
                </c:pt>
                <c:pt idx="104">
                  <c:v>-2.5670756140512876</c:v>
                </c:pt>
                <c:pt idx="105">
                  <c:v>-2.1043602375073411</c:v>
                </c:pt>
                <c:pt idx="106">
                  <c:v>-2.2798109256583503</c:v>
                </c:pt>
                <c:pt idx="107">
                  <c:v>-3.2102430533685422</c:v>
                </c:pt>
                <c:pt idx="108">
                  <c:v>-5.0364018724427311</c:v>
                </c:pt>
                <c:pt idx="109">
                  <c:v>-4.9217609547513748</c:v>
                </c:pt>
                <c:pt idx="110">
                  <c:v>-4.4196732438159305</c:v>
                </c:pt>
                <c:pt idx="111">
                  <c:v>-3.9348106229910149</c:v>
                </c:pt>
                <c:pt idx="112">
                  <c:v>-3.5769536221385803</c:v>
                </c:pt>
                <c:pt idx="113">
                  <c:v>-2.3664401905769976</c:v>
                </c:pt>
                <c:pt idx="114">
                  <c:v>-2.4055599586294303</c:v>
                </c:pt>
                <c:pt idx="115">
                  <c:v>-1.8884935371543667</c:v>
                </c:pt>
                <c:pt idx="116">
                  <c:v>-1.3820237105623403</c:v>
                </c:pt>
                <c:pt idx="117">
                  <c:v>-0.98710576929980576</c:v>
                </c:pt>
                <c:pt idx="118">
                  <c:v>1.8447855150439798</c:v>
                </c:pt>
                <c:pt idx="119">
                  <c:v>1.678906448883466</c:v>
                </c:pt>
                <c:pt idx="120">
                  <c:v>2.0032442865903208</c:v>
                </c:pt>
                <c:pt idx="121">
                  <c:v>0.20622897213865965</c:v>
                </c:pt>
                <c:pt idx="122">
                  <c:v>-1.2611271648968749</c:v>
                </c:pt>
                <c:pt idx="123">
                  <c:v>-1.6479761132974533</c:v>
                </c:pt>
                <c:pt idx="124">
                  <c:v>-2.7975854788580072</c:v>
                </c:pt>
                <c:pt idx="125">
                  <c:v>-2.1847508323504745</c:v>
                </c:pt>
                <c:pt idx="126">
                  <c:v>-1.6621768144872049</c:v>
                </c:pt>
                <c:pt idx="127">
                  <c:v>-2.3494046311466121</c:v>
                </c:pt>
                <c:pt idx="128">
                  <c:v>-2.2903158905018741</c:v>
                </c:pt>
                <c:pt idx="129">
                  <c:v>-2.3889488514596531</c:v>
                </c:pt>
                <c:pt idx="130">
                  <c:v>-2.782000560264188</c:v>
                </c:pt>
                <c:pt idx="131">
                  <c:v>-0.60783544814113544</c:v>
                </c:pt>
                <c:pt idx="132">
                  <c:v>0.54168833843512321</c:v>
                </c:pt>
                <c:pt idx="133">
                  <c:v>-0.80716555676551049</c:v>
                </c:pt>
                <c:pt idx="134">
                  <c:v>9.506343456402E-3</c:v>
                </c:pt>
                <c:pt idx="135">
                  <c:v>0.63406425195656713</c:v>
                </c:pt>
                <c:pt idx="136">
                  <c:v>0.38192218777067044</c:v>
                </c:pt>
                <c:pt idx="137">
                  <c:v>2.4384522896149283</c:v>
                </c:pt>
                <c:pt idx="138">
                  <c:v>1.5393481901410322</c:v>
                </c:pt>
                <c:pt idx="139">
                  <c:v>1.0540696771480906</c:v>
                </c:pt>
                <c:pt idx="140">
                  <c:v>1.9307580700529599</c:v>
                </c:pt>
                <c:pt idx="141">
                  <c:v>0.91494039516680781</c:v>
                </c:pt>
                <c:pt idx="142">
                  <c:v>1.2340996263748307</c:v>
                </c:pt>
                <c:pt idx="143">
                  <c:v>-0.48429197945072056</c:v>
                </c:pt>
                <c:pt idx="144">
                  <c:v>0.42936457154626917</c:v>
                </c:pt>
                <c:pt idx="145">
                  <c:v>-0.34403121368884138</c:v>
                </c:pt>
                <c:pt idx="146">
                  <c:v>-1.2404710002241721</c:v>
                </c:pt>
                <c:pt idx="147">
                  <c:v>1.2872621665778419</c:v>
                </c:pt>
                <c:pt idx="148">
                  <c:v>3.0412613215490047E-2</c:v>
                </c:pt>
                <c:pt idx="149">
                  <c:v>2.2347344566988911</c:v>
                </c:pt>
                <c:pt idx="150">
                  <c:v>0.76247066138482289</c:v>
                </c:pt>
                <c:pt idx="151">
                  <c:v>0.76025376300030523</c:v>
                </c:pt>
                <c:pt idx="152">
                  <c:v>0.91937205804967026</c:v>
                </c:pt>
                <c:pt idx="153">
                  <c:v>1.6865283760633734</c:v>
                </c:pt>
                <c:pt idx="154">
                  <c:v>0.68080241419256771</c:v>
                </c:pt>
                <c:pt idx="155">
                  <c:v>-0.46753894906462135</c:v>
                </c:pt>
                <c:pt idx="156">
                  <c:v>0.38975861684597923</c:v>
                </c:pt>
                <c:pt idx="157">
                  <c:v>-0.14326153213307447</c:v>
                </c:pt>
                <c:pt idx="158">
                  <c:v>-1.9499512249184234</c:v>
                </c:pt>
                <c:pt idx="159">
                  <c:v>-2.232747440243299</c:v>
                </c:pt>
                <c:pt idx="160">
                  <c:v>-1.3669453071792281</c:v>
                </c:pt>
                <c:pt idx="161">
                  <c:v>0.10974364586072616</c:v>
                </c:pt>
                <c:pt idx="162">
                  <c:v>8.8166277044970334E-2</c:v>
                </c:pt>
                <c:pt idx="163">
                  <c:v>1.7579366269096437</c:v>
                </c:pt>
                <c:pt idx="164">
                  <c:v>2.2856869473426613</c:v>
                </c:pt>
                <c:pt idx="165">
                  <c:v>0.47487433280337576</c:v>
                </c:pt>
                <c:pt idx="166">
                  <c:v>1.7117374526466749</c:v>
                </c:pt>
                <c:pt idx="167">
                  <c:v>1.1379289910576884</c:v>
                </c:pt>
                <c:pt idx="168">
                  <c:v>-0.10364066380031334</c:v>
                </c:pt>
                <c:pt idx="169">
                  <c:v>-0.58470259740983999</c:v>
                </c:pt>
                <c:pt idx="170">
                  <c:v>-1.1814859126740562</c:v>
                </c:pt>
                <c:pt idx="171">
                  <c:v>0.46402724408559259</c:v>
                </c:pt>
                <c:pt idx="172">
                  <c:v>0.32708840832926933</c:v>
                </c:pt>
                <c:pt idx="173">
                  <c:v>0.45566167440762928</c:v>
                </c:pt>
                <c:pt idx="174">
                  <c:v>1.1603827132577602</c:v>
                </c:pt>
                <c:pt idx="175">
                  <c:v>1.296574295846066</c:v>
                </c:pt>
                <c:pt idx="176">
                  <c:v>9.0866120772121972E-2</c:v>
                </c:pt>
                <c:pt idx="177">
                  <c:v>-1.474207524720589</c:v>
                </c:pt>
                <c:pt idx="178">
                  <c:v>-1.772818841812531</c:v>
                </c:pt>
                <c:pt idx="179">
                  <c:v>-3.0226007511825634</c:v>
                </c:pt>
                <c:pt idx="180">
                  <c:v>-2.4866330523678473</c:v>
                </c:pt>
                <c:pt idx="181">
                  <c:v>-4.0468272026783101</c:v>
                </c:pt>
                <c:pt idx="182">
                  <c:v>-4.9479700614624802</c:v>
                </c:pt>
                <c:pt idx="183">
                  <c:v>-5.1904248665016235</c:v>
                </c:pt>
                <c:pt idx="184">
                  <c:v>-4.593591335661948</c:v>
                </c:pt>
                <c:pt idx="185">
                  <c:v>-4.7033918430379664</c:v>
                </c:pt>
                <c:pt idx="186">
                  <c:v>-4.8403302802674535</c:v>
                </c:pt>
                <c:pt idx="187">
                  <c:v>-4.3327973233532431</c:v>
                </c:pt>
                <c:pt idx="188">
                  <c:v>-3.8471759239551258</c:v>
                </c:pt>
                <c:pt idx="189">
                  <c:v>-5.0146632785916294</c:v>
                </c:pt>
                <c:pt idx="190">
                  <c:v>-4.6990029659987833</c:v>
                </c:pt>
                <c:pt idx="191">
                  <c:v>-4.3566517696488933</c:v>
                </c:pt>
                <c:pt idx="192">
                  <c:v>-5.866285477599801</c:v>
                </c:pt>
                <c:pt idx="193">
                  <c:v>-5.4531698413363445</c:v>
                </c:pt>
                <c:pt idx="194">
                  <c:v>-5.6457172733209315</c:v>
                </c:pt>
                <c:pt idx="195">
                  <c:v>-6.4706803536717628</c:v>
                </c:pt>
                <c:pt idx="196">
                  <c:v>-7.4791777191918358</c:v>
                </c:pt>
                <c:pt idx="197">
                  <c:v>-6.6690197781711431</c:v>
                </c:pt>
                <c:pt idx="198">
                  <c:v>-6.5569649832411194</c:v>
                </c:pt>
                <c:pt idx="199">
                  <c:v>-8.4728047118330387</c:v>
                </c:pt>
                <c:pt idx="200">
                  <c:v>-8.9128332639399321</c:v>
                </c:pt>
                <c:pt idx="201">
                  <c:v>-9.6993860864539982</c:v>
                </c:pt>
                <c:pt idx="202">
                  <c:v>-9.0532370826256177</c:v>
                </c:pt>
                <c:pt idx="203">
                  <c:v>-9.8391480108582918</c:v>
                </c:pt>
                <c:pt idx="204">
                  <c:v>-10.932674917151937</c:v>
                </c:pt>
                <c:pt idx="205">
                  <c:v>-11.11186778810524</c:v>
                </c:pt>
                <c:pt idx="206">
                  <c:v>-10.518915407627984</c:v>
                </c:pt>
                <c:pt idx="207">
                  <c:v>-9.703446347270658</c:v>
                </c:pt>
                <c:pt idx="208">
                  <c:v>-9.6166397731853266</c:v>
                </c:pt>
                <c:pt idx="209">
                  <c:v>-8.3420963332952951</c:v>
                </c:pt>
                <c:pt idx="210">
                  <c:v>-6.6014569244771435</c:v>
                </c:pt>
                <c:pt idx="211">
                  <c:v>-6.9069613381693298</c:v>
                </c:pt>
                <c:pt idx="212">
                  <c:v>-8.5925053810983822</c:v>
                </c:pt>
                <c:pt idx="213">
                  <c:v>-7.7110258518503683</c:v>
                </c:pt>
                <c:pt idx="214">
                  <c:v>-8.1629317749919483</c:v>
                </c:pt>
                <c:pt idx="215">
                  <c:v>-8.1833634173150429</c:v>
                </c:pt>
                <c:pt idx="216">
                  <c:v>-7.4273387562505349</c:v>
                </c:pt>
                <c:pt idx="217">
                  <c:v>-6.5110614200967181</c:v>
                </c:pt>
                <c:pt idx="218">
                  <c:v>-6.9226074798708588</c:v>
                </c:pt>
                <c:pt idx="219">
                  <c:v>-7.2282166281780178</c:v>
                </c:pt>
                <c:pt idx="220">
                  <c:v>-6.5641750559123757</c:v>
                </c:pt>
                <c:pt idx="221">
                  <c:v>-3.7434610120436616</c:v>
                </c:pt>
                <c:pt idx="222">
                  <c:v>-3.9590681757704624</c:v>
                </c:pt>
                <c:pt idx="223">
                  <c:v>-2.0807978864100454</c:v>
                </c:pt>
                <c:pt idx="224">
                  <c:v>-3.174118644867217</c:v>
                </c:pt>
                <c:pt idx="225">
                  <c:v>-1.4939635827482987</c:v>
                </c:pt>
                <c:pt idx="226">
                  <c:v>-0.58483124467690439</c:v>
                </c:pt>
                <c:pt idx="227">
                  <c:v>-0.67122867581318379</c:v>
                </c:pt>
                <c:pt idx="228">
                  <c:v>-2.0615388100874155E-2</c:v>
                </c:pt>
                <c:pt idx="229">
                  <c:v>-0.41443234091962833</c:v>
                </c:pt>
                <c:pt idx="230">
                  <c:v>-1.4162845198668945</c:v>
                </c:pt>
                <c:pt idx="231">
                  <c:v>-2.7486400703513212</c:v>
                </c:pt>
                <c:pt idx="232">
                  <c:v>-2.4214940269382472</c:v>
                </c:pt>
                <c:pt idx="233">
                  <c:v>-3.7377078792816949</c:v>
                </c:pt>
                <c:pt idx="234">
                  <c:v>-5.6749584414133212</c:v>
                </c:pt>
                <c:pt idx="235">
                  <c:v>-5.5748894481108531</c:v>
                </c:pt>
                <c:pt idx="236">
                  <c:v>-7.282939036481503</c:v>
                </c:pt>
                <c:pt idx="237">
                  <c:v>-7.1578924903381695</c:v>
                </c:pt>
                <c:pt idx="238">
                  <c:v>-7.2515963475742575</c:v>
                </c:pt>
                <c:pt idx="239">
                  <c:v>-7.4630186897477397</c:v>
                </c:pt>
                <c:pt idx="240">
                  <c:v>-4.8476404073063346</c:v>
                </c:pt>
                <c:pt idx="241">
                  <c:v>-4.1008883790765651</c:v>
                </c:pt>
                <c:pt idx="242">
                  <c:v>-4.4097403726057474</c:v>
                </c:pt>
                <c:pt idx="243">
                  <c:v>-4.7922453175111626</c:v>
                </c:pt>
                <c:pt idx="244">
                  <c:v>-6.4830859943914767</c:v>
                </c:pt>
                <c:pt idx="245">
                  <c:v>-6.5315398935850633</c:v>
                </c:pt>
                <c:pt idx="246">
                  <c:v>-5.0684786498494976</c:v>
                </c:pt>
                <c:pt idx="247">
                  <c:v>-4.683049477476434</c:v>
                </c:pt>
                <c:pt idx="248">
                  <c:v>-6.2583347696495712</c:v>
                </c:pt>
                <c:pt idx="249">
                  <c:v>-4.3026206014934498</c:v>
                </c:pt>
                <c:pt idx="250">
                  <c:v>-4.4953687888304046</c:v>
                </c:pt>
                <c:pt idx="251">
                  <c:v>-4.8530677370259809</c:v>
                </c:pt>
                <c:pt idx="252">
                  <c:v>-7.2464015614206359</c:v>
                </c:pt>
                <c:pt idx="253">
                  <c:v>-6.5733743087076775</c:v>
                </c:pt>
                <c:pt idx="254">
                  <c:v>-7.5552482128801257</c:v>
                </c:pt>
                <c:pt idx="255">
                  <c:v>-7.6114988143079509</c:v>
                </c:pt>
                <c:pt idx="256">
                  <c:v>-7.5365627611617949</c:v>
                </c:pt>
                <c:pt idx="257">
                  <c:v>-6.9040835703532455</c:v>
                </c:pt>
                <c:pt idx="258">
                  <c:v>-6.8991763341483425</c:v>
                </c:pt>
                <c:pt idx="259">
                  <c:v>-6.5027205852979089</c:v>
                </c:pt>
                <c:pt idx="260">
                  <c:v>-6.0134826305192712</c:v>
                </c:pt>
                <c:pt idx="261">
                  <c:v>-6.0973655776063511</c:v>
                </c:pt>
                <c:pt idx="262">
                  <c:v>-5.7115579908145531</c:v>
                </c:pt>
                <c:pt idx="263">
                  <c:v>-5.0214742006469271</c:v>
                </c:pt>
                <c:pt idx="264">
                  <c:v>-6.1056142472178383</c:v>
                </c:pt>
                <c:pt idx="265">
                  <c:v>-5.4389323371349212</c:v>
                </c:pt>
                <c:pt idx="266">
                  <c:v>-6.2242536241229569</c:v>
                </c:pt>
                <c:pt idx="267">
                  <c:v>-5.976932986854127</c:v>
                </c:pt>
                <c:pt idx="268">
                  <c:v>-3.6098149029330804</c:v>
                </c:pt>
                <c:pt idx="269">
                  <c:v>-2.4977019097581517</c:v>
                </c:pt>
                <c:pt idx="270">
                  <c:v>-1.5551262903177128</c:v>
                </c:pt>
                <c:pt idx="271">
                  <c:v>0.51272912426927442</c:v>
                </c:pt>
                <c:pt idx="272">
                  <c:v>1.4646739776951669</c:v>
                </c:pt>
                <c:pt idx="273">
                  <c:v>2.7641500431236903</c:v>
                </c:pt>
                <c:pt idx="274">
                  <c:v>2.7398865438232503</c:v>
                </c:pt>
                <c:pt idx="275">
                  <c:v>2.6371053632120001</c:v>
                </c:pt>
                <c:pt idx="276">
                  <c:v>1.3847592093761829</c:v>
                </c:pt>
                <c:pt idx="277">
                  <c:v>-0.86535796138567278</c:v>
                </c:pt>
                <c:pt idx="278">
                  <c:v>-2.5313703806332519</c:v>
                </c:pt>
                <c:pt idx="279">
                  <c:v>-0.88877731052859787</c:v>
                </c:pt>
                <c:pt idx="280">
                  <c:v>2.9303221871722407E-2</c:v>
                </c:pt>
                <c:pt idx="281">
                  <c:v>-4.1607361837210977E-2</c:v>
                </c:pt>
                <c:pt idx="282">
                  <c:v>2.0477193987926672</c:v>
                </c:pt>
                <c:pt idx="283">
                  <c:v>1.9142843197107329</c:v>
                </c:pt>
                <c:pt idx="284">
                  <c:v>2.060507444335963</c:v>
                </c:pt>
                <c:pt idx="285">
                  <c:v>1.1983605796715529</c:v>
                </c:pt>
                <c:pt idx="286">
                  <c:v>2.2947037261429601</c:v>
                </c:pt>
                <c:pt idx="287">
                  <c:v>4.0174040077500548</c:v>
                </c:pt>
                <c:pt idx="288">
                  <c:v>3.000056167414372</c:v>
                </c:pt>
                <c:pt idx="289">
                  <c:v>2.4676510240741183</c:v>
                </c:pt>
                <c:pt idx="290">
                  <c:v>2.4467068312008973</c:v>
                </c:pt>
                <c:pt idx="291">
                  <c:v>3.221980326314966</c:v>
                </c:pt>
                <c:pt idx="292">
                  <c:v>4.7376011204639283</c:v>
                </c:pt>
                <c:pt idx="293">
                  <c:v>5.9160590963285662</c:v>
                </c:pt>
                <c:pt idx="294">
                  <c:v>6.9614765639045846</c:v>
                </c:pt>
                <c:pt idx="295">
                  <c:v>7.7931115739921673</c:v>
                </c:pt>
                <c:pt idx="296">
                  <c:v>8.550082403455761</c:v>
                </c:pt>
                <c:pt idx="297">
                  <c:v>10.004236955897312</c:v>
                </c:pt>
                <c:pt idx="298">
                  <c:v>8.3420716860389259</c:v>
                </c:pt>
                <c:pt idx="299">
                  <c:v>6.8085378720773981</c:v>
                </c:pt>
                <c:pt idx="300">
                  <c:v>5.8664237906588115</c:v>
                </c:pt>
                <c:pt idx="301">
                  <c:v>6.8383514454985006</c:v>
                </c:pt>
                <c:pt idx="302">
                  <c:v>5.791002020859783</c:v>
                </c:pt>
                <c:pt idx="303">
                  <c:v>6.3179984464716377</c:v>
                </c:pt>
                <c:pt idx="304">
                  <c:v>4.984655412731267</c:v>
                </c:pt>
                <c:pt idx="305">
                  <c:v>6.9184561915650686</c:v>
                </c:pt>
                <c:pt idx="306">
                  <c:v>6.7957045348606053</c:v>
                </c:pt>
                <c:pt idx="307">
                  <c:v>5.380312695051952</c:v>
                </c:pt>
                <c:pt idx="308">
                  <c:v>5.4389268494592322</c:v>
                </c:pt>
                <c:pt idx="309">
                  <c:v>6.1109556576181312</c:v>
                </c:pt>
                <c:pt idx="310">
                  <c:v>7.256296105348266</c:v>
                </c:pt>
                <c:pt idx="311">
                  <c:v>8.2009688824921323</c:v>
                </c:pt>
                <c:pt idx="312">
                  <c:v>8.0339361160560792</c:v>
                </c:pt>
                <c:pt idx="313">
                  <c:v>10.217971150486875</c:v>
                </c:pt>
                <c:pt idx="314">
                  <c:v>9.0415316070648704</c:v>
                </c:pt>
                <c:pt idx="315">
                  <c:v>9.3482292297719596</c:v>
                </c:pt>
                <c:pt idx="316">
                  <c:v>8.5909815077019527</c:v>
                </c:pt>
                <c:pt idx="317">
                  <c:v>7.8037379413086496</c:v>
                </c:pt>
                <c:pt idx="318">
                  <c:v>8.2574717937334867</c:v>
                </c:pt>
                <c:pt idx="319">
                  <c:v>7.8234014088273049</c:v>
                </c:pt>
                <c:pt idx="320">
                  <c:v>5.9218417884471979</c:v>
                </c:pt>
                <c:pt idx="321">
                  <c:v>6.5926431517875255</c:v>
                </c:pt>
                <c:pt idx="322">
                  <c:v>7.140809381695373</c:v>
                </c:pt>
                <c:pt idx="323">
                  <c:v>6.8906569409535656</c:v>
                </c:pt>
                <c:pt idx="324">
                  <c:v>7.5577413450870381</c:v>
                </c:pt>
                <c:pt idx="325">
                  <c:v>8.4569865711789607</c:v>
                </c:pt>
                <c:pt idx="326">
                  <c:v>8.8878982285813457</c:v>
                </c:pt>
                <c:pt idx="327">
                  <c:v>8.112304390210495</c:v>
                </c:pt>
                <c:pt idx="328">
                  <c:v>8.4542442427172819</c:v>
                </c:pt>
                <c:pt idx="329">
                  <c:v>8.5098265548191279</c:v>
                </c:pt>
                <c:pt idx="330">
                  <c:v>8.905320607145514</c:v>
                </c:pt>
                <c:pt idx="331">
                  <c:v>7.0065705000846092</c:v>
                </c:pt>
                <c:pt idx="332">
                  <c:v>7.644875486832043</c:v>
                </c:pt>
                <c:pt idx="333">
                  <c:v>9.4185983647922953</c:v>
                </c:pt>
                <c:pt idx="334">
                  <c:v>9.8604151213168674</c:v>
                </c:pt>
                <c:pt idx="335">
                  <c:v>9.0446359460264656</c:v>
                </c:pt>
                <c:pt idx="336">
                  <c:v>8.6757473388937871</c:v>
                </c:pt>
                <c:pt idx="337">
                  <c:v>8.8691704985726378</c:v>
                </c:pt>
                <c:pt idx="338">
                  <c:v>9.8176387727084435</c:v>
                </c:pt>
                <c:pt idx="339">
                  <c:v>9.3739791494430413</c:v>
                </c:pt>
                <c:pt idx="340">
                  <c:v>9.2464748938446757</c:v>
                </c:pt>
                <c:pt idx="341">
                  <c:v>10.59474639426025</c:v>
                </c:pt>
                <c:pt idx="342">
                  <c:v>10.942397837204794</c:v>
                </c:pt>
                <c:pt idx="343">
                  <c:v>10.657547717203215</c:v>
                </c:pt>
                <c:pt idx="344">
                  <c:v>11.259697226462315</c:v>
                </c:pt>
                <c:pt idx="345">
                  <c:v>12.356894479779271</c:v>
                </c:pt>
                <c:pt idx="346">
                  <c:v>11.829939810506231</c:v>
                </c:pt>
                <c:pt idx="347">
                  <c:v>11.672821656421915</c:v>
                </c:pt>
                <c:pt idx="348">
                  <c:v>12.290978872025875</c:v>
                </c:pt>
                <c:pt idx="349">
                  <c:v>12.650454746687837</c:v>
                </c:pt>
                <c:pt idx="350">
                  <c:v>12.790278526663101</c:v>
                </c:pt>
                <c:pt idx="351">
                  <c:v>13.658536863954478</c:v>
                </c:pt>
                <c:pt idx="352">
                  <c:v>15.055798263958042</c:v>
                </c:pt>
                <c:pt idx="353">
                  <c:v>17.059255325531389</c:v>
                </c:pt>
                <c:pt idx="354">
                  <c:v>17.733843033435146</c:v>
                </c:pt>
                <c:pt idx="355">
                  <c:v>17.790450830995447</c:v>
                </c:pt>
                <c:pt idx="356">
                  <c:v>17.467132698160391</c:v>
                </c:pt>
                <c:pt idx="357">
                  <c:v>16.341989327314376</c:v>
                </c:pt>
                <c:pt idx="358">
                  <c:v>15.07217384379965</c:v>
                </c:pt>
                <c:pt idx="359">
                  <c:v>14.393672035270129</c:v>
                </c:pt>
                <c:pt idx="360">
                  <c:v>13.944811502053748</c:v>
                </c:pt>
                <c:pt idx="361">
                  <c:v>15.563718022703485</c:v>
                </c:pt>
                <c:pt idx="362">
                  <c:v>15.391871588938216</c:v>
                </c:pt>
                <c:pt idx="363">
                  <c:v>15.759400326879531</c:v>
                </c:pt>
                <c:pt idx="364">
                  <c:v>15.645425560535694</c:v>
                </c:pt>
                <c:pt idx="365">
                  <c:v>18.492182071651662</c:v>
                </c:pt>
                <c:pt idx="366">
                  <c:v>17.779207359294723</c:v>
                </c:pt>
                <c:pt idx="367">
                  <c:v>17.583343953060176</c:v>
                </c:pt>
                <c:pt idx="368">
                  <c:v>18.205621694316303</c:v>
                </c:pt>
                <c:pt idx="369">
                  <c:v>18.915413415438415</c:v>
                </c:pt>
                <c:pt idx="370">
                  <c:v>19.180839861018931</c:v>
                </c:pt>
                <c:pt idx="371">
                  <c:v>19.020486885041031</c:v>
                </c:pt>
                <c:pt idx="372">
                  <c:v>19.577454788727284</c:v>
                </c:pt>
                <c:pt idx="373">
                  <c:v>21.163431294517885</c:v>
                </c:pt>
                <c:pt idx="374">
                  <c:v>23.255773056075228</c:v>
                </c:pt>
                <c:pt idx="375">
                  <c:v>20.991265226260978</c:v>
                </c:pt>
                <c:pt idx="376">
                  <c:v>20.365946699585638</c:v>
                </c:pt>
                <c:pt idx="377">
                  <c:v>21.56480794256651</c:v>
                </c:pt>
                <c:pt idx="378">
                  <c:v>20.968252747831109</c:v>
                </c:pt>
                <c:pt idx="379">
                  <c:v>20.185950472112641</c:v>
                </c:pt>
                <c:pt idx="380">
                  <c:v>20.637625363100483</c:v>
                </c:pt>
                <c:pt idx="381">
                  <c:v>21.074985681925451</c:v>
                </c:pt>
                <c:pt idx="382">
                  <c:v>21.684917481710976</c:v>
                </c:pt>
                <c:pt idx="383">
                  <c:v>22.231114580562675</c:v>
                </c:pt>
                <c:pt idx="384">
                  <c:v>22.023524865889527</c:v>
                </c:pt>
                <c:pt idx="385">
                  <c:v>22.650414544556188</c:v>
                </c:pt>
                <c:pt idx="386">
                  <c:v>23.191379863128358</c:v>
                </c:pt>
                <c:pt idx="387">
                  <c:v>21.886341756390621</c:v>
                </c:pt>
                <c:pt idx="388">
                  <c:v>21.739254785460123</c:v>
                </c:pt>
                <c:pt idx="389">
                  <c:v>23.371673308992463</c:v>
                </c:pt>
                <c:pt idx="390">
                  <c:v>24.463802700308136</c:v>
                </c:pt>
                <c:pt idx="391">
                  <c:v>23.598603812548205</c:v>
                </c:pt>
                <c:pt idx="392">
                  <c:v>23.824581116478925</c:v>
                </c:pt>
                <c:pt idx="393">
                  <c:v>22.791497241260487</c:v>
                </c:pt>
                <c:pt idx="394">
                  <c:v>23.331754630714453</c:v>
                </c:pt>
                <c:pt idx="395">
                  <c:v>21.32944018014571</c:v>
                </c:pt>
                <c:pt idx="396">
                  <c:v>22.477536287394841</c:v>
                </c:pt>
                <c:pt idx="397">
                  <c:v>23.307439701765198</c:v>
                </c:pt>
                <c:pt idx="398">
                  <c:v>21.916676197339015</c:v>
                </c:pt>
                <c:pt idx="399">
                  <c:v>22.228782479108474</c:v>
                </c:pt>
                <c:pt idx="400">
                  <c:v>24.049182394671799</c:v>
                </c:pt>
                <c:pt idx="401">
                  <c:v>25.303363261972525</c:v>
                </c:pt>
                <c:pt idx="402">
                  <c:v>25.241206013255109</c:v>
                </c:pt>
                <c:pt idx="403">
                  <c:v>24.4027863319935</c:v>
                </c:pt>
                <c:pt idx="404">
                  <c:v>24.307356621941629</c:v>
                </c:pt>
                <c:pt idx="405">
                  <c:v>25.838236405109942</c:v>
                </c:pt>
                <c:pt idx="406">
                  <c:v>25.84887651917288</c:v>
                </c:pt>
                <c:pt idx="407">
                  <c:v>27.511759233997687</c:v>
                </c:pt>
                <c:pt idx="408">
                  <c:v>28.759312569561253</c:v>
                </c:pt>
                <c:pt idx="409">
                  <c:v>28.850287397926785</c:v>
                </c:pt>
                <c:pt idx="410">
                  <c:v>31.572999416732678</c:v>
                </c:pt>
                <c:pt idx="411">
                  <c:v>31.617585133371918</c:v>
                </c:pt>
                <c:pt idx="412">
                  <c:v>30.712510405009478</c:v>
                </c:pt>
                <c:pt idx="413">
                  <c:v>30.974612062857705</c:v>
                </c:pt>
                <c:pt idx="414">
                  <c:v>30.735305798993405</c:v>
                </c:pt>
                <c:pt idx="415">
                  <c:v>31.371756674134453</c:v>
                </c:pt>
                <c:pt idx="416">
                  <c:v>29.217880683125998</c:v>
                </c:pt>
                <c:pt idx="417">
                  <c:v>28.980605971077445</c:v>
                </c:pt>
                <c:pt idx="418">
                  <c:v>29.591981060608745</c:v>
                </c:pt>
                <c:pt idx="419">
                  <c:v>28.776490187496787</c:v>
                </c:pt>
                <c:pt idx="420">
                  <c:v>29.478587113839023</c:v>
                </c:pt>
                <c:pt idx="421">
                  <c:v>28.4603386860074</c:v>
                </c:pt>
                <c:pt idx="422">
                  <c:v>29.075065836017636</c:v>
                </c:pt>
                <c:pt idx="423">
                  <c:v>29.55756512734963</c:v>
                </c:pt>
                <c:pt idx="424">
                  <c:v>29.663471362594052</c:v>
                </c:pt>
                <c:pt idx="425">
                  <c:v>31.591275614390369</c:v>
                </c:pt>
                <c:pt idx="426">
                  <c:v>33.135580763310593</c:v>
                </c:pt>
                <c:pt idx="427">
                  <c:v>33.677487858733954</c:v>
                </c:pt>
                <c:pt idx="428">
                  <c:v>33.578969487587109</c:v>
                </c:pt>
                <c:pt idx="429">
                  <c:v>33.045052644243228</c:v>
                </c:pt>
                <c:pt idx="430">
                  <c:v>32.708336108541189</c:v>
                </c:pt>
                <c:pt idx="431">
                  <c:v>32.733196085349213</c:v>
                </c:pt>
                <c:pt idx="432">
                  <c:v>34.322709138627616</c:v>
                </c:pt>
                <c:pt idx="433">
                  <c:v>35.780228017402692</c:v>
                </c:pt>
                <c:pt idx="434">
                  <c:v>35.238740023453431</c:v>
                </c:pt>
                <c:pt idx="435">
                  <c:v>35.871995543673464</c:v>
                </c:pt>
                <c:pt idx="436">
                  <c:v>36.853517552271789</c:v>
                </c:pt>
                <c:pt idx="437">
                  <c:v>35.752099234618051</c:v>
                </c:pt>
                <c:pt idx="438">
                  <c:v>38.142315451031571</c:v>
                </c:pt>
                <c:pt idx="439">
                  <c:v>38.352915018564929</c:v>
                </c:pt>
                <c:pt idx="440">
                  <c:v>38.999781410350685</c:v>
                </c:pt>
                <c:pt idx="441">
                  <c:v>38.970903866039976</c:v>
                </c:pt>
                <c:pt idx="442">
                  <c:v>37.057263781717133</c:v>
                </c:pt>
                <c:pt idx="443">
                  <c:v>39.068473134234239</c:v>
                </c:pt>
                <c:pt idx="444">
                  <c:v>38.802248850577712</c:v>
                </c:pt>
                <c:pt idx="445">
                  <c:v>37.990092385366943</c:v>
                </c:pt>
                <c:pt idx="446">
                  <c:v>38.004418274426989</c:v>
                </c:pt>
                <c:pt idx="447">
                  <c:v>39.158681267064537</c:v>
                </c:pt>
                <c:pt idx="448">
                  <c:v>39.002626600489016</c:v>
                </c:pt>
                <c:pt idx="449">
                  <c:v>39.429928358865453</c:v>
                </c:pt>
                <c:pt idx="450">
                  <c:v>38.523768123713211</c:v>
                </c:pt>
                <c:pt idx="451">
                  <c:v>36.660907671478128</c:v>
                </c:pt>
                <c:pt idx="452">
                  <c:v>36.051694719084132</c:v>
                </c:pt>
                <c:pt idx="453">
                  <c:v>36.430045478351246</c:v>
                </c:pt>
                <c:pt idx="454">
                  <c:v>37.465834091060898</c:v>
                </c:pt>
                <c:pt idx="455">
                  <c:v>37.256939176162653</c:v>
                </c:pt>
                <c:pt idx="456">
                  <c:v>37.230479686218871</c:v>
                </c:pt>
                <c:pt idx="457">
                  <c:v>36.768905453396023</c:v>
                </c:pt>
                <c:pt idx="458">
                  <c:v>37.368308750703832</c:v>
                </c:pt>
                <c:pt idx="459">
                  <c:v>38.268326002238183</c:v>
                </c:pt>
                <c:pt idx="460">
                  <c:v>37.480244352166856</c:v>
                </c:pt>
                <c:pt idx="461">
                  <c:v>36.714955107660039</c:v>
                </c:pt>
                <c:pt idx="462">
                  <c:v>37.619862500791314</c:v>
                </c:pt>
                <c:pt idx="463">
                  <c:v>37.749092496809084</c:v>
                </c:pt>
                <c:pt idx="464">
                  <c:v>36.120031922191664</c:v>
                </c:pt>
                <c:pt idx="465">
                  <c:v>34.082492499874981</c:v>
                </c:pt>
                <c:pt idx="466">
                  <c:v>34.324111414960214</c:v>
                </c:pt>
                <c:pt idx="467">
                  <c:v>35.371030432437124</c:v>
                </c:pt>
                <c:pt idx="468">
                  <c:v>34.712610846968097</c:v>
                </c:pt>
                <c:pt idx="469">
                  <c:v>35.161297270728198</c:v>
                </c:pt>
                <c:pt idx="470">
                  <c:v>35.107477922795944</c:v>
                </c:pt>
                <c:pt idx="471">
                  <c:v>34.48272505040503</c:v>
                </c:pt>
                <c:pt idx="472">
                  <c:v>33.91850927582901</c:v>
                </c:pt>
                <c:pt idx="473">
                  <c:v>35.359805811537761</c:v>
                </c:pt>
                <c:pt idx="474">
                  <c:v>34.194639666909168</c:v>
                </c:pt>
                <c:pt idx="475">
                  <c:v>35.248092480646221</c:v>
                </c:pt>
                <c:pt idx="476">
                  <c:v>34.454918581806723</c:v>
                </c:pt>
                <c:pt idx="477">
                  <c:v>33.718044602303664</c:v>
                </c:pt>
                <c:pt idx="478">
                  <c:v>34.242280852521702</c:v>
                </c:pt>
                <c:pt idx="479">
                  <c:v>33.153134062049396</c:v>
                </c:pt>
                <c:pt idx="480">
                  <c:v>32.211527157227373</c:v>
                </c:pt>
                <c:pt idx="481">
                  <c:v>33.605136677963095</c:v>
                </c:pt>
                <c:pt idx="482">
                  <c:v>33.82292510178052</c:v>
                </c:pt>
                <c:pt idx="483">
                  <c:v>32.732033738205182</c:v>
                </c:pt>
                <c:pt idx="484">
                  <c:v>31.566892739097604</c:v>
                </c:pt>
                <c:pt idx="485">
                  <c:v>33.03068000234228</c:v>
                </c:pt>
                <c:pt idx="486">
                  <c:v>31.942970811194495</c:v>
                </c:pt>
                <c:pt idx="487">
                  <c:v>32.157623157384329</c:v>
                </c:pt>
                <c:pt idx="488">
                  <c:v>31.398882990926456</c:v>
                </c:pt>
                <c:pt idx="489">
                  <c:v>29.284199824622199</c:v>
                </c:pt>
                <c:pt idx="490">
                  <c:v>28.745039919078401</c:v>
                </c:pt>
                <c:pt idx="491">
                  <c:v>27.40047369948396</c:v>
                </c:pt>
                <c:pt idx="492">
                  <c:v>28.348735968556024</c:v>
                </c:pt>
                <c:pt idx="493">
                  <c:v>28.370367391325708</c:v>
                </c:pt>
                <c:pt idx="494">
                  <c:v>28.378692928466041</c:v>
                </c:pt>
                <c:pt idx="495">
                  <c:v>27.553275554175514</c:v>
                </c:pt>
                <c:pt idx="496">
                  <c:v>26.700936207653832</c:v>
                </c:pt>
                <c:pt idx="497">
                  <c:v>25.884300082655631</c:v>
                </c:pt>
                <c:pt idx="498">
                  <c:v>24.126766382739397</c:v>
                </c:pt>
                <c:pt idx="499">
                  <c:v>24.315925707177541</c:v>
                </c:pt>
                <c:pt idx="500">
                  <c:v>23.390753598341572</c:v>
                </c:pt>
                <c:pt idx="501">
                  <c:v>25.010801528284048</c:v>
                </c:pt>
                <c:pt idx="502">
                  <c:v>24.106644553282095</c:v>
                </c:pt>
                <c:pt idx="503">
                  <c:v>24.262983666964551</c:v>
                </c:pt>
                <c:pt idx="504">
                  <c:v>24.283299957364626</c:v>
                </c:pt>
                <c:pt idx="505">
                  <c:v>26.512889872312691</c:v>
                </c:pt>
                <c:pt idx="506">
                  <c:v>25.820787654176268</c:v>
                </c:pt>
                <c:pt idx="507">
                  <c:v>26.617366929399211</c:v>
                </c:pt>
                <c:pt idx="508">
                  <c:v>26.238997161093611</c:v>
                </c:pt>
                <c:pt idx="509">
                  <c:v>26.92976988244337</c:v>
                </c:pt>
                <c:pt idx="510">
                  <c:v>26.694161240413781</c:v>
                </c:pt>
                <c:pt idx="511">
                  <c:v>25.76688639743001</c:v>
                </c:pt>
                <c:pt idx="512">
                  <c:v>24.8086520694992</c:v>
                </c:pt>
                <c:pt idx="513">
                  <c:v>24.900415839312451</c:v>
                </c:pt>
                <c:pt idx="514">
                  <c:v>24.416350436393675</c:v>
                </c:pt>
                <c:pt idx="515">
                  <c:v>25.164082680704695</c:v>
                </c:pt>
                <c:pt idx="516">
                  <c:v>25.372927822191809</c:v>
                </c:pt>
                <c:pt idx="517">
                  <c:v>25.708272926795601</c:v>
                </c:pt>
                <c:pt idx="518">
                  <c:v>24.892341381707546</c:v>
                </c:pt>
                <c:pt idx="519">
                  <c:v>25.062547801324904</c:v>
                </c:pt>
                <c:pt idx="520">
                  <c:v>26.431913980234018</c:v>
                </c:pt>
                <c:pt idx="521">
                  <c:v>26.597563524149333</c:v>
                </c:pt>
                <c:pt idx="522">
                  <c:v>25.304904844601062</c:v>
                </c:pt>
                <c:pt idx="523">
                  <c:v>24.815080185647268</c:v>
                </c:pt>
                <c:pt idx="524">
                  <c:v>23.507866700880392</c:v>
                </c:pt>
                <c:pt idx="525">
                  <c:v>23.296722110585229</c:v>
                </c:pt>
                <c:pt idx="526">
                  <c:v>24.130500794363726</c:v>
                </c:pt>
                <c:pt idx="527">
                  <c:v>23.589927827674479</c:v>
                </c:pt>
                <c:pt idx="528">
                  <c:v>25.930981415056841</c:v>
                </c:pt>
                <c:pt idx="529">
                  <c:v>24.111147513433156</c:v>
                </c:pt>
                <c:pt idx="530">
                  <c:v>25.064372432843459</c:v>
                </c:pt>
                <c:pt idx="531">
                  <c:v>24.795854681827812</c:v>
                </c:pt>
                <c:pt idx="532">
                  <c:v>24.104366336269084</c:v>
                </c:pt>
                <c:pt idx="533">
                  <c:v>23.754986476880887</c:v>
                </c:pt>
                <c:pt idx="534">
                  <c:v>24.562503727197765</c:v>
                </c:pt>
                <c:pt idx="535">
                  <c:v>26.062595520342402</c:v>
                </c:pt>
                <c:pt idx="536">
                  <c:v>25.190678340312303</c:v>
                </c:pt>
                <c:pt idx="537">
                  <c:v>24.334785306842875</c:v>
                </c:pt>
                <c:pt idx="538">
                  <c:v>23.386496449020207</c:v>
                </c:pt>
                <c:pt idx="539">
                  <c:v>21.392282467771537</c:v>
                </c:pt>
                <c:pt idx="540">
                  <c:v>21.446109726047858</c:v>
                </c:pt>
                <c:pt idx="541">
                  <c:v>20.008291593994961</c:v>
                </c:pt>
                <c:pt idx="542">
                  <c:v>18.612643762193084</c:v>
                </c:pt>
                <c:pt idx="543">
                  <c:v>18.759010145525554</c:v>
                </c:pt>
                <c:pt idx="544">
                  <c:v>18.437034576185745</c:v>
                </c:pt>
                <c:pt idx="545">
                  <c:v>20.100949663985212</c:v>
                </c:pt>
                <c:pt idx="546">
                  <c:v>21.808072681308428</c:v>
                </c:pt>
                <c:pt idx="547">
                  <c:v>21.635165640252637</c:v>
                </c:pt>
                <c:pt idx="548">
                  <c:v>22.165821838892928</c:v>
                </c:pt>
                <c:pt idx="549">
                  <c:v>22.889663358453681</c:v>
                </c:pt>
                <c:pt idx="550">
                  <c:v>22.714612380124528</c:v>
                </c:pt>
                <c:pt idx="551">
                  <c:v>24.022394931926815</c:v>
                </c:pt>
                <c:pt idx="552">
                  <c:v>23.696304740595163</c:v>
                </c:pt>
                <c:pt idx="553">
                  <c:v>24.301826409852985</c:v>
                </c:pt>
                <c:pt idx="554">
                  <c:v>24.481762137981384</c:v>
                </c:pt>
                <c:pt idx="555">
                  <c:v>24.994513845852133</c:v>
                </c:pt>
                <c:pt idx="556">
                  <c:v>25.641826690401402</c:v>
                </c:pt>
                <c:pt idx="557">
                  <c:v>26.099177761581469</c:v>
                </c:pt>
                <c:pt idx="558">
                  <c:v>26.194666771130333</c:v>
                </c:pt>
                <c:pt idx="559">
                  <c:v>25.061851311682322</c:v>
                </c:pt>
                <c:pt idx="560">
                  <c:v>26.086289625141816</c:v>
                </c:pt>
                <c:pt idx="561">
                  <c:v>26.836965170971609</c:v>
                </c:pt>
                <c:pt idx="562">
                  <c:v>26.838554468523537</c:v>
                </c:pt>
                <c:pt idx="563">
                  <c:v>28.397598073947723</c:v>
                </c:pt>
                <c:pt idx="564">
                  <c:v>28.004353217160276</c:v>
                </c:pt>
                <c:pt idx="565">
                  <c:v>27.927776376212879</c:v>
                </c:pt>
                <c:pt idx="566">
                  <c:v>28.931015094991842</c:v>
                </c:pt>
                <c:pt idx="567">
                  <c:v>27.941398670240332</c:v>
                </c:pt>
                <c:pt idx="568">
                  <c:v>27.567253566277412</c:v>
                </c:pt>
                <c:pt idx="569">
                  <c:v>29.723476470916268</c:v>
                </c:pt>
                <c:pt idx="570">
                  <c:v>30.329334869255966</c:v>
                </c:pt>
                <c:pt idx="571">
                  <c:v>30.903051345683309</c:v>
                </c:pt>
                <c:pt idx="572">
                  <c:v>30.464577854951447</c:v>
                </c:pt>
                <c:pt idx="573">
                  <c:v>31.085677858713314</c:v>
                </c:pt>
                <c:pt idx="574">
                  <c:v>30.288952674448446</c:v>
                </c:pt>
                <c:pt idx="575">
                  <c:v>30.291750589414438</c:v>
                </c:pt>
                <c:pt idx="576">
                  <c:v>30.473447928715554</c:v>
                </c:pt>
                <c:pt idx="577">
                  <c:v>33.422425683857568</c:v>
                </c:pt>
                <c:pt idx="578">
                  <c:v>32.225859409531488</c:v>
                </c:pt>
                <c:pt idx="579">
                  <c:v>30.05260666683488</c:v>
                </c:pt>
                <c:pt idx="580">
                  <c:v>27.461763246810282</c:v>
                </c:pt>
                <c:pt idx="581">
                  <c:v>25.669360093737595</c:v>
                </c:pt>
                <c:pt idx="582">
                  <c:v>25.464624218628334</c:v>
                </c:pt>
                <c:pt idx="583">
                  <c:v>25.757153144358533</c:v>
                </c:pt>
                <c:pt idx="584">
                  <c:v>26.289240263295653</c:v>
                </c:pt>
                <c:pt idx="585">
                  <c:v>25.678553099030587</c:v>
                </c:pt>
                <c:pt idx="586">
                  <c:v>25.495855543700653</c:v>
                </c:pt>
                <c:pt idx="587">
                  <c:v>26.064163555962672</c:v>
                </c:pt>
                <c:pt idx="588">
                  <c:v>27.078295598826177</c:v>
                </c:pt>
                <c:pt idx="589">
                  <c:v>28.165977077088712</c:v>
                </c:pt>
                <c:pt idx="590">
                  <c:v>27.068615165341338</c:v>
                </c:pt>
                <c:pt idx="591">
                  <c:v>27.722311432751496</c:v>
                </c:pt>
                <c:pt idx="592">
                  <c:v>28.87522419320079</c:v>
                </c:pt>
                <c:pt idx="593">
                  <c:v>29.519077887835046</c:v>
                </c:pt>
                <c:pt idx="594">
                  <c:v>29.036764763150451</c:v>
                </c:pt>
                <c:pt idx="595">
                  <c:v>27.871164370028438</c:v>
                </c:pt>
                <c:pt idx="596">
                  <c:v>26.555061476945557</c:v>
                </c:pt>
                <c:pt idx="597">
                  <c:v>25.335318137336913</c:v>
                </c:pt>
                <c:pt idx="598">
                  <c:v>25.971543239741411</c:v>
                </c:pt>
                <c:pt idx="599">
                  <c:v>25.537333995447334</c:v>
                </c:pt>
                <c:pt idx="600">
                  <c:v>24.016889856913014</c:v>
                </c:pt>
                <c:pt idx="601">
                  <c:v>23.413563092372325</c:v>
                </c:pt>
                <c:pt idx="602">
                  <c:v>22.230150376772169</c:v>
                </c:pt>
                <c:pt idx="603">
                  <c:v>21.230962634979512</c:v>
                </c:pt>
                <c:pt idx="604">
                  <c:v>20.4886528031486</c:v>
                </c:pt>
                <c:pt idx="605">
                  <c:v>21.297812767459732</c:v>
                </c:pt>
                <c:pt idx="606">
                  <c:v>21.971595819696205</c:v>
                </c:pt>
                <c:pt idx="607">
                  <c:v>22.382115382406507</c:v>
                </c:pt>
                <c:pt idx="608">
                  <c:v>21.707343733131708</c:v>
                </c:pt>
                <c:pt idx="609">
                  <c:v>22.023951138242015</c:v>
                </c:pt>
                <c:pt idx="610">
                  <c:v>21.53844383716724</c:v>
                </c:pt>
                <c:pt idx="611">
                  <c:v>22.646672698783799</c:v>
                </c:pt>
                <c:pt idx="612">
                  <c:v>22.428863427953363</c:v>
                </c:pt>
                <c:pt idx="613">
                  <c:v>22.475155296996576</c:v>
                </c:pt>
                <c:pt idx="614">
                  <c:v>21.872871372860086</c:v>
                </c:pt>
                <c:pt idx="615">
                  <c:v>22.171580876235556</c:v>
                </c:pt>
                <c:pt idx="616">
                  <c:v>22.016150428746421</c:v>
                </c:pt>
                <c:pt idx="617">
                  <c:v>22.017614550021879</c:v>
                </c:pt>
                <c:pt idx="618">
                  <c:v>21.999499049678686</c:v>
                </c:pt>
                <c:pt idx="619">
                  <c:v>20.706816653057288</c:v>
                </c:pt>
                <c:pt idx="620">
                  <c:v>18.94141838045417</c:v>
                </c:pt>
                <c:pt idx="621">
                  <c:v>20.582917824673633</c:v>
                </c:pt>
                <c:pt idx="622">
                  <c:v>19.748571024916256</c:v>
                </c:pt>
                <c:pt idx="623">
                  <c:v>18.010920792915982</c:v>
                </c:pt>
                <c:pt idx="624">
                  <c:v>17.436542847747383</c:v>
                </c:pt>
                <c:pt idx="625">
                  <c:v>18.907730865921071</c:v>
                </c:pt>
                <c:pt idx="626">
                  <c:v>19.248530989770469</c:v>
                </c:pt>
                <c:pt idx="627">
                  <c:v>19.843927242403563</c:v>
                </c:pt>
                <c:pt idx="628">
                  <c:v>19.298748029957622</c:v>
                </c:pt>
                <c:pt idx="629">
                  <c:v>18.848378101979058</c:v>
                </c:pt>
                <c:pt idx="630">
                  <c:v>17.965305311686535</c:v>
                </c:pt>
                <c:pt idx="631">
                  <c:v>15.999049720793254</c:v>
                </c:pt>
                <c:pt idx="632">
                  <c:v>16.884476075988967</c:v>
                </c:pt>
                <c:pt idx="633">
                  <c:v>15.913578036901894</c:v>
                </c:pt>
                <c:pt idx="634">
                  <c:v>16.213789702338897</c:v>
                </c:pt>
                <c:pt idx="635">
                  <c:v>14.876010024638186</c:v>
                </c:pt>
                <c:pt idx="636">
                  <c:v>15.365059528767549</c:v>
                </c:pt>
                <c:pt idx="637">
                  <c:v>16.411706725664491</c:v>
                </c:pt>
                <c:pt idx="638">
                  <c:v>17.06392890517418</c:v>
                </c:pt>
                <c:pt idx="639">
                  <c:v>16.570982261007494</c:v>
                </c:pt>
                <c:pt idx="640">
                  <c:v>17.727586805443138</c:v>
                </c:pt>
                <c:pt idx="641">
                  <c:v>18.287440415009968</c:v>
                </c:pt>
                <c:pt idx="642">
                  <c:v>18.231904337427125</c:v>
                </c:pt>
                <c:pt idx="643">
                  <c:v>19.071044845291716</c:v>
                </c:pt>
                <c:pt idx="644">
                  <c:v>19.325730502579589</c:v>
                </c:pt>
                <c:pt idx="645">
                  <c:v>16.668549553766233</c:v>
                </c:pt>
                <c:pt idx="646">
                  <c:v>17.169601644745967</c:v>
                </c:pt>
                <c:pt idx="647">
                  <c:v>15.650617329941852</c:v>
                </c:pt>
                <c:pt idx="648">
                  <c:v>16.350759825031364</c:v>
                </c:pt>
                <c:pt idx="649">
                  <c:v>15.572831414688755</c:v>
                </c:pt>
                <c:pt idx="650">
                  <c:v>15.796597011768927</c:v>
                </c:pt>
                <c:pt idx="651">
                  <c:v>15.517279665044386</c:v>
                </c:pt>
                <c:pt idx="652">
                  <c:v>14.952508413252493</c:v>
                </c:pt>
                <c:pt idx="653">
                  <c:v>14.193084565880666</c:v>
                </c:pt>
                <c:pt idx="654">
                  <c:v>14.723814212053494</c:v>
                </c:pt>
                <c:pt idx="655">
                  <c:v>13.914319282458335</c:v>
                </c:pt>
                <c:pt idx="656">
                  <c:v>14.322575399658563</c:v>
                </c:pt>
                <c:pt idx="657">
                  <c:v>14.495041855783155</c:v>
                </c:pt>
                <c:pt idx="658">
                  <c:v>12.396658388479754</c:v>
                </c:pt>
                <c:pt idx="659">
                  <c:v>11.910869519765869</c:v>
                </c:pt>
                <c:pt idx="660">
                  <c:v>13.082692091546598</c:v>
                </c:pt>
                <c:pt idx="661">
                  <c:v>14.170751600382658</c:v>
                </c:pt>
                <c:pt idx="662">
                  <c:v>13.837986046808693</c:v>
                </c:pt>
                <c:pt idx="663">
                  <c:v>13.580160514220486</c:v>
                </c:pt>
                <c:pt idx="664">
                  <c:v>12.799021203829517</c:v>
                </c:pt>
                <c:pt idx="665">
                  <c:v>12.517331824993182</c:v>
                </c:pt>
                <c:pt idx="666">
                  <c:v>13.911009545011144</c:v>
                </c:pt>
                <c:pt idx="667">
                  <c:v>14.863576101350043</c:v>
                </c:pt>
                <c:pt idx="668">
                  <c:v>14.452481813834176</c:v>
                </c:pt>
                <c:pt idx="669">
                  <c:v>13.345956016669433</c:v>
                </c:pt>
                <c:pt idx="670">
                  <c:v>12.781164005070746</c:v>
                </c:pt>
                <c:pt idx="671">
                  <c:v>14.956084871723416</c:v>
                </c:pt>
                <c:pt idx="672">
                  <c:v>14.391396457064021</c:v>
                </c:pt>
                <c:pt idx="673">
                  <c:v>16.358417304680231</c:v>
                </c:pt>
                <c:pt idx="674">
                  <c:v>15.989502243113318</c:v>
                </c:pt>
                <c:pt idx="675">
                  <c:v>15.438101251085115</c:v>
                </c:pt>
                <c:pt idx="676">
                  <c:v>15.964993128381051</c:v>
                </c:pt>
                <c:pt idx="677">
                  <c:v>15.883326743360326</c:v>
                </c:pt>
                <c:pt idx="678">
                  <c:v>16.559313176667679</c:v>
                </c:pt>
                <c:pt idx="679">
                  <c:v>15.686867903843575</c:v>
                </c:pt>
                <c:pt idx="680">
                  <c:v>15.117110123905928</c:v>
                </c:pt>
                <c:pt idx="681">
                  <c:v>15.357095807132868</c:v>
                </c:pt>
                <c:pt idx="682">
                  <c:v>13.399128504305073</c:v>
                </c:pt>
                <c:pt idx="683">
                  <c:v>13.677624405860218</c:v>
                </c:pt>
                <c:pt idx="684">
                  <c:v>13.306632616354831</c:v>
                </c:pt>
                <c:pt idx="685">
                  <c:v>11.6657007183301</c:v>
                </c:pt>
                <c:pt idx="686">
                  <c:v>12.517142446334221</c:v>
                </c:pt>
                <c:pt idx="687">
                  <c:v>11.557855732016716</c:v>
                </c:pt>
                <c:pt idx="688">
                  <c:v>11.493636016807347</c:v>
                </c:pt>
                <c:pt idx="689">
                  <c:v>11.076199399477664</c:v>
                </c:pt>
                <c:pt idx="690">
                  <c:v>11.114839220180796</c:v>
                </c:pt>
                <c:pt idx="691">
                  <c:v>11.239711148294816</c:v>
                </c:pt>
                <c:pt idx="692">
                  <c:v>11.220389218189062</c:v>
                </c:pt>
                <c:pt idx="693">
                  <c:v>9.9572976672124369</c:v>
                </c:pt>
                <c:pt idx="694">
                  <c:v>9.8317794741372495</c:v>
                </c:pt>
                <c:pt idx="695">
                  <c:v>8.9879320888544267</c:v>
                </c:pt>
                <c:pt idx="696">
                  <c:v>9.5555792608189893</c:v>
                </c:pt>
                <c:pt idx="697">
                  <c:v>8.2361366365571342</c:v>
                </c:pt>
                <c:pt idx="698">
                  <c:v>8.416380086128683</c:v>
                </c:pt>
                <c:pt idx="699">
                  <c:v>8.1535364910534227</c:v>
                </c:pt>
                <c:pt idx="700">
                  <c:v>8.0147018603662481</c:v>
                </c:pt>
                <c:pt idx="701">
                  <c:v>7.8909468729643244</c:v>
                </c:pt>
                <c:pt idx="702">
                  <c:v>8.7907770998429111</c:v>
                </c:pt>
                <c:pt idx="703">
                  <c:v>9.6964720488607927</c:v>
                </c:pt>
                <c:pt idx="704">
                  <c:v>9.0990516941141095</c:v>
                </c:pt>
                <c:pt idx="705">
                  <c:v>10.711961755239695</c:v>
                </c:pt>
                <c:pt idx="706">
                  <c:v>11.482062626824019</c:v>
                </c:pt>
                <c:pt idx="707">
                  <c:v>11.219615500538355</c:v>
                </c:pt>
                <c:pt idx="708">
                  <c:v>12.586613552762893</c:v>
                </c:pt>
                <c:pt idx="709">
                  <c:v>10.065070087563246</c:v>
                </c:pt>
                <c:pt idx="710">
                  <c:v>9.0452680588932672</c:v>
                </c:pt>
                <c:pt idx="711">
                  <c:v>11.169566441147326</c:v>
                </c:pt>
                <c:pt idx="712">
                  <c:v>11.770662799225802</c:v>
                </c:pt>
                <c:pt idx="713">
                  <c:v>10.76440337490765</c:v>
                </c:pt>
                <c:pt idx="714">
                  <c:v>10.211267430332335</c:v>
                </c:pt>
                <c:pt idx="715">
                  <c:v>11.632587292476813</c:v>
                </c:pt>
                <c:pt idx="716">
                  <c:v>12.357718598544571</c:v>
                </c:pt>
                <c:pt idx="717">
                  <c:v>13.30921405299113</c:v>
                </c:pt>
                <c:pt idx="718">
                  <c:v>11.829739134725312</c:v>
                </c:pt>
                <c:pt idx="719">
                  <c:v>11.835723557246764</c:v>
                </c:pt>
                <c:pt idx="720">
                  <c:v>12.320187481519543</c:v>
                </c:pt>
                <c:pt idx="721">
                  <c:v>11.846767377268462</c:v>
                </c:pt>
                <c:pt idx="722">
                  <c:v>12.993414144004879</c:v>
                </c:pt>
                <c:pt idx="723">
                  <c:v>12.695646836464462</c:v>
                </c:pt>
                <c:pt idx="724">
                  <c:v>12.743106278122644</c:v>
                </c:pt>
                <c:pt idx="725">
                  <c:v>12.363051438863071</c:v>
                </c:pt>
                <c:pt idx="726">
                  <c:v>13.666681340915851</c:v>
                </c:pt>
                <c:pt idx="727">
                  <c:v>13.541384937178634</c:v>
                </c:pt>
                <c:pt idx="728">
                  <c:v>14.427988226490966</c:v>
                </c:pt>
                <c:pt idx="729">
                  <c:v>12.863329246976107</c:v>
                </c:pt>
                <c:pt idx="730">
                  <c:v>12.447375729445891</c:v>
                </c:pt>
                <c:pt idx="731">
                  <c:v>11.913839321767693</c:v>
                </c:pt>
                <c:pt idx="732">
                  <c:v>12.441921801191794</c:v>
                </c:pt>
                <c:pt idx="733">
                  <c:v>11.947470773337823</c:v>
                </c:pt>
                <c:pt idx="734">
                  <c:v>14.038936726655335</c:v>
                </c:pt>
                <c:pt idx="735">
                  <c:v>13.946387067853912</c:v>
                </c:pt>
                <c:pt idx="736">
                  <c:v>16.231226330992477</c:v>
                </c:pt>
                <c:pt idx="737">
                  <c:v>16.17978463349748</c:v>
                </c:pt>
                <c:pt idx="738">
                  <c:v>16.806535076514173</c:v>
                </c:pt>
                <c:pt idx="739">
                  <c:v>18.074901231343329</c:v>
                </c:pt>
                <c:pt idx="740">
                  <c:v>17.622966474470438</c:v>
                </c:pt>
                <c:pt idx="741">
                  <c:v>17.989344552706751</c:v>
                </c:pt>
                <c:pt idx="742">
                  <c:v>16.72349542866916</c:v>
                </c:pt>
                <c:pt idx="743">
                  <c:v>17.602231358420742</c:v>
                </c:pt>
                <c:pt idx="744">
                  <c:v>16.437751498725962</c:v>
                </c:pt>
                <c:pt idx="745">
                  <c:v>17.036437847121157</c:v>
                </c:pt>
                <c:pt idx="746">
                  <c:v>15.921682920444585</c:v>
                </c:pt>
                <c:pt idx="747">
                  <c:v>17.826967197725676</c:v>
                </c:pt>
                <c:pt idx="748">
                  <c:v>17.426586913675422</c:v>
                </c:pt>
                <c:pt idx="749">
                  <c:v>17.349464121478341</c:v>
                </c:pt>
                <c:pt idx="750">
                  <c:v>16.284033096076989</c:v>
                </c:pt>
                <c:pt idx="751">
                  <c:v>16.254438967385159</c:v>
                </c:pt>
                <c:pt idx="752">
                  <c:v>16.373689622150614</c:v>
                </c:pt>
                <c:pt idx="753">
                  <c:v>17.434244968967139</c:v>
                </c:pt>
                <c:pt idx="754">
                  <c:v>15.788649748062545</c:v>
                </c:pt>
                <c:pt idx="755">
                  <c:v>15.215100891485775</c:v>
                </c:pt>
                <c:pt idx="756">
                  <c:v>15.021013925300537</c:v>
                </c:pt>
                <c:pt idx="757">
                  <c:v>16.369340207903853</c:v>
                </c:pt>
                <c:pt idx="758">
                  <c:v>17.659210024444345</c:v>
                </c:pt>
                <c:pt idx="759">
                  <c:v>18.747195598795248</c:v>
                </c:pt>
                <c:pt idx="760">
                  <c:v>18.777401389986572</c:v>
                </c:pt>
                <c:pt idx="761">
                  <c:v>17.754721345006203</c:v>
                </c:pt>
                <c:pt idx="762">
                  <c:v>18.424227012065476</c:v>
                </c:pt>
                <c:pt idx="763">
                  <c:v>20.170865733725478</c:v>
                </c:pt>
                <c:pt idx="764">
                  <c:v>19.624541428811252</c:v>
                </c:pt>
                <c:pt idx="765">
                  <c:v>19.122246390814436</c:v>
                </c:pt>
                <c:pt idx="766">
                  <c:v>18.362230561491192</c:v>
                </c:pt>
                <c:pt idx="767">
                  <c:v>17.879185200832744</c:v>
                </c:pt>
                <c:pt idx="768">
                  <c:v>15.388739813908899</c:v>
                </c:pt>
                <c:pt idx="769">
                  <c:v>15.544040617529026</c:v>
                </c:pt>
                <c:pt idx="770">
                  <c:v>14.825878675100007</c:v>
                </c:pt>
                <c:pt idx="771">
                  <c:v>14.886231774161834</c:v>
                </c:pt>
                <c:pt idx="772">
                  <c:v>15.258109484526305</c:v>
                </c:pt>
                <c:pt idx="773">
                  <c:v>15.3889805698613</c:v>
                </c:pt>
                <c:pt idx="774">
                  <c:v>14.427714155010339</c:v>
                </c:pt>
                <c:pt idx="775">
                  <c:v>16.029814998754478</c:v>
                </c:pt>
                <c:pt idx="776">
                  <c:v>15.702628051692088</c:v>
                </c:pt>
                <c:pt idx="777">
                  <c:v>17.095693866570397</c:v>
                </c:pt>
                <c:pt idx="778">
                  <c:v>16.353302921701307</c:v>
                </c:pt>
                <c:pt idx="779">
                  <c:v>16.702325927646299</c:v>
                </c:pt>
                <c:pt idx="780">
                  <c:v>16.518084143839705</c:v>
                </c:pt>
                <c:pt idx="781">
                  <c:v>16.415968051594369</c:v>
                </c:pt>
                <c:pt idx="782">
                  <c:v>17.988037931602317</c:v>
                </c:pt>
                <c:pt idx="783">
                  <c:v>18.399764816896401</c:v>
                </c:pt>
                <c:pt idx="784">
                  <c:v>17.067925190689202</c:v>
                </c:pt>
                <c:pt idx="785">
                  <c:v>17.280448737330278</c:v>
                </c:pt>
                <c:pt idx="786">
                  <c:v>16.29807730090246</c:v>
                </c:pt>
                <c:pt idx="787">
                  <c:v>14.883256355710525</c:v>
                </c:pt>
                <c:pt idx="788">
                  <c:v>13.050981525333018</c:v>
                </c:pt>
                <c:pt idx="789">
                  <c:v>14.337865496080333</c:v>
                </c:pt>
                <c:pt idx="790">
                  <c:v>12.987638971836851</c:v>
                </c:pt>
                <c:pt idx="791">
                  <c:v>13.966225872656564</c:v>
                </c:pt>
                <c:pt idx="792">
                  <c:v>12.527546252665822</c:v>
                </c:pt>
                <c:pt idx="793">
                  <c:v>12.232806688188289</c:v>
                </c:pt>
                <c:pt idx="794">
                  <c:v>10.075739589462412</c:v>
                </c:pt>
                <c:pt idx="795">
                  <c:v>10.346226249312092</c:v>
                </c:pt>
                <c:pt idx="796">
                  <c:v>9.1289737266814477</c:v>
                </c:pt>
                <c:pt idx="797">
                  <c:v>8.9209629746223502</c:v>
                </c:pt>
                <c:pt idx="798">
                  <c:v>8.6141856224550484</c:v>
                </c:pt>
                <c:pt idx="799">
                  <c:v>8.5386340699235692</c:v>
                </c:pt>
                <c:pt idx="800">
                  <c:v>8.4569937986805002</c:v>
                </c:pt>
                <c:pt idx="801">
                  <c:v>9.2570508111115437</c:v>
                </c:pt>
                <c:pt idx="802">
                  <c:v>10.037372779098909</c:v>
                </c:pt>
                <c:pt idx="803">
                  <c:v>10.810128772900239</c:v>
                </c:pt>
                <c:pt idx="804">
                  <c:v>10.308604419303055</c:v>
                </c:pt>
                <c:pt idx="805">
                  <c:v>7.5489429652995703</c:v>
                </c:pt>
                <c:pt idx="806">
                  <c:v>8.1857303034729494</c:v>
                </c:pt>
                <c:pt idx="807">
                  <c:v>7.9008855182787965</c:v>
                </c:pt>
                <c:pt idx="808">
                  <c:v>7.4643126192031639</c:v>
                </c:pt>
                <c:pt idx="809">
                  <c:v>6.7494568327450573</c:v>
                </c:pt>
                <c:pt idx="810">
                  <c:v>6.7002859754279003</c:v>
                </c:pt>
                <c:pt idx="811">
                  <c:v>7.1022599014238601</c:v>
                </c:pt>
                <c:pt idx="812">
                  <c:v>9.8947648118426397</c:v>
                </c:pt>
                <c:pt idx="813">
                  <c:v>10.64656501656258</c:v>
                </c:pt>
                <c:pt idx="814">
                  <c:v>9.0586497263818124</c:v>
                </c:pt>
                <c:pt idx="815">
                  <c:v>9.3629789813676307</c:v>
                </c:pt>
                <c:pt idx="816">
                  <c:v>8.6143488925233633</c:v>
                </c:pt>
                <c:pt idx="817">
                  <c:v>10.755572555195707</c:v>
                </c:pt>
                <c:pt idx="818">
                  <c:v>10.265543417934529</c:v>
                </c:pt>
                <c:pt idx="819">
                  <c:v>11.194952181530549</c:v>
                </c:pt>
                <c:pt idx="820">
                  <c:v>12.120479110580625</c:v>
                </c:pt>
                <c:pt idx="821">
                  <c:v>10.285921650551574</c:v>
                </c:pt>
                <c:pt idx="822">
                  <c:v>10.304889429001962</c:v>
                </c:pt>
                <c:pt idx="823">
                  <c:v>11.098580894680618</c:v>
                </c:pt>
                <c:pt idx="824">
                  <c:v>10.49571682129384</c:v>
                </c:pt>
                <c:pt idx="825">
                  <c:v>10.574267174688087</c:v>
                </c:pt>
                <c:pt idx="826">
                  <c:v>10.368808303491052</c:v>
                </c:pt>
                <c:pt idx="827">
                  <c:v>9.5156678760822668</c:v>
                </c:pt>
                <c:pt idx="828">
                  <c:v>11.291036010693622</c:v>
                </c:pt>
                <c:pt idx="829">
                  <c:v>9.3874670554146142</c:v>
                </c:pt>
                <c:pt idx="830">
                  <c:v>9.4025701893033968</c:v>
                </c:pt>
                <c:pt idx="831">
                  <c:v>9.0904396576669555</c:v>
                </c:pt>
                <c:pt idx="832">
                  <c:v>8.2503723704916858</c:v>
                </c:pt>
                <c:pt idx="833">
                  <c:v>8.8691859231574135</c:v>
                </c:pt>
                <c:pt idx="834">
                  <c:v>8.6205815363554059</c:v>
                </c:pt>
                <c:pt idx="835">
                  <c:v>7.7945385068944297</c:v>
                </c:pt>
                <c:pt idx="836">
                  <c:v>7.3397035047791794</c:v>
                </c:pt>
                <c:pt idx="837">
                  <c:v>7.6580269880023542</c:v>
                </c:pt>
                <c:pt idx="838">
                  <c:v>5.4868912513151038</c:v>
                </c:pt>
                <c:pt idx="839">
                  <c:v>6.2512435859026514</c:v>
                </c:pt>
                <c:pt idx="840">
                  <c:v>6.1353430597414302</c:v>
                </c:pt>
                <c:pt idx="841">
                  <c:v>5.5893055768557103</c:v>
                </c:pt>
                <c:pt idx="842">
                  <c:v>4.6523878176779707</c:v>
                </c:pt>
                <c:pt idx="843">
                  <c:v>4.3863941490944383</c:v>
                </c:pt>
                <c:pt idx="844">
                  <c:v>3.5932182769712968</c:v>
                </c:pt>
                <c:pt idx="845">
                  <c:v>3.5230351917361622</c:v>
                </c:pt>
                <c:pt idx="846">
                  <c:v>2.8201413557046151</c:v>
                </c:pt>
                <c:pt idx="847">
                  <c:v>2.6114935313561047</c:v>
                </c:pt>
                <c:pt idx="848">
                  <c:v>1.8587529636617253</c:v>
                </c:pt>
                <c:pt idx="849">
                  <c:v>2.0377241179541699</c:v>
                </c:pt>
                <c:pt idx="850">
                  <c:v>2.4584611982960483</c:v>
                </c:pt>
                <c:pt idx="851">
                  <c:v>1.7616245392184426</c:v>
                </c:pt>
                <c:pt idx="852">
                  <c:v>1.7480450512509589</c:v>
                </c:pt>
                <c:pt idx="853">
                  <c:v>1.9045841750296757</c:v>
                </c:pt>
                <c:pt idx="854">
                  <c:v>2.8647307686785632</c:v>
                </c:pt>
                <c:pt idx="855">
                  <c:v>1.5085531955116152</c:v>
                </c:pt>
                <c:pt idx="856">
                  <c:v>1.3171234762114896</c:v>
                </c:pt>
                <c:pt idx="857">
                  <c:v>1.520486893258407</c:v>
                </c:pt>
                <c:pt idx="858">
                  <c:v>8.9500978505999251E-2</c:v>
                </c:pt>
                <c:pt idx="859">
                  <c:v>-0.38590149504530658</c:v>
                </c:pt>
                <c:pt idx="860">
                  <c:v>-1.5114412350724755</c:v>
                </c:pt>
                <c:pt idx="861">
                  <c:v>0.87567646834777979</c:v>
                </c:pt>
                <c:pt idx="862">
                  <c:v>-0.42426647375233162</c:v>
                </c:pt>
                <c:pt idx="863">
                  <c:v>0.25749917645562059</c:v>
                </c:pt>
                <c:pt idx="864">
                  <c:v>-0.88145802305718612</c:v>
                </c:pt>
                <c:pt idx="865">
                  <c:v>-0.97325127936362099</c:v>
                </c:pt>
                <c:pt idx="866">
                  <c:v>-1.7594732805731619</c:v>
                </c:pt>
                <c:pt idx="867">
                  <c:v>-0.6029476695189373</c:v>
                </c:pt>
                <c:pt idx="868">
                  <c:v>-1.9182655791473791</c:v>
                </c:pt>
                <c:pt idx="869">
                  <c:v>-1.256462136373389</c:v>
                </c:pt>
                <c:pt idx="870">
                  <c:v>0.69490767462015457</c:v>
                </c:pt>
                <c:pt idx="871">
                  <c:v>-0.2461900853696144</c:v>
                </c:pt>
                <c:pt idx="872">
                  <c:v>-0.78190368467196647</c:v>
                </c:pt>
                <c:pt idx="873">
                  <c:v>-0.75470877508732692</c:v>
                </c:pt>
                <c:pt idx="874">
                  <c:v>0.37692135517832792</c:v>
                </c:pt>
                <c:pt idx="875">
                  <c:v>-0.55782920714837847</c:v>
                </c:pt>
                <c:pt idx="876">
                  <c:v>-0.7853728364884941</c:v>
                </c:pt>
                <c:pt idx="877">
                  <c:v>-0.6127143092506232</c:v>
                </c:pt>
                <c:pt idx="878">
                  <c:v>-1.8746548172209474</c:v>
                </c:pt>
                <c:pt idx="879">
                  <c:v>-1.2021099097595798</c:v>
                </c:pt>
                <c:pt idx="880">
                  <c:v>-1.790520842781234</c:v>
                </c:pt>
                <c:pt idx="881">
                  <c:v>-0.18456780608548207</c:v>
                </c:pt>
                <c:pt idx="882">
                  <c:v>-0.64148223485486744</c:v>
                </c:pt>
                <c:pt idx="883">
                  <c:v>-0.53698106363281184</c:v>
                </c:pt>
                <c:pt idx="884">
                  <c:v>-1.200201458751665</c:v>
                </c:pt>
                <c:pt idx="885">
                  <c:v>0.72779278650065526</c:v>
                </c:pt>
                <c:pt idx="886">
                  <c:v>-2.3984803059179938E-2</c:v>
                </c:pt>
                <c:pt idx="887">
                  <c:v>0.31748972222841065</c:v>
                </c:pt>
                <c:pt idx="888">
                  <c:v>-0.40341221070237876</c:v>
                </c:pt>
                <c:pt idx="889">
                  <c:v>1.6061856337730698</c:v>
                </c:pt>
                <c:pt idx="890">
                  <c:v>-0.18427488595771613</c:v>
                </c:pt>
                <c:pt idx="891">
                  <c:v>-0.67692644689894388</c:v>
                </c:pt>
                <c:pt idx="892">
                  <c:v>-0.77658483018538793</c:v>
                </c:pt>
                <c:pt idx="893">
                  <c:v>-9.789559064856701E-2</c:v>
                </c:pt>
                <c:pt idx="894">
                  <c:v>-1.331703420383284</c:v>
                </c:pt>
                <c:pt idx="895">
                  <c:v>-1.6695860031453256</c:v>
                </c:pt>
                <c:pt idx="896">
                  <c:v>-0.71321058391040804</c:v>
                </c:pt>
                <c:pt idx="897">
                  <c:v>-1.9429142752317579</c:v>
                </c:pt>
                <c:pt idx="898">
                  <c:v>-1.5012703827924154</c:v>
                </c:pt>
                <c:pt idx="899">
                  <c:v>-1.4620866711228562</c:v>
                </c:pt>
                <c:pt idx="900">
                  <c:v>-1.081170011796468</c:v>
                </c:pt>
                <c:pt idx="901">
                  <c:v>-0.29685461100097754</c:v>
                </c:pt>
                <c:pt idx="902">
                  <c:v>-0.31228645235928637</c:v>
                </c:pt>
                <c:pt idx="903">
                  <c:v>-0.41015189032631039</c:v>
                </c:pt>
                <c:pt idx="904">
                  <c:v>-1.4605962325774715</c:v>
                </c:pt>
                <c:pt idx="905">
                  <c:v>-1.2983492007931228</c:v>
                </c:pt>
                <c:pt idx="906">
                  <c:v>-1.4921580487522292</c:v>
                </c:pt>
                <c:pt idx="907">
                  <c:v>-1.4862272376111938</c:v>
                </c:pt>
                <c:pt idx="908">
                  <c:v>-1.2200508141497843</c:v>
                </c:pt>
                <c:pt idx="909">
                  <c:v>-1.0924503142735804</c:v>
                </c:pt>
                <c:pt idx="910">
                  <c:v>-0.85743739781830941</c:v>
                </c:pt>
                <c:pt idx="911">
                  <c:v>-0.64228552963167884</c:v>
                </c:pt>
                <c:pt idx="912">
                  <c:v>-0.28070961947126666</c:v>
                </c:pt>
                <c:pt idx="913">
                  <c:v>-1.872909759424185E-2</c:v>
                </c:pt>
                <c:pt idx="914">
                  <c:v>0.16632276856074205</c:v>
                </c:pt>
                <c:pt idx="915">
                  <c:v>-0.26907972133707481</c:v>
                </c:pt>
                <c:pt idx="916">
                  <c:v>-0.68160531677093417</c:v>
                </c:pt>
                <c:pt idx="917">
                  <c:v>0.30637384224006903</c:v>
                </c:pt>
                <c:pt idx="918">
                  <c:v>3.7405764255272653</c:v>
                </c:pt>
                <c:pt idx="919">
                  <c:v>2.4619526627789354</c:v>
                </c:pt>
                <c:pt idx="920">
                  <c:v>2.500635536008597</c:v>
                </c:pt>
                <c:pt idx="921">
                  <c:v>0.53627898145998865</c:v>
                </c:pt>
                <c:pt idx="922">
                  <c:v>0.84524873793824917</c:v>
                </c:pt>
                <c:pt idx="923">
                  <c:v>1.1228749837033454</c:v>
                </c:pt>
                <c:pt idx="924">
                  <c:v>2.6671208586502342</c:v>
                </c:pt>
                <c:pt idx="925">
                  <c:v>1.8368708057553447</c:v>
                </c:pt>
                <c:pt idx="926">
                  <c:v>2.595096902296409</c:v>
                </c:pt>
                <c:pt idx="927">
                  <c:v>1.9310403569984345</c:v>
                </c:pt>
                <c:pt idx="928">
                  <c:v>1.8781461831554889</c:v>
                </c:pt>
                <c:pt idx="929">
                  <c:v>2.2944342893029495</c:v>
                </c:pt>
                <c:pt idx="930">
                  <c:v>3.2984003062401599</c:v>
                </c:pt>
                <c:pt idx="931">
                  <c:v>1.1210339704012777</c:v>
                </c:pt>
                <c:pt idx="932">
                  <c:v>1.7716725904170421</c:v>
                </c:pt>
                <c:pt idx="933">
                  <c:v>1.9245766513378502</c:v>
                </c:pt>
                <c:pt idx="934">
                  <c:v>1.346665482553989</c:v>
                </c:pt>
                <c:pt idx="935">
                  <c:v>2.2164076813078539</c:v>
                </c:pt>
                <c:pt idx="936">
                  <c:v>0.66553700098417168</c:v>
                </c:pt>
                <c:pt idx="937">
                  <c:v>9.1298958691804599E-2</c:v>
                </c:pt>
                <c:pt idx="938">
                  <c:v>0.44140849485514544</c:v>
                </c:pt>
                <c:pt idx="939">
                  <c:v>3.0787993948790005E-2</c:v>
                </c:pt>
                <c:pt idx="940">
                  <c:v>0.94746123511136537</c:v>
                </c:pt>
                <c:pt idx="941">
                  <c:v>0.79488818591161237</c:v>
                </c:pt>
                <c:pt idx="942">
                  <c:v>2.7884272607838749</c:v>
                </c:pt>
                <c:pt idx="943">
                  <c:v>3.3529828374992356</c:v>
                </c:pt>
                <c:pt idx="944">
                  <c:v>2.2029405985563275</c:v>
                </c:pt>
                <c:pt idx="945">
                  <c:v>0.8573283448685578</c:v>
                </c:pt>
                <c:pt idx="946">
                  <c:v>1.5739106080673233</c:v>
                </c:pt>
                <c:pt idx="947">
                  <c:v>1.6952163531853046</c:v>
                </c:pt>
                <c:pt idx="948">
                  <c:v>2.422595511734682</c:v>
                </c:pt>
                <c:pt idx="949">
                  <c:v>1.148431315828186</c:v>
                </c:pt>
                <c:pt idx="950">
                  <c:v>0.61460349929097091</c:v>
                </c:pt>
                <c:pt idx="951">
                  <c:v>1.3930759844050593</c:v>
                </c:pt>
                <c:pt idx="952">
                  <c:v>1.6764204249002685</c:v>
                </c:pt>
                <c:pt idx="953">
                  <c:v>-0.12760920013070054</c:v>
                </c:pt>
                <c:pt idx="954">
                  <c:v>-0.79518322329529745</c:v>
                </c:pt>
                <c:pt idx="955">
                  <c:v>-1.3651858943431572</c:v>
                </c:pt>
                <c:pt idx="956">
                  <c:v>-1.5882284042100965</c:v>
                </c:pt>
                <c:pt idx="957">
                  <c:v>-1.8846770977753342</c:v>
                </c:pt>
                <c:pt idx="958">
                  <c:v>-0.87768947523507412</c:v>
                </c:pt>
                <c:pt idx="959">
                  <c:v>-0.92712155638996641</c:v>
                </c:pt>
                <c:pt idx="960">
                  <c:v>-2.2197927826804955</c:v>
                </c:pt>
                <c:pt idx="961">
                  <c:v>-2.5562153895912694</c:v>
                </c:pt>
                <c:pt idx="962">
                  <c:v>-2.3379471018784042</c:v>
                </c:pt>
                <c:pt idx="963">
                  <c:v>-1.1047799513319236</c:v>
                </c:pt>
                <c:pt idx="964">
                  <c:v>-0.38173369629852572</c:v>
                </c:pt>
                <c:pt idx="965">
                  <c:v>3.9947401804387161E-3</c:v>
                </c:pt>
                <c:pt idx="966">
                  <c:v>0.32310213662097503</c:v>
                </c:pt>
                <c:pt idx="967">
                  <c:v>0.61628472577364191</c:v>
                </c:pt>
                <c:pt idx="968">
                  <c:v>0.72699456004026075</c:v>
                </c:pt>
                <c:pt idx="969">
                  <c:v>1.3296691140185597</c:v>
                </c:pt>
                <c:pt idx="970">
                  <c:v>1.2807201433705215</c:v>
                </c:pt>
                <c:pt idx="971">
                  <c:v>0.70354680268457992</c:v>
                </c:pt>
                <c:pt idx="972">
                  <c:v>-0.96671162459134941</c:v>
                </c:pt>
                <c:pt idx="973">
                  <c:v>-0.41278443920140506</c:v>
                </c:pt>
                <c:pt idx="974">
                  <c:v>0.2264523713084885</c:v>
                </c:pt>
                <c:pt idx="975">
                  <c:v>-1.8854580624520172</c:v>
                </c:pt>
                <c:pt idx="976">
                  <c:v>-1.6547109340446875</c:v>
                </c:pt>
                <c:pt idx="977">
                  <c:v>-2.1914764791460919</c:v>
                </c:pt>
                <c:pt idx="978">
                  <c:v>-1.7668590435296845</c:v>
                </c:pt>
                <c:pt idx="979">
                  <c:v>-0.66194559379716567</c:v>
                </c:pt>
                <c:pt idx="980">
                  <c:v>-0.35939990157038076</c:v>
                </c:pt>
                <c:pt idx="981">
                  <c:v>2.1187336271105361</c:v>
                </c:pt>
                <c:pt idx="982">
                  <c:v>1.3991377834179435</c:v>
                </c:pt>
                <c:pt idx="983">
                  <c:v>-7.4829323820464477E-3</c:v>
                </c:pt>
                <c:pt idx="984">
                  <c:v>-0.17156824870793475</c:v>
                </c:pt>
                <c:pt idx="985">
                  <c:v>-0.48356853160491009</c:v>
                </c:pt>
                <c:pt idx="986">
                  <c:v>0.35642739596961259</c:v>
                </c:pt>
                <c:pt idx="987">
                  <c:v>-0.87022672929810596</c:v>
                </c:pt>
                <c:pt idx="988">
                  <c:v>-0.44989332045453762</c:v>
                </c:pt>
                <c:pt idx="989">
                  <c:v>-0.78102212717832575</c:v>
                </c:pt>
                <c:pt idx="990">
                  <c:v>-1.0749233671997076</c:v>
                </c:pt>
                <c:pt idx="991">
                  <c:v>-0.90895648932888018</c:v>
                </c:pt>
                <c:pt idx="992">
                  <c:v>-0.86392409914675639</c:v>
                </c:pt>
                <c:pt idx="993">
                  <c:v>-1.4384608984395149</c:v>
                </c:pt>
                <c:pt idx="994">
                  <c:v>-0.73833264695904455</c:v>
                </c:pt>
                <c:pt idx="995">
                  <c:v>1.0339833361448809</c:v>
                </c:pt>
                <c:pt idx="996">
                  <c:v>1.660680058643087</c:v>
                </c:pt>
                <c:pt idx="997">
                  <c:v>2.1147509685808585</c:v>
                </c:pt>
                <c:pt idx="998">
                  <c:v>3.2749268440069281</c:v>
                </c:pt>
                <c:pt idx="999">
                  <c:v>3.8327840291735016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7E-BD42-8B64-60E96383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798256"/>
        <c:axId val="1346111808"/>
      </c:scatterChart>
      <c:valAx>
        <c:axId val="142479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111808"/>
        <c:crosses val="autoZero"/>
        <c:crossBetween val="midCat"/>
      </c:valAx>
      <c:valAx>
        <c:axId val="134611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479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787400</xdr:colOff>
      <xdr:row>46</xdr:row>
      <xdr:rowOff>114300</xdr:rowOff>
    </xdr:from>
    <xdr:to>
      <xdr:col>6</xdr:col>
      <xdr:colOff>406400</xdr:colOff>
      <xdr:row>60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FA2C09-8C3C-4B40-9420-59B84A138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50800</xdr:colOff>
      <xdr:row>1</xdr:row>
      <xdr:rowOff>38100</xdr:rowOff>
    </xdr:from>
    <xdr:to>
      <xdr:col>12</xdr:col>
      <xdr:colOff>393700</xdr:colOff>
      <xdr:row>14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EF44A1-3361-D147-87AA-5B633C5BF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9</xdr:row>
      <xdr:rowOff>25400</xdr:rowOff>
    </xdr:from>
    <xdr:to>
      <xdr:col>3</xdr:col>
      <xdr:colOff>215900</xdr:colOff>
      <xdr:row>21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6B87C9-C9B8-D84B-B538-B7FCD69D6D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495300</xdr:colOff>
      <xdr:row>13</xdr:row>
      <xdr:rowOff>165100</xdr:rowOff>
    </xdr:from>
    <xdr:to>
      <xdr:col>11</xdr:col>
      <xdr:colOff>0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D2140D-01D9-774F-9A6E-83053727CA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463550</xdr:colOff>
      <xdr:row>18</xdr:row>
      <xdr:rowOff>63500</xdr:rowOff>
    </xdr:from>
    <xdr:to>
      <xdr:col>17</xdr:col>
      <xdr:colOff>82550</xdr:colOff>
      <xdr:row>31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674C94-689E-B741-8345-2FDD338CF6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292100</xdr:colOff>
      <xdr:row>22</xdr:row>
      <xdr:rowOff>82550</xdr:rowOff>
    </xdr:from>
    <xdr:to>
      <xdr:col>3</xdr:col>
      <xdr:colOff>355600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634D0F-9AD5-AA40-B4C1-57EA62196D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71064-525B-694E-B06C-6FD4214A5B05}">
  <sheetPr codeName="Sheet1"/>
  <dimension ref="A1:G135"/>
  <sheetViews>
    <sheetView workbookViewId="0">
      <selection activeCell="J22" sqref="J22"/>
    </sheetView>
  </sheetViews>
  <sheetFormatPr baseColWidth="10" defaultRowHeight="16" x14ac:dyDescent="0.2"/>
  <cols>
    <col min="11" max="11" width="12.1640625" bestFit="1" customWidth="1"/>
  </cols>
  <sheetData>
    <row r="1" spans="1:7" x14ac:dyDescent="0.2">
      <c r="F1" s="1" t="s">
        <v>8</v>
      </c>
      <c r="G1" s="1"/>
    </row>
    <row r="2" spans="1:7" x14ac:dyDescent="0.2">
      <c r="A2" s="1" t="s">
        <v>0</v>
      </c>
      <c r="B2">
        <v>7.5000000000000009</v>
      </c>
      <c r="C2" s="1" t="s">
        <v>5</v>
      </c>
      <c r="D2">
        <f>B2+B3</f>
        <v>15</v>
      </c>
      <c r="F2" s="1" t="s">
        <v>3</v>
      </c>
      <c r="G2" s="1" t="s">
        <v>4</v>
      </c>
    </row>
    <row r="3" spans="1:7" x14ac:dyDescent="0.2">
      <c r="A3" s="1" t="s">
        <v>1</v>
      </c>
      <c r="B3">
        <v>7.4999999999999991</v>
      </c>
      <c r="F3">
        <v>0</v>
      </c>
      <c r="G3" t="e">
        <f t="shared" ref="G3:G67" si="0">_xlfn.NORM.S.INV(F3)</f>
        <v>#NUM!</v>
      </c>
    </row>
    <row r="4" spans="1:7" x14ac:dyDescent="0.2">
      <c r="A4" s="1" t="s">
        <v>2</v>
      </c>
      <c r="B4">
        <v>10</v>
      </c>
      <c r="F4">
        <f>0.01</f>
        <v>0.01</v>
      </c>
      <c r="G4">
        <f t="shared" si="0"/>
        <v>-2.3263478740408408</v>
      </c>
    </row>
    <row r="5" spans="1:7" x14ac:dyDescent="0.2">
      <c r="A5" s="1"/>
      <c r="F5">
        <v>0.02</v>
      </c>
      <c r="G5">
        <f t="shared" si="0"/>
        <v>-2.0537489106318225</v>
      </c>
    </row>
    <row r="6" spans="1:7" x14ac:dyDescent="0.2">
      <c r="A6" s="1" t="s">
        <v>6</v>
      </c>
      <c r="B6" cm="1">
        <f t="array" ref="B6">test1(B2,B3,B4)</f>
        <v>25</v>
      </c>
      <c r="F6">
        <v>0.03</v>
      </c>
      <c r="G6">
        <f t="shared" si="0"/>
        <v>-1.8807936081512509</v>
      </c>
    </row>
    <row r="7" spans="1:7" x14ac:dyDescent="0.2">
      <c r="A7" s="1"/>
      <c r="F7">
        <v>0.04</v>
      </c>
      <c r="G7">
        <f t="shared" si="0"/>
        <v>-1.7506860712521695</v>
      </c>
    </row>
    <row r="8" spans="1:7" x14ac:dyDescent="0.2">
      <c r="A8" s="1" t="s">
        <v>7</v>
      </c>
      <c r="B8" cm="1">
        <f t="array" ref="B8">Area(B2,B3)</f>
        <v>56.25</v>
      </c>
      <c r="F8">
        <f>0.01</f>
        <v>0.01</v>
      </c>
      <c r="G8">
        <f t="shared" si="0"/>
        <v>-2.3263478740408408</v>
      </c>
    </row>
    <row r="9" spans="1:7" x14ac:dyDescent="0.2">
      <c r="F9">
        <v>0.05</v>
      </c>
      <c r="G9">
        <f t="shared" si="0"/>
        <v>-1.6448536269514726</v>
      </c>
    </row>
    <row r="10" spans="1:7" x14ac:dyDescent="0.2">
      <c r="F10">
        <v>0.06</v>
      </c>
      <c r="G10">
        <f t="shared" si="0"/>
        <v>-1.554773594596853</v>
      </c>
    </row>
    <row r="11" spans="1:7" x14ac:dyDescent="0.2">
      <c r="F11">
        <v>7.0000000000000007E-2</v>
      </c>
      <c r="G11">
        <f t="shared" si="0"/>
        <v>-1.4757910281791702</v>
      </c>
    </row>
    <row r="12" spans="1:7" x14ac:dyDescent="0.2">
      <c r="F12">
        <f>0.01</f>
        <v>0.01</v>
      </c>
      <c r="G12">
        <f t="shared" si="0"/>
        <v>-2.3263478740408408</v>
      </c>
    </row>
    <row r="13" spans="1:7" x14ac:dyDescent="0.2">
      <c r="F13">
        <v>0.08</v>
      </c>
      <c r="G13">
        <f t="shared" si="0"/>
        <v>-1.4050715603096353</v>
      </c>
    </row>
    <row r="14" spans="1:7" x14ac:dyDescent="0.2">
      <c r="F14">
        <v>0.09</v>
      </c>
      <c r="G14">
        <f t="shared" si="0"/>
        <v>-1.3407550336902161</v>
      </c>
    </row>
    <row r="15" spans="1:7" x14ac:dyDescent="0.2">
      <c r="F15">
        <v>0.1</v>
      </c>
      <c r="G15">
        <f t="shared" si="0"/>
        <v>-1.2815515655446006</v>
      </c>
    </row>
    <row r="16" spans="1:7" x14ac:dyDescent="0.2">
      <c r="F16">
        <f>0.01</f>
        <v>0.01</v>
      </c>
      <c r="G16">
        <f t="shared" si="0"/>
        <v>-2.3263478740408408</v>
      </c>
    </row>
    <row r="17" spans="6:7" x14ac:dyDescent="0.2">
      <c r="F17">
        <v>0.11</v>
      </c>
      <c r="G17">
        <f t="shared" si="0"/>
        <v>-1.2265281200366105</v>
      </c>
    </row>
    <row r="18" spans="6:7" x14ac:dyDescent="0.2">
      <c r="F18">
        <v>0.12</v>
      </c>
      <c r="G18">
        <f t="shared" si="0"/>
        <v>-1.1749867920660904</v>
      </c>
    </row>
    <row r="19" spans="6:7" x14ac:dyDescent="0.2">
      <c r="F19">
        <v>0.13</v>
      </c>
      <c r="G19">
        <f t="shared" si="0"/>
        <v>-1.1263911290388013</v>
      </c>
    </row>
    <row r="20" spans="6:7" x14ac:dyDescent="0.2">
      <c r="F20">
        <f>0.01</f>
        <v>0.01</v>
      </c>
      <c r="G20">
        <f t="shared" si="0"/>
        <v>-2.3263478740408408</v>
      </c>
    </row>
    <row r="21" spans="6:7" x14ac:dyDescent="0.2">
      <c r="F21">
        <v>0.14000000000000001</v>
      </c>
      <c r="G21">
        <f t="shared" si="0"/>
        <v>-1.0803193408149565</v>
      </c>
    </row>
    <row r="22" spans="6:7" x14ac:dyDescent="0.2">
      <c r="F22">
        <v>0.15</v>
      </c>
      <c r="G22">
        <f t="shared" si="0"/>
        <v>-1.0364333894937898</v>
      </c>
    </row>
    <row r="23" spans="6:7" x14ac:dyDescent="0.2">
      <c r="F23">
        <v>0.16</v>
      </c>
      <c r="G23">
        <f t="shared" si="0"/>
        <v>-0.9944578832097497</v>
      </c>
    </row>
    <row r="24" spans="6:7" x14ac:dyDescent="0.2">
      <c r="F24">
        <f>0.01</f>
        <v>0.01</v>
      </c>
      <c r="G24">
        <f t="shared" si="0"/>
        <v>-2.3263478740408408</v>
      </c>
    </row>
    <row r="25" spans="6:7" x14ac:dyDescent="0.2">
      <c r="F25">
        <v>0.17</v>
      </c>
      <c r="G25">
        <f t="shared" si="0"/>
        <v>-0.95416525314619549</v>
      </c>
    </row>
    <row r="26" spans="6:7" x14ac:dyDescent="0.2">
      <c r="F26">
        <v>0.18</v>
      </c>
      <c r="G26">
        <f t="shared" si="0"/>
        <v>-0.91536508784281501</v>
      </c>
    </row>
    <row r="27" spans="6:7" x14ac:dyDescent="0.2">
      <c r="F27">
        <v>0.19</v>
      </c>
      <c r="G27">
        <f t="shared" si="0"/>
        <v>-0.87789629505122846</v>
      </c>
    </row>
    <row r="28" spans="6:7" x14ac:dyDescent="0.2">
      <c r="F28">
        <f>0.01</f>
        <v>0.01</v>
      </c>
      <c r="G28">
        <f t="shared" si="0"/>
        <v>-2.3263478740408408</v>
      </c>
    </row>
    <row r="29" spans="6:7" x14ac:dyDescent="0.2">
      <c r="F29">
        <v>0.2</v>
      </c>
      <c r="G29">
        <f t="shared" si="0"/>
        <v>-0.84162123357291452</v>
      </c>
    </row>
    <row r="30" spans="6:7" x14ac:dyDescent="0.2">
      <c r="F30">
        <v>0.21</v>
      </c>
      <c r="G30">
        <f t="shared" si="0"/>
        <v>-0.80642124701824058</v>
      </c>
    </row>
    <row r="31" spans="6:7" x14ac:dyDescent="0.2">
      <c r="F31">
        <v>0.22</v>
      </c>
      <c r="G31">
        <f t="shared" si="0"/>
        <v>-0.77219321418868503</v>
      </c>
    </row>
    <row r="32" spans="6:7" x14ac:dyDescent="0.2">
      <c r="F32">
        <f>0.01</f>
        <v>0.01</v>
      </c>
      <c r="G32">
        <f t="shared" si="0"/>
        <v>-2.3263478740408408</v>
      </c>
    </row>
    <row r="33" spans="6:7" x14ac:dyDescent="0.2">
      <c r="F33">
        <v>0.23</v>
      </c>
      <c r="G33">
        <f t="shared" si="0"/>
        <v>-0.73884684918521393</v>
      </c>
    </row>
    <row r="34" spans="6:7" x14ac:dyDescent="0.2">
      <c r="F34">
        <v>0.24</v>
      </c>
      <c r="G34">
        <f t="shared" si="0"/>
        <v>-0.7063025628400873</v>
      </c>
    </row>
    <row r="35" spans="6:7" x14ac:dyDescent="0.2">
      <c r="F35">
        <v>0.25</v>
      </c>
      <c r="G35">
        <f t="shared" si="0"/>
        <v>-0.67448975019608193</v>
      </c>
    </row>
    <row r="36" spans="6:7" x14ac:dyDescent="0.2">
      <c r="F36">
        <f>0.01</f>
        <v>0.01</v>
      </c>
      <c r="G36">
        <f t="shared" si="0"/>
        <v>-2.3263478740408408</v>
      </c>
    </row>
    <row r="37" spans="6:7" x14ac:dyDescent="0.2">
      <c r="F37">
        <v>0.26</v>
      </c>
      <c r="G37">
        <f t="shared" si="0"/>
        <v>-0.64334540539291696</v>
      </c>
    </row>
    <row r="38" spans="6:7" x14ac:dyDescent="0.2">
      <c r="F38">
        <v>0.27</v>
      </c>
      <c r="G38">
        <f t="shared" si="0"/>
        <v>-0.61281299101662734</v>
      </c>
    </row>
    <row r="39" spans="6:7" x14ac:dyDescent="0.2">
      <c r="F39">
        <v>0.28000000000000003</v>
      </c>
      <c r="G39">
        <f t="shared" si="0"/>
        <v>-0.58284150727121631</v>
      </c>
    </row>
    <row r="40" spans="6:7" x14ac:dyDescent="0.2">
      <c r="F40">
        <f>0.01</f>
        <v>0.01</v>
      </c>
      <c r="G40">
        <f t="shared" si="0"/>
        <v>-2.3263478740408408</v>
      </c>
    </row>
    <row r="41" spans="6:7" x14ac:dyDescent="0.2">
      <c r="F41">
        <v>0.28999999999999998</v>
      </c>
      <c r="G41">
        <f t="shared" si="0"/>
        <v>-0.55338471955567303</v>
      </c>
    </row>
    <row r="42" spans="6:7" x14ac:dyDescent="0.2">
      <c r="F42">
        <v>0.3</v>
      </c>
      <c r="G42">
        <f t="shared" si="0"/>
        <v>-0.52440051270804089</v>
      </c>
    </row>
    <row r="43" spans="6:7" x14ac:dyDescent="0.2">
      <c r="F43">
        <v>0.31</v>
      </c>
      <c r="G43">
        <f t="shared" si="0"/>
        <v>-0.49585034734745354</v>
      </c>
    </row>
    <row r="44" spans="6:7" x14ac:dyDescent="0.2">
      <c r="F44">
        <f>0.01</f>
        <v>0.01</v>
      </c>
      <c r="G44">
        <f t="shared" si="0"/>
        <v>-2.3263478740408408</v>
      </c>
    </row>
    <row r="45" spans="6:7" x14ac:dyDescent="0.2">
      <c r="F45">
        <v>0.32</v>
      </c>
      <c r="G45">
        <f t="shared" si="0"/>
        <v>-0.46769879911450829</v>
      </c>
    </row>
    <row r="46" spans="6:7" x14ac:dyDescent="0.2">
      <c r="F46">
        <v>0.33</v>
      </c>
      <c r="G46">
        <f t="shared" si="0"/>
        <v>-0.43991316567323374</v>
      </c>
    </row>
    <row r="47" spans="6:7" x14ac:dyDescent="0.2">
      <c r="F47">
        <v>0.34</v>
      </c>
      <c r="G47">
        <f t="shared" si="0"/>
        <v>-0.41246312944140484</v>
      </c>
    </row>
    <row r="48" spans="6:7" x14ac:dyDescent="0.2">
      <c r="F48">
        <f>0.01</f>
        <v>0.01</v>
      </c>
      <c r="G48">
        <f t="shared" si="0"/>
        <v>-2.3263478740408408</v>
      </c>
    </row>
    <row r="49" spans="6:7" x14ac:dyDescent="0.2">
      <c r="F49">
        <v>0.35</v>
      </c>
      <c r="G49">
        <f t="shared" si="0"/>
        <v>-0.38532046640756784</v>
      </c>
    </row>
    <row r="50" spans="6:7" x14ac:dyDescent="0.2">
      <c r="F50">
        <v>0.36</v>
      </c>
      <c r="G50">
        <f t="shared" si="0"/>
        <v>-0.35845879325119384</v>
      </c>
    </row>
    <row r="51" spans="6:7" x14ac:dyDescent="0.2">
      <c r="F51">
        <v>0.37</v>
      </c>
      <c r="G51">
        <f t="shared" si="0"/>
        <v>-0.33185334643681658</v>
      </c>
    </row>
    <row r="52" spans="6:7" x14ac:dyDescent="0.2">
      <c r="F52">
        <f>0.01</f>
        <v>0.01</v>
      </c>
      <c r="G52">
        <f t="shared" si="0"/>
        <v>-2.3263478740408408</v>
      </c>
    </row>
    <row r="53" spans="6:7" x14ac:dyDescent="0.2">
      <c r="F53">
        <v>0.38</v>
      </c>
      <c r="G53">
        <f t="shared" si="0"/>
        <v>-0.30548078809939727</v>
      </c>
    </row>
    <row r="54" spans="6:7" x14ac:dyDescent="0.2">
      <c r="F54">
        <v>0.39</v>
      </c>
      <c r="G54">
        <f t="shared" si="0"/>
        <v>-0.27931903444745415</v>
      </c>
    </row>
    <row r="55" spans="6:7" x14ac:dyDescent="0.2">
      <c r="F55">
        <v>0.4</v>
      </c>
      <c r="G55">
        <f t="shared" si="0"/>
        <v>-0.25334710313579978</v>
      </c>
    </row>
    <row r="56" spans="6:7" x14ac:dyDescent="0.2">
      <c r="F56">
        <f>0.01</f>
        <v>0.01</v>
      </c>
      <c r="G56">
        <f t="shared" si="0"/>
        <v>-2.3263478740408408</v>
      </c>
    </row>
    <row r="57" spans="6:7" x14ac:dyDescent="0.2">
      <c r="F57">
        <v>0.41</v>
      </c>
      <c r="G57">
        <f t="shared" si="0"/>
        <v>-0.2275449766411495</v>
      </c>
    </row>
    <row r="58" spans="6:7" x14ac:dyDescent="0.2">
      <c r="F58">
        <v>0.42</v>
      </c>
      <c r="G58">
        <f t="shared" si="0"/>
        <v>-0.20189347914185088</v>
      </c>
    </row>
    <row r="59" spans="6:7" x14ac:dyDescent="0.2">
      <c r="F59">
        <v>0.43</v>
      </c>
      <c r="G59">
        <f t="shared" si="0"/>
        <v>-0.17637416478086138</v>
      </c>
    </row>
    <row r="60" spans="6:7" x14ac:dyDescent="0.2">
      <c r="F60">
        <f>0.01</f>
        <v>0.01</v>
      </c>
      <c r="G60">
        <f t="shared" si="0"/>
        <v>-2.3263478740408408</v>
      </c>
    </row>
    <row r="61" spans="6:7" x14ac:dyDescent="0.2">
      <c r="F61">
        <v>0.44</v>
      </c>
      <c r="G61">
        <f t="shared" si="0"/>
        <v>-0.15096921549677725</v>
      </c>
    </row>
    <row r="62" spans="6:7" x14ac:dyDescent="0.2">
      <c r="F62">
        <v>0.45</v>
      </c>
      <c r="G62">
        <f t="shared" si="0"/>
        <v>-0.12566134685507402</v>
      </c>
    </row>
    <row r="63" spans="6:7" x14ac:dyDescent="0.2">
      <c r="F63">
        <v>0.46</v>
      </c>
      <c r="G63">
        <f t="shared" si="0"/>
        <v>-0.10043372051146976</v>
      </c>
    </row>
    <row r="64" spans="6:7" x14ac:dyDescent="0.2">
      <c r="F64">
        <f>0.01</f>
        <v>0.01</v>
      </c>
      <c r="G64">
        <f t="shared" si="0"/>
        <v>-2.3263478740408408</v>
      </c>
    </row>
    <row r="65" spans="6:7" x14ac:dyDescent="0.2">
      <c r="F65">
        <v>0.47</v>
      </c>
      <c r="G65">
        <f t="shared" si="0"/>
        <v>-7.5269862099829901E-2</v>
      </c>
    </row>
    <row r="66" spans="6:7" x14ac:dyDescent="0.2">
      <c r="F66">
        <v>0.48</v>
      </c>
      <c r="G66">
        <f t="shared" si="0"/>
        <v>-5.0153583464733656E-2</v>
      </c>
    </row>
    <row r="67" spans="6:7" x14ac:dyDescent="0.2">
      <c r="F67">
        <v>0.49</v>
      </c>
      <c r="G67">
        <f t="shared" si="0"/>
        <v>-2.506890825871106E-2</v>
      </c>
    </row>
    <row r="68" spans="6:7" x14ac:dyDescent="0.2">
      <c r="F68">
        <f>0.01</f>
        <v>0.01</v>
      </c>
      <c r="G68">
        <f t="shared" ref="G68:G131" si="1">_xlfn.NORM.S.INV(F68)</f>
        <v>-2.3263478740408408</v>
      </c>
    </row>
    <row r="69" spans="6:7" x14ac:dyDescent="0.2">
      <c r="F69">
        <v>0.5</v>
      </c>
      <c r="G69">
        <f t="shared" si="1"/>
        <v>0</v>
      </c>
    </row>
    <row r="70" spans="6:7" x14ac:dyDescent="0.2">
      <c r="F70">
        <v>0.51</v>
      </c>
      <c r="G70">
        <f t="shared" si="1"/>
        <v>2.506890825871106E-2</v>
      </c>
    </row>
    <row r="71" spans="6:7" x14ac:dyDescent="0.2">
      <c r="F71">
        <v>0.52</v>
      </c>
      <c r="G71">
        <f t="shared" si="1"/>
        <v>5.0153583464733656E-2</v>
      </c>
    </row>
    <row r="72" spans="6:7" x14ac:dyDescent="0.2">
      <c r="F72">
        <f>0.01</f>
        <v>0.01</v>
      </c>
      <c r="G72">
        <f t="shared" si="1"/>
        <v>-2.3263478740408408</v>
      </c>
    </row>
    <row r="73" spans="6:7" x14ac:dyDescent="0.2">
      <c r="F73">
        <v>0.53</v>
      </c>
      <c r="G73">
        <f t="shared" si="1"/>
        <v>7.5269862099829901E-2</v>
      </c>
    </row>
    <row r="74" spans="6:7" x14ac:dyDescent="0.2">
      <c r="F74">
        <v>0.54</v>
      </c>
      <c r="G74">
        <f t="shared" si="1"/>
        <v>0.10043372051146988</v>
      </c>
    </row>
    <row r="75" spans="6:7" x14ac:dyDescent="0.2">
      <c r="F75">
        <v>0.55000000000000004</v>
      </c>
      <c r="G75">
        <f t="shared" si="1"/>
        <v>0.12566134685507416</v>
      </c>
    </row>
    <row r="76" spans="6:7" x14ac:dyDescent="0.2">
      <c r="F76">
        <f>0.01</f>
        <v>0.01</v>
      </c>
      <c r="G76">
        <f t="shared" si="1"/>
        <v>-2.3263478740408408</v>
      </c>
    </row>
    <row r="77" spans="6:7" x14ac:dyDescent="0.2">
      <c r="F77">
        <v>0.56000000000000005</v>
      </c>
      <c r="G77">
        <f t="shared" si="1"/>
        <v>0.15096921549677741</v>
      </c>
    </row>
    <row r="78" spans="6:7" x14ac:dyDescent="0.2">
      <c r="F78">
        <v>0.56999999999999995</v>
      </c>
      <c r="G78">
        <f t="shared" si="1"/>
        <v>0.17637416478086121</v>
      </c>
    </row>
    <row r="79" spans="6:7" x14ac:dyDescent="0.2">
      <c r="F79">
        <v>0.57999999999999996</v>
      </c>
      <c r="G79">
        <f t="shared" si="1"/>
        <v>0.20189347914185077</v>
      </c>
    </row>
    <row r="80" spans="6:7" x14ac:dyDescent="0.2">
      <c r="F80">
        <f>0.01</f>
        <v>0.01</v>
      </c>
      <c r="G80">
        <f t="shared" si="1"/>
        <v>-2.3263478740408408</v>
      </c>
    </row>
    <row r="81" spans="6:7" x14ac:dyDescent="0.2">
      <c r="F81">
        <v>0.59</v>
      </c>
      <c r="G81">
        <f t="shared" si="1"/>
        <v>0.22754497664114934</v>
      </c>
    </row>
    <row r="82" spans="6:7" x14ac:dyDescent="0.2">
      <c r="F82">
        <v>0.6</v>
      </c>
      <c r="G82">
        <f t="shared" si="1"/>
        <v>0.25334710313579978</v>
      </c>
    </row>
    <row r="83" spans="6:7" x14ac:dyDescent="0.2">
      <c r="F83">
        <v>0.61</v>
      </c>
      <c r="G83">
        <f t="shared" si="1"/>
        <v>0.27931903444745415</v>
      </c>
    </row>
    <row r="84" spans="6:7" x14ac:dyDescent="0.2">
      <c r="F84">
        <f>0.01</f>
        <v>0.01</v>
      </c>
      <c r="G84">
        <f t="shared" si="1"/>
        <v>-2.3263478740408408</v>
      </c>
    </row>
    <row r="85" spans="6:7" x14ac:dyDescent="0.2">
      <c r="F85">
        <v>0.62</v>
      </c>
      <c r="G85">
        <f t="shared" si="1"/>
        <v>0.30548078809939727</v>
      </c>
    </row>
    <row r="86" spans="6:7" x14ac:dyDescent="0.2">
      <c r="F86">
        <v>0.63</v>
      </c>
      <c r="G86">
        <f t="shared" si="1"/>
        <v>0.33185334643681658</v>
      </c>
    </row>
    <row r="87" spans="6:7" x14ac:dyDescent="0.2">
      <c r="F87">
        <v>0.64</v>
      </c>
      <c r="G87">
        <f t="shared" si="1"/>
        <v>0.35845879325119384</v>
      </c>
    </row>
    <row r="88" spans="6:7" x14ac:dyDescent="0.2">
      <c r="F88">
        <f>0.01</f>
        <v>0.01</v>
      </c>
      <c r="G88">
        <f t="shared" si="1"/>
        <v>-2.3263478740408408</v>
      </c>
    </row>
    <row r="89" spans="6:7" x14ac:dyDescent="0.2">
      <c r="F89">
        <v>0.65</v>
      </c>
      <c r="G89">
        <f t="shared" si="1"/>
        <v>0.38532046640756784</v>
      </c>
    </row>
    <row r="90" spans="6:7" x14ac:dyDescent="0.2">
      <c r="F90">
        <v>0.66</v>
      </c>
      <c r="G90">
        <f t="shared" si="1"/>
        <v>0.41246312944140473</v>
      </c>
    </row>
    <row r="91" spans="6:7" x14ac:dyDescent="0.2">
      <c r="F91">
        <v>0.67</v>
      </c>
      <c r="G91">
        <f t="shared" si="1"/>
        <v>0.43991316567323396</v>
      </c>
    </row>
    <row r="92" spans="6:7" x14ac:dyDescent="0.2">
      <c r="F92">
        <f>0.01</f>
        <v>0.01</v>
      </c>
      <c r="G92">
        <f t="shared" si="1"/>
        <v>-2.3263478740408408</v>
      </c>
    </row>
    <row r="93" spans="6:7" x14ac:dyDescent="0.2">
      <c r="F93">
        <v>0.68</v>
      </c>
      <c r="G93">
        <f t="shared" si="1"/>
        <v>0.46769879911450835</v>
      </c>
    </row>
    <row r="94" spans="6:7" x14ac:dyDescent="0.2">
      <c r="F94">
        <v>0.69</v>
      </c>
      <c r="G94">
        <f t="shared" si="1"/>
        <v>0.49585034734745331</v>
      </c>
    </row>
    <row r="95" spans="6:7" x14ac:dyDescent="0.2">
      <c r="F95">
        <v>0.7</v>
      </c>
      <c r="G95">
        <f t="shared" si="1"/>
        <v>0.52440051270804078</v>
      </c>
    </row>
    <row r="96" spans="6:7" x14ac:dyDescent="0.2">
      <c r="F96">
        <f>0.01</f>
        <v>0.01</v>
      </c>
      <c r="G96">
        <f t="shared" si="1"/>
        <v>-2.3263478740408408</v>
      </c>
    </row>
    <row r="97" spans="6:7" x14ac:dyDescent="0.2">
      <c r="F97">
        <v>0.71</v>
      </c>
      <c r="G97">
        <f t="shared" si="1"/>
        <v>0.5533847195556727</v>
      </c>
    </row>
    <row r="98" spans="6:7" x14ac:dyDescent="0.2">
      <c r="F98">
        <v>0.72</v>
      </c>
      <c r="G98">
        <f t="shared" si="1"/>
        <v>0.58284150727121631</v>
      </c>
    </row>
    <row r="99" spans="6:7" x14ac:dyDescent="0.2">
      <c r="F99">
        <v>0.73</v>
      </c>
      <c r="G99">
        <f t="shared" si="1"/>
        <v>0.61281299101662734</v>
      </c>
    </row>
    <row r="100" spans="6:7" x14ac:dyDescent="0.2">
      <c r="F100">
        <f>0.01</f>
        <v>0.01</v>
      </c>
      <c r="G100">
        <f t="shared" si="1"/>
        <v>-2.3263478740408408</v>
      </c>
    </row>
    <row r="101" spans="6:7" x14ac:dyDescent="0.2">
      <c r="F101">
        <v>0.74</v>
      </c>
      <c r="G101">
        <f t="shared" si="1"/>
        <v>0.64334540539291696</v>
      </c>
    </row>
    <row r="102" spans="6:7" x14ac:dyDescent="0.2">
      <c r="F102">
        <v>0.75</v>
      </c>
      <c r="G102">
        <f t="shared" si="1"/>
        <v>0.67448975019608193</v>
      </c>
    </row>
    <row r="103" spans="6:7" x14ac:dyDescent="0.2">
      <c r="F103">
        <v>0.76</v>
      </c>
      <c r="G103">
        <f t="shared" si="1"/>
        <v>0.7063025628400873</v>
      </c>
    </row>
    <row r="104" spans="6:7" x14ac:dyDescent="0.2">
      <c r="F104">
        <f>0.01</f>
        <v>0.01</v>
      </c>
      <c r="G104">
        <f t="shared" si="1"/>
        <v>-2.3263478740408408</v>
      </c>
    </row>
    <row r="105" spans="6:7" x14ac:dyDescent="0.2">
      <c r="F105">
        <v>0.77</v>
      </c>
      <c r="G105">
        <f t="shared" si="1"/>
        <v>0.73884684918521393</v>
      </c>
    </row>
    <row r="106" spans="6:7" x14ac:dyDescent="0.2">
      <c r="F106">
        <v>0.78</v>
      </c>
      <c r="G106">
        <f t="shared" si="1"/>
        <v>0.77219321418868503</v>
      </c>
    </row>
    <row r="107" spans="6:7" x14ac:dyDescent="0.2">
      <c r="F107">
        <v>0.79</v>
      </c>
      <c r="G107">
        <f t="shared" si="1"/>
        <v>0.80642124701824058</v>
      </c>
    </row>
    <row r="108" spans="6:7" x14ac:dyDescent="0.2">
      <c r="F108">
        <f>0.01</f>
        <v>0.01</v>
      </c>
      <c r="G108">
        <f t="shared" si="1"/>
        <v>-2.3263478740408408</v>
      </c>
    </row>
    <row r="109" spans="6:7" x14ac:dyDescent="0.2">
      <c r="F109">
        <v>0.8</v>
      </c>
      <c r="G109">
        <f t="shared" si="1"/>
        <v>0.84162123357291474</v>
      </c>
    </row>
    <row r="110" spans="6:7" x14ac:dyDescent="0.2">
      <c r="F110">
        <v>0.81</v>
      </c>
      <c r="G110">
        <f t="shared" si="1"/>
        <v>0.87789629505122857</v>
      </c>
    </row>
    <row r="111" spans="6:7" x14ac:dyDescent="0.2">
      <c r="F111">
        <v>0.82</v>
      </c>
      <c r="G111">
        <f t="shared" si="1"/>
        <v>0.91536508784281256</v>
      </c>
    </row>
    <row r="112" spans="6:7" x14ac:dyDescent="0.2">
      <c r="F112">
        <f>0.01</f>
        <v>0.01</v>
      </c>
      <c r="G112">
        <f t="shared" si="1"/>
        <v>-2.3263478740408408</v>
      </c>
    </row>
    <row r="113" spans="6:7" x14ac:dyDescent="0.2">
      <c r="F113">
        <v>0.83</v>
      </c>
      <c r="G113">
        <f t="shared" si="1"/>
        <v>0.95416525314619549</v>
      </c>
    </row>
    <row r="114" spans="6:7" x14ac:dyDescent="0.2">
      <c r="F114">
        <v>0.84</v>
      </c>
      <c r="G114">
        <f t="shared" si="1"/>
        <v>0.9944578832097497</v>
      </c>
    </row>
    <row r="115" spans="6:7" x14ac:dyDescent="0.2">
      <c r="F115">
        <v>0.85</v>
      </c>
      <c r="G115">
        <f t="shared" si="1"/>
        <v>1.0364333894937898</v>
      </c>
    </row>
    <row r="116" spans="6:7" x14ac:dyDescent="0.2">
      <c r="F116">
        <f>0.01</f>
        <v>0.01</v>
      </c>
      <c r="G116">
        <f t="shared" si="1"/>
        <v>-2.3263478740408408</v>
      </c>
    </row>
    <row r="117" spans="6:7" x14ac:dyDescent="0.2">
      <c r="F117">
        <v>0.86</v>
      </c>
      <c r="G117">
        <f t="shared" si="1"/>
        <v>1.0803193408149565</v>
      </c>
    </row>
    <row r="118" spans="6:7" x14ac:dyDescent="0.2">
      <c r="F118">
        <v>0.87</v>
      </c>
      <c r="G118">
        <f t="shared" si="1"/>
        <v>1.1263911290388013</v>
      </c>
    </row>
    <row r="119" spans="6:7" x14ac:dyDescent="0.2">
      <c r="F119">
        <v>0.88</v>
      </c>
      <c r="G119">
        <f t="shared" si="1"/>
        <v>1.1749867920660904</v>
      </c>
    </row>
    <row r="120" spans="6:7" x14ac:dyDescent="0.2">
      <c r="F120">
        <f>0.01</f>
        <v>0.01</v>
      </c>
      <c r="G120">
        <f t="shared" si="1"/>
        <v>-2.3263478740408408</v>
      </c>
    </row>
    <row r="121" spans="6:7" x14ac:dyDescent="0.2">
      <c r="F121">
        <v>0.89</v>
      </c>
      <c r="G121">
        <f t="shared" si="1"/>
        <v>1.2265281200366105</v>
      </c>
    </row>
    <row r="122" spans="6:7" x14ac:dyDescent="0.2">
      <c r="F122">
        <v>0.9</v>
      </c>
      <c r="G122">
        <f t="shared" si="1"/>
        <v>1.2815515655446006</v>
      </c>
    </row>
    <row r="123" spans="6:7" x14ac:dyDescent="0.2">
      <c r="F123">
        <v>0.91</v>
      </c>
      <c r="G123">
        <f t="shared" si="1"/>
        <v>1.3407550336902161</v>
      </c>
    </row>
    <row r="124" spans="6:7" x14ac:dyDescent="0.2">
      <c r="F124">
        <f>0.01</f>
        <v>0.01</v>
      </c>
      <c r="G124">
        <f t="shared" si="1"/>
        <v>-2.3263478740408408</v>
      </c>
    </row>
    <row r="125" spans="6:7" x14ac:dyDescent="0.2">
      <c r="F125">
        <v>0.92</v>
      </c>
      <c r="G125">
        <f t="shared" si="1"/>
        <v>1.4050715603096329</v>
      </c>
    </row>
    <row r="126" spans="6:7" x14ac:dyDescent="0.2">
      <c r="F126">
        <v>0.93</v>
      </c>
      <c r="G126">
        <f t="shared" si="1"/>
        <v>1.4757910281791713</v>
      </c>
    </row>
    <row r="127" spans="6:7" x14ac:dyDescent="0.2">
      <c r="F127">
        <v>0.94</v>
      </c>
      <c r="G127">
        <f t="shared" si="1"/>
        <v>1.5547735945968528</v>
      </c>
    </row>
    <row r="128" spans="6:7" x14ac:dyDescent="0.2">
      <c r="F128">
        <f>0.01</f>
        <v>0.01</v>
      </c>
      <c r="G128">
        <f t="shared" si="1"/>
        <v>-2.3263478740408408</v>
      </c>
    </row>
    <row r="129" spans="6:7" x14ac:dyDescent="0.2">
      <c r="F129">
        <v>0.95</v>
      </c>
      <c r="G129">
        <f t="shared" si="1"/>
        <v>1.6448536269514715</v>
      </c>
    </row>
    <row r="130" spans="6:7" x14ac:dyDescent="0.2">
      <c r="F130">
        <v>0.96</v>
      </c>
      <c r="G130">
        <f t="shared" si="1"/>
        <v>1.7506860712521695</v>
      </c>
    </row>
    <row r="131" spans="6:7" x14ac:dyDescent="0.2">
      <c r="F131">
        <v>0.97</v>
      </c>
      <c r="G131">
        <f t="shared" si="1"/>
        <v>1.8807936081512504</v>
      </c>
    </row>
    <row r="132" spans="6:7" x14ac:dyDescent="0.2">
      <c r="F132">
        <f>0.01</f>
        <v>0.01</v>
      </c>
      <c r="G132">
        <f>_xlfn.NORM.S.INV(F132)</f>
        <v>-2.3263478740408408</v>
      </c>
    </row>
    <row r="133" spans="6:7" x14ac:dyDescent="0.2">
      <c r="F133">
        <v>0.98</v>
      </c>
      <c r="G133">
        <f>_xlfn.NORM.S.INV(F133)</f>
        <v>2.0537489106318221</v>
      </c>
    </row>
    <row r="134" spans="6:7" x14ac:dyDescent="0.2">
      <c r="F134">
        <v>0.99</v>
      </c>
      <c r="G134">
        <f>_xlfn.NORM.S.INV(F134)</f>
        <v>2.3263478740408408</v>
      </c>
    </row>
    <row r="135" spans="6:7" x14ac:dyDescent="0.2">
      <c r="F135">
        <v>1</v>
      </c>
      <c r="G135" t="e">
        <f>_xlfn.NORM.S.INV(F135)</f>
        <v>#NUM!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38D79-DCC6-A947-80BC-DF196BBCD2AC}">
  <sheetPr codeName="Sheet3"/>
  <dimension ref="A1:Q1005"/>
  <sheetViews>
    <sheetView tabSelected="1" workbookViewId="0">
      <selection activeCell="G13" sqref="G13"/>
    </sheetView>
  </sheetViews>
  <sheetFormatPr baseColWidth="10" defaultRowHeight="16" x14ac:dyDescent="0.2"/>
  <cols>
    <col min="1" max="1" width="16.6640625" bestFit="1" customWidth="1"/>
    <col min="2" max="3" width="19" customWidth="1"/>
    <col min="4" max="4" width="10.83203125" style="21"/>
    <col min="10" max="10" width="13.6640625" customWidth="1"/>
    <col min="12" max="12" width="14.1640625" customWidth="1"/>
    <col min="13" max="13" width="14.83203125" customWidth="1"/>
  </cols>
  <sheetData>
    <row r="1" spans="1:17" ht="31" x14ac:dyDescent="0.35">
      <c r="A1" s="11" t="s">
        <v>25</v>
      </c>
      <c r="J1" s="26" t="s">
        <v>29</v>
      </c>
      <c r="L1" s="16" t="s">
        <v>21</v>
      </c>
      <c r="M1" s="18" t="s">
        <v>17</v>
      </c>
      <c r="N1" s="18" t="s">
        <v>45</v>
      </c>
      <c r="O1" s="18" t="s">
        <v>15</v>
      </c>
      <c r="P1" s="22" t="s">
        <v>48</v>
      </c>
      <c r="Q1" s="15"/>
    </row>
    <row r="2" spans="1:17" x14ac:dyDescent="0.2">
      <c r="L2" s="17"/>
      <c r="M2" s="8">
        <v>1</v>
      </c>
      <c r="N2" s="8">
        <v>1000</v>
      </c>
      <c r="O2" s="8">
        <f>M2/N2</f>
        <v>1E-3</v>
      </c>
      <c r="P2" s="9"/>
      <c r="Q2" s="3"/>
    </row>
    <row r="3" spans="1:17" x14ac:dyDescent="0.2">
      <c r="A3" s="14" t="s">
        <v>41</v>
      </c>
      <c r="B3" s="14" t="s">
        <v>42</v>
      </c>
      <c r="C3" s="14"/>
      <c r="L3" s="16" t="s">
        <v>20</v>
      </c>
      <c r="M3" s="18" t="s">
        <v>14</v>
      </c>
      <c r="N3" s="18" t="s">
        <v>12</v>
      </c>
      <c r="O3" s="18" t="s">
        <v>16</v>
      </c>
      <c r="P3" s="18"/>
      <c r="Q3" s="9"/>
    </row>
    <row r="4" spans="1:17" x14ac:dyDescent="0.2">
      <c r="A4" t="s">
        <v>22</v>
      </c>
      <c r="B4" s="1" t="s">
        <v>23</v>
      </c>
      <c r="C4" s="1"/>
      <c r="D4" s="25" t="s">
        <v>40</v>
      </c>
      <c r="L4" s="17"/>
      <c r="M4" s="8">
        <v>0.1</v>
      </c>
      <c r="N4" s="8">
        <f>O6</f>
        <v>0.1</v>
      </c>
      <c r="O4" s="10">
        <v>0.1</v>
      </c>
      <c r="P4" s="4"/>
      <c r="Q4" s="3"/>
    </row>
    <row r="5" spans="1:17" x14ac:dyDescent="0.2">
      <c r="A5" t="s">
        <v>44</v>
      </c>
      <c r="B5" s="1" t="s">
        <v>43</v>
      </c>
      <c r="C5" s="1" t="s">
        <v>49</v>
      </c>
      <c r="D5" s="21" t="s">
        <v>9</v>
      </c>
      <c r="F5" s="1" t="s">
        <v>26</v>
      </c>
      <c r="G5" s="1" t="s">
        <v>28</v>
      </c>
      <c r="H5" s="1" t="s">
        <v>27</v>
      </c>
      <c r="I5" s="1" t="s">
        <v>34</v>
      </c>
      <c r="J5" s="1" t="s">
        <v>37</v>
      </c>
      <c r="L5" s="16" t="s">
        <v>19</v>
      </c>
      <c r="M5" s="18" t="s">
        <v>33</v>
      </c>
      <c r="N5" s="18" t="s">
        <v>11</v>
      </c>
      <c r="O5" s="18" t="s">
        <v>12</v>
      </c>
      <c r="P5" s="18" t="s">
        <v>13</v>
      </c>
      <c r="Q5" s="3"/>
    </row>
    <row r="6" spans="1:17" x14ac:dyDescent="0.2">
      <c r="A6">
        <f ca="1">RAND()</f>
        <v>0.941430400428794</v>
      </c>
      <c r="B6">
        <f ca="1">NORMSINV(A6)</f>
        <v>1.5668951601409411</v>
      </c>
      <c r="C6">
        <f ca="1">B6</f>
        <v>1.5668951601409411</v>
      </c>
      <c r="D6" s="21">
        <f ca="1">_xlfn.NORM.DIST(B6,0,1,FALSE)</f>
        <v>0.11689037436668438</v>
      </c>
      <c r="F6" s="2">
        <v>0</v>
      </c>
      <c r="G6" s="2">
        <v>0.01</v>
      </c>
      <c r="H6" s="2">
        <v>0.01</v>
      </c>
      <c r="I6" s="2">
        <v>0.01</v>
      </c>
      <c r="J6" s="2">
        <f>ABS(H6-G6)</f>
        <v>0</v>
      </c>
      <c r="L6" s="3"/>
      <c r="M6" s="10">
        <f>M4*O4</f>
        <v>1.0000000000000002E-2</v>
      </c>
      <c r="N6" s="8">
        <f>-M6/O4</f>
        <v>-0.10000000000000002</v>
      </c>
      <c r="O6" s="10">
        <v>0.1</v>
      </c>
      <c r="P6" s="10">
        <v>0</v>
      </c>
      <c r="Q6" s="6" t="s">
        <v>18</v>
      </c>
    </row>
    <row r="7" spans="1:17" x14ac:dyDescent="0.2">
      <c r="A7">
        <f t="shared" ref="A7:A70" ca="1" si="0">RAND()</f>
        <v>0.27232080986612184</v>
      </c>
      <c r="B7">
        <f t="shared" ref="B7:B70" ca="1" si="1">NORMSINV(A7)</f>
        <v>-0.60580895921052669</v>
      </c>
      <c r="C7">
        <f ca="1">B7+C6</f>
        <v>0.96108620093041441</v>
      </c>
      <c r="D7" s="21">
        <f t="shared" ref="D7:D70" ca="1" si="2">_xlfn.NORM.DIST(B7,0,1,FALSE)</f>
        <v>0.33205960908855664</v>
      </c>
      <c r="F7">
        <f t="shared" ref="F7:F70" si="3">F6+$M$2/$N$2</f>
        <v>1E-3</v>
      </c>
      <c r="G7">
        <f t="shared" ref="G7:G70" ca="1" si="4">G6*EXP(-$M$4*$O$2) + $O$4*(1-EXP(-$M$4*$O$2)) + $N$4* SQRT((1-EXP(-2*$M$4*$O$2))/(2*$M$4)) *B6</f>
        <v>1.4963709373198995E-2</v>
      </c>
      <c r="H7">
        <f ca="1">H6+($M$6 + $N$6*H6)*$O$2 + $O$6*H6^$P$6*SQRT($O$2)*B6</f>
        <v>1.4963957560739654E-2</v>
      </c>
      <c r="I7">
        <f ca="1">I6*EXP(-($M$8-0.5*($N$8^2))*$O$2 + $N$8*SQRT($O$2)*B6)</f>
        <v>1.0048717863091276E-2</v>
      </c>
      <c r="J7" s="5">
        <f ca="1">ABS(H7-I7)</f>
        <v>4.9152396976483784E-3</v>
      </c>
      <c r="L7" s="20" t="s">
        <v>35</v>
      </c>
      <c r="M7" s="1" t="s">
        <v>47</v>
      </c>
      <c r="N7" s="1" t="s">
        <v>12</v>
      </c>
      <c r="Q7" s="7" t="s">
        <v>52</v>
      </c>
    </row>
    <row r="8" spans="1:17" x14ac:dyDescent="0.2">
      <c r="A8">
        <f t="shared" ca="1" si="0"/>
        <v>0.51474606515599441</v>
      </c>
      <c r="B8">
        <f t="shared" ca="1" si="1"/>
        <v>3.6971324686578766E-2</v>
      </c>
      <c r="C8">
        <f t="shared" ref="C8:C71" ca="1" si="5">B8+C7</f>
        <v>0.99805752561699324</v>
      </c>
      <c r="D8" s="21">
        <f t="shared" ca="1" si="2"/>
        <v>0.39866972066853301</v>
      </c>
      <c r="F8">
        <f t="shared" si="3"/>
        <v>2E-3</v>
      </c>
      <c r="G8">
        <f t="shared" ca="1" si="4"/>
        <v>1.305657222186905E-2</v>
      </c>
      <c r="H8">
        <f t="shared" ref="H8:H71" ca="1" si="6">H7+($M$6 + $N$6*H7)*$O$2 + $O$6*H7^$P$6*SQRT($O$2)*B7</f>
        <v>1.3056725026942275E-2</v>
      </c>
      <c r="I8">
        <f t="shared" ref="I8:I71" ca="1" si="7">I7*EXP(($M$8-0.5*($N$8^2))*$O$2 + $N$8*SQRT($O$2)*B7)</f>
        <v>1.0030438445384976E-2</v>
      </c>
      <c r="J8" s="5">
        <f t="shared" ref="J8:J71" ca="1" si="8">ABS(H8-I8)</f>
        <v>3.0262865815572984E-3</v>
      </c>
      <c r="M8" s="1">
        <v>0.1</v>
      </c>
      <c r="N8" s="1">
        <f>O6</f>
        <v>0.1</v>
      </c>
      <c r="Q8" s="7" t="s">
        <v>51</v>
      </c>
    </row>
    <row r="9" spans="1:17" x14ac:dyDescent="0.2">
      <c r="A9">
        <f t="shared" ca="1" si="0"/>
        <v>0.94617171657432175</v>
      </c>
      <c r="B9">
        <f t="shared" ca="1" si="1"/>
        <v>1.6088160657794857</v>
      </c>
      <c r="C9">
        <f t="shared" ca="1" si="5"/>
        <v>2.6068735913964787</v>
      </c>
      <c r="D9" s="21">
        <f t="shared" ca="1" si="2"/>
        <v>0.10936295129512896</v>
      </c>
      <c r="F9">
        <f t="shared" si="3"/>
        <v>3.0000000000000001E-3</v>
      </c>
      <c r="G9">
        <f t="shared" ca="1" si="4"/>
        <v>1.3182173878631269E-2</v>
      </c>
      <c r="H9">
        <f t="shared" ca="1" si="6"/>
        <v>1.318233294856278E-2</v>
      </c>
      <c r="I9">
        <f t="shared" ca="1" si="7"/>
        <v>1.0032564256882792E-2</v>
      </c>
      <c r="J9" s="5">
        <f t="shared" ca="1" si="8"/>
        <v>3.1497686916799883E-3</v>
      </c>
      <c r="Q9" s="7" t="s">
        <v>53</v>
      </c>
    </row>
    <row r="10" spans="1:17" x14ac:dyDescent="0.2">
      <c r="A10">
        <f t="shared" ca="1" si="0"/>
        <v>0.39386304662492633</v>
      </c>
      <c r="B10">
        <f t="shared" ca="1" si="1"/>
        <v>-0.26926457182153124</v>
      </c>
      <c r="C10">
        <f t="shared" ca="1" si="5"/>
        <v>2.3376090195749475</v>
      </c>
      <c r="D10" s="21">
        <f t="shared" ca="1" si="2"/>
        <v>0.38473894561390032</v>
      </c>
      <c r="F10">
        <f t="shared" si="3"/>
        <v>4.0000000000000001E-3</v>
      </c>
      <c r="G10">
        <f t="shared" ca="1" si="4"/>
        <v>1.8278123965746532E-2</v>
      </c>
      <c r="H10">
        <f t="shared" ca="1" si="6"/>
        <v>1.8278537819402373E-2</v>
      </c>
      <c r="I10">
        <f t="shared" ca="1" si="7"/>
        <v>1.0084693216029769E-2</v>
      </c>
      <c r="J10" s="5">
        <f t="shared" ca="1" si="8"/>
        <v>8.1938446033726041E-3</v>
      </c>
    </row>
    <row r="11" spans="1:17" x14ac:dyDescent="0.2">
      <c r="A11">
        <f t="shared" ca="1" si="0"/>
        <v>0.32044406948193438</v>
      </c>
      <c r="B11">
        <f t="shared" ca="1" si="1"/>
        <v>-0.46645739223193228</v>
      </c>
      <c r="C11">
        <f t="shared" ca="1" si="5"/>
        <v>1.8711516273430151</v>
      </c>
      <c r="D11" s="21">
        <f t="shared" ca="1" si="2"/>
        <v>0.35781836467039835</v>
      </c>
      <c r="F11">
        <f t="shared" si="3"/>
        <v>5.0000000000000001E-3</v>
      </c>
      <c r="G11">
        <f t="shared" ca="1" si="4"/>
        <v>1.7434848977301312E-2</v>
      </c>
      <c r="H11">
        <f t="shared" ca="1" si="6"/>
        <v>1.7435220625474399E-2</v>
      </c>
      <c r="I11">
        <f t="shared" ca="1" si="7"/>
        <v>1.0077067138000252E-2</v>
      </c>
      <c r="J11" s="5">
        <f t="shared" ca="1" si="8"/>
        <v>7.3581534874741471E-3</v>
      </c>
      <c r="L11" s="19" t="s">
        <v>50</v>
      </c>
    </row>
    <row r="12" spans="1:17" x14ac:dyDescent="0.2">
      <c r="A12">
        <f t="shared" ca="1" si="0"/>
        <v>0.84659982704947823</v>
      </c>
      <c r="B12">
        <f t="shared" ca="1" si="1"/>
        <v>1.0219589156364279</v>
      </c>
      <c r="C12">
        <f t="shared" ca="1" si="5"/>
        <v>2.8931105429794428</v>
      </c>
      <c r="D12" s="21">
        <f t="shared" ca="1" si="2"/>
        <v>0.23665815907556159</v>
      </c>
      <c r="F12">
        <f t="shared" si="3"/>
        <v>6.0000000000000001E-3</v>
      </c>
      <c r="G12">
        <f t="shared" ca="1" si="4"/>
        <v>1.596811103903277E-2</v>
      </c>
      <c r="H12">
        <f t="shared" ca="1" si="6"/>
        <v>1.5968409312536413E-2</v>
      </c>
      <c r="I12">
        <f t="shared" ca="1" si="7"/>
        <v>1.0063169694129679E-2</v>
      </c>
      <c r="J12" s="5">
        <f t="shared" ca="1" si="8"/>
        <v>5.9052396184067334E-3</v>
      </c>
      <c r="L12" s="1" t="s">
        <v>19</v>
      </c>
      <c r="M12" t="s">
        <v>30</v>
      </c>
    </row>
    <row r="13" spans="1:17" x14ac:dyDescent="0.2">
      <c r="A13">
        <f t="shared" ca="1" si="0"/>
        <v>0.68140034519651305</v>
      </c>
      <c r="B13">
        <f t="shared" ca="1" si="1"/>
        <v>0.47161823355593274</v>
      </c>
      <c r="C13">
        <f t="shared" ca="1" si="5"/>
        <v>3.3647287765353755</v>
      </c>
      <c r="D13" s="21">
        <f t="shared" ca="1" si="2"/>
        <v>0.35695326636365832</v>
      </c>
      <c r="F13">
        <f t="shared" si="3"/>
        <v>7.0000000000000001E-3</v>
      </c>
      <c r="G13">
        <f t="shared" ca="1" si="4"/>
        <v>1.9208070077150433E-2</v>
      </c>
      <c r="H13">
        <f t="shared" ca="1" si="6"/>
        <v>1.9208530320132134E-2</v>
      </c>
      <c r="I13">
        <f t="shared" ca="1" si="7"/>
        <v>1.0096702766973853E-2</v>
      </c>
      <c r="J13" s="5">
        <f t="shared" ca="1" si="8"/>
        <v>9.1118275531582808E-3</v>
      </c>
      <c r="L13" t="s">
        <v>24</v>
      </c>
    </row>
    <row r="14" spans="1:17" x14ac:dyDescent="0.2">
      <c r="A14">
        <f t="shared" ca="1" si="0"/>
        <v>0.17933583315664559</v>
      </c>
      <c r="B14">
        <f t="shared" ca="1" si="1"/>
        <v>-0.91789915074802508</v>
      </c>
      <c r="C14">
        <f t="shared" ca="1" si="5"/>
        <v>2.4468296257873505</v>
      </c>
      <c r="D14" s="21">
        <f t="shared" ca="1" si="2"/>
        <v>0.2617912211632053</v>
      </c>
      <c r="F14">
        <f t="shared" si="3"/>
        <v>8.0000000000000002E-3</v>
      </c>
      <c r="G14">
        <f t="shared" ca="1" si="4"/>
        <v>2.0707462104015251E-2</v>
      </c>
      <c r="H14">
        <f t="shared" ca="1" si="6"/>
        <v>2.0707997271202122E-2</v>
      </c>
      <c r="I14">
        <f t="shared" ca="1" si="7"/>
        <v>1.0112732764639629E-2</v>
      </c>
      <c r="J14" s="5">
        <f t="shared" ca="1" si="8"/>
        <v>1.0595264506562493E-2</v>
      </c>
      <c r="L14" s="1" t="s">
        <v>20</v>
      </c>
      <c r="M14" t="s">
        <v>31</v>
      </c>
    </row>
    <row r="15" spans="1:17" x14ac:dyDescent="0.2">
      <c r="A15">
        <f t="shared" ca="1" si="0"/>
        <v>0.28019178122054555</v>
      </c>
      <c r="B15">
        <f t="shared" ca="1" si="1"/>
        <v>-0.58227188130878327</v>
      </c>
      <c r="C15">
        <f t="shared" ca="1" si="5"/>
        <v>1.8645577444785673</v>
      </c>
      <c r="D15" s="21">
        <f t="shared" ca="1" si="2"/>
        <v>0.33673506836646822</v>
      </c>
      <c r="F15">
        <f t="shared" si="3"/>
        <v>9.0000000000000011E-3</v>
      </c>
      <c r="G15">
        <f t="shared" ca="1" si="4"/>
        <v>1.7812884109209375E-2</v>
      </c>
      <c r="H15">
        <f t="shared" ca="1" si="6"/>
        <v>1.7813274492776993E-2</v>
      </c>
      <c r="I15">
        <f t="shared" ca="1" si="7"/>
        <v>1.0084379552085092E-2</v>
      </c>
      <c r="J15" s="5">
        <f t="shared" ca="1" si="8"/>
        <v>7.7288949406919012E-3</v>
      </c>
      <c r="L15" t="s">
        <v>32</v>
      </c>
    </row>
    <row r="16" spans="1:17" x14ac:dyDescent="0.2">
      <c r="A16">
        <f t="shared" ca="1" si="0"/>
        <v>0.79149802642868261</v>
      </c>
      <c r="B16">
        <f t="shared" ca="1" si="1"/>
        <v>0.81163004282763995</v>
      </c>
      <c r="C16">
        <f t="shared" ca="1" si="5"/>
        <v>2.6761877873062074</v>
      </c>
      <c r="D16" s="21">
        <f t="shared" ca="1" si="2"/>
        <v>0.28698934297166007</v>
      </c>
      <c r="F16">
        <f t="shared" si="3"/>
        <v>1.0000000000000002E-2</v>
      </c>
      <c r="G16">
        <f t="shared" ca="1" si="4"/>
        <v>1.5979889108901829E-2</v>
      </c>
      <c r="H16">
        <f t="shared" ca="1" si="6"/>
        <v>1.5980187802920733E-2</v>
      </c>
      <c r="I16">
        <f t="shared" ca="1" si="7"/>
        <v>1.0066784513623207E-2</v>
      </c>
      <c r="J16" s="5">
        <f t="shared" ca="1" si="8"/>
        <v>5.9134032892975263E-3</v>
      </c>
      <c r="L16" s="1" t="s">
        <v>36</v>
      </c>
      <c r="M16" t="s">
        <v>38</v>
      </c>
    </row>
    <row r="17" spans="1:12" x14ac:dyDescent="0.2">
      <c r="A17">
        <f t="shared" ca="1" si="0"/>
        <v>0.55762011527753597</v>
      </c>
      <c r="B17">
        <f t="shared" ca="1" si="1"/>
        <v>0.14493806850845878</v>
      </c>
      <c r="C17">
        <f t="shared" ca="1" si="5"/>
        <v>2.8211258558146661</v>
      </c>
      <c r="D17" s="21">
        <f t="shared" ca="1" si="2"/>
        <v>0.394773911043592</v>
      </c>
      <c r="F17">
        <f t="shared" si="3"/>
        <v>1.1000000000000003E-2</v>
      </c>
      <c r="G17">
        <f t="shared" ca="1" si="4"/>
        <v>1.8554761928028948E-2</v>
      </c>
      <c r="H17">
        <f t="shared" ca="1" si="6"/>
        <v>1.8555189336895792E-2</v>
      </c>
      <c r="I17">
        <f t="shared" ca="1" si="7"/>
        <v>1.0093613951553788E-2</v>
      </c>
      <c r="J17" s="5">
        <f t="shared" ca="1" si="8"/>
        <v>8.4615753853420038E-3</v>
      </c>
      <c r="L17" t="s">
        <v>39</v>
      </c>
    </row>
    <row r="18" spans="1:12" x14ac:dyDescent="0.2">
      <c r="A18">
        <f t="shared" ca="1" si="0"/>
        <v>0.29604931893281772</v>
      </c>
      <c r="B18">
        <f t="shared" ca="1" si="1"/>
        <v>-0.53579731527873831</v>
      </c>
      <c r="C18">
        <f t="shared" ca="1" si="5"/>
        <v>2.2853285405359278</v>
      </c>
      <c r="D18" s="21">
        <f t="shared" ca="1" si="2"/>
        <v>0.34559838512473962</v>
      </c>
      <c r="F18">
        <f t="shared" si="3"/>
        <v>1.2000000000000004E-2</v>
      </c>
      <c r="G18">
        <f t="shared" ca="1" si="4"/>
        <v>1.9021217545009798E-2</v>
      </c>
      <c r="H18">
        <f t="shared" ca="1" si="6"/>
        <v>1.9021668234114355E-2</v>
      </c>
      <c r="I18">
        <f t="shared" ca="1" si="7"/>
        <v>1.009920064104778E-2</v>
      </c>
      <c r="J18" s="5">
        <f t="shared" ca="1" si="8"/>
        <v>8.9224675930665749E-3</v>
      </c>
    </row>
    <row r="19" spans="1:12" x14ac:dyDescent="0.2">
      <c r="A19">
        <f t="shared" ca="1" si="0"/>
        <v>0.28690440081577351</v>
      </c>
      <c r="B19">
        <f t="shared" ca="1" si="1"/>
        <v>-0.5624509678272086</v>
      </c>
      <c r="C19">
        <f t="shared" ca="1" si="5"/>
        <v>1.7228775727087191</v>
      </c>
      <c r="D19" s="21">
        <f t="shared" ca="1" si="2"/>
        <v>0.34057698709760187</v>
      </c>
      <c r="F19">
        <f t="shared" si="3"/>
        <v>1.3000000000000005E-2</v>
      </c>
      <c r="G19">
        <f t="shared" ca="1" si="4"/>
        <v>1.7335059851355038E-2</v>
      </c>
      <c r="H19">
        <f t="shared" ca="1" si="6"/>
        <v>1.7335426186806797E-2</v>
      </c>
      <c r="I19">
        <f t="shared" ca="1" si="7"/>
        <v>1.0083061496130769E-2</v>
      </c>
      <c r="J19" s="5">
        <f t="shared" ca="1" si="8"/>
        <v>7.2523646906760275E-3</v>
      </c>
    </row>
    <row r="20" spans="1:12" x14ac:dyDescent="0.2">
      <c r="A20">
        <f t="shared" ca="1" si="0"/>
        <v>0.45398972568053431</v>
      </c>
      <c r="B20">
        <f t="shared" ca="1" si="1"/>
        <v>-0.11558752358431065</v>
      </c>
      <c r="C20">
        <f t="shared" ca="1" si="5"/>
        <v>1.6072900491244084</v>
      </c>
      <c r="D20" s="21">
        <f t="shared" ca="1" si="2"/>
        <v>0.39628613282460784</v>
      </c>
      <c r="F20">
        <f t="shared" si="3"/>
        <v>1.4000000000000005E-2</v>
      </c>
      <c r="G20">
        <f t="shared" ca="1" si="4"/>
        <v>1.5564788729160131E-2</v>
      </c>
      <c r="H20">
        <f t="shared" ca="1" si="6"/>
        <v>1.5565066513688051E-2</v>
      </c>
      <c r="I20">
        <f t="shared" ca="1" si="7"/>
        <v>1.0066099673011418E-2</v>
      </c>
      <c r="J20" s="5">
        <f t="shared" ca="1" si="8"/>
        <v>5.4989668406766334E-3</v>
      </c>
    </row>
    <row r="21" spans="1:12" x14ac:dyDescent="0.2">
      <c r="A21">
        <f t="shared" ca="1" si="0"/>
        <v>8.7076737289891626E-2</v>
      </c>
      <c r="B21">
        <f t="shared" ca="1" si="1"/>
        <v>-1.3589782700996698</v>
      </c>
      <c r="C21">
        <f t="shared" ca="1" si="5"/>
        <v>0.24831177902473867</v>
      </c>
      <c r="D21" s="21">
        <f t="shared" ca="1" si="2"/>
        <v>0.15844472217211464</v>
      </c>
      <c r="F21">
        <f t="shared" si="3"/>
        <v>1.5000000000000006E-2</v>
      </c>
      <c r="G21">
        <f t="shared" ca="1" si="4"/>
        <v>1.5207730259731095E-2</v>
      </c>
      <c r="H21">
        <f t="shared" ca="1" si="6"/>
        <v>1.5207990163411832E-2</v>
      </c>
      <c r="I21">
        <f t="shared" ca="1" si="7"/>
        <v>1.0063376961592301E-2</v>
      </c>
      <c r="J21" s="5">
        <f t="shared" ca="1" si="8"/>
        <v>5.1446132018195308E-3</v>
      </c>
    </row>
    <row r="22" spans="1:12" x14ac:dyDescent="0.2">
      <c r="A22">
        <f t="shared" ca="1" si="0"/>
        <v>0.24468444589635352</v>
      </c>
      <c r="B22">
        <f t="shared" ca="1" si="1"/>
        <v>-0.69131295571703821</v>
      </c>
      <c r="C22">
        <f t="shared" ca="1" si="5"/>
        <v>-0.44300117669229955</v>
      </c>
      <c r="D22" s="21">
        <f t="shared" ca="1" si="2"/>
        <v>0.31414665920761925</v>
      </c>
      <c r="F22">
        <f t="shared" si="3"/>
        <v>1.6000000000000007E-2</v>
      </c>
      <c r="G22">
        <f t="shared" ca="1" si="4"/>
        <v>1.0918957302945995E-2</v>
      </c>
      <c r="H22">
        <f t="shared" ca="1" si="6"/>
        <v>1.0919002740205037E-2</v>
      </c>
      <c r="I22">
        <f t="shared" ca="1" si="7"/>
        <v>1.0021174694703797E-2</v>
      </c>
      <c r="J22" s="5">
        <f t="shared" ca="1" si="8"/>
        <v>8.9782804550123975E-4</v>
      </c>
    </row>
    <row r="23" spans="1:12" x14ac:dyDescent="0.2">
      <c r="A23">
        <f t="shared" ca="1" si="0"/>
        <v>0.54486419000816222</v>
      </c>
      <c r="B23">
        <f t="shared" ca="1" si="1"/>
        <v>0.11269594021660957</v>
      </c>
      <c r="C23">
        <f t="shared" ca="1" si="5"/>
        <v>-0.33030523647568999</v>
      </c>
      <c r="D23" s="21">
        <f t="shared" ca="1" si="2"/>
        <v>0.39641694878165518</v>
      </c>
      <c r="F23">
        <f t="shared" si="3"/>
        <v>1.7000000000000008E-2</v>
      </c>
      <c r="G23">
        <f t="shared" ca="1" si="4"/>
        <v>8.741850747397948E-3</v>
      </c>
      <c r="H23">
        <f t="shared" ca="1" si="6"/>
        <v>8.741787323882054E-3</v>
      </c>
      <c r="I23">
        <f t="shared" ca="1" si="7"/>
        <v>1.0000241075661002E-2</v>
      </c>
      <c r="J23" s="5">
        <f t="shared" ca="1" si="8"/>
        <v>1.2584537517789478E-3</v>
      </c>
    </row>
    <row r="24" spans="1:12" x14ac:dyDescent="0.2">
      <c r="A24">
        <f t="shared" ca="1" si="0"/>
        <v>0.6617017004080904</v>
      </c>
      <c r="B24">
        <f t="shared" ca="1" si="1"/>
        <v>0.41711184798841489</v>
      </c>
      <c r="C24">
        <f t="shared" ca="1" si="5"/>
        <v>8.6806611512724896E-2</v>
      </c>
      <c r="D24" s="21">
        <f t="shared" ca="1" si="2"/>
        <v>0.36570448854010507</v>
      </c>
      <c r="F24">
        <f t="shared" si="3"/>
        <v>1.8000000000000009E-2</v>
      </c>
      <c r="G24">
        <f t="shared" ca="1" si="4"/>
        <v>9.1073341421360372E-3</v>
      </c>
      <c r="H24">
        <f t="shared" ca="1" si="6"/>
        <v>9.1072889992883221E-3</v>
      </c>
      <c r="I24">
        <f t="shared" ca="1" si="7"/>
        <v>1.0004755961896782E-2</v>
      </c>
      <c r="J24" s="5">
        <f t="shared" ca="1" si="8"/>
        <v>8.974669626084595E-4</v>
      </c>
    </row>
    <row r="25" spans="1:12" x14ac:dyDescent="0.2">
      <c r="A25">
        <f t="shared" ca="1" si="0"/>
        <v>0.45418656009591685</v>
      </c>
      <c r="B25">
        <f t="shared" ca="1" si="1"/>
        <v>-0.11509084010978679</v>
      </c>
      <c r="C25">
        <f t="shared" ca="1" si="5"/>
        <v>-2.8284228597061895E-2</v>
      </c>
      <c r="D25" s="21">
        <f t="shared" ca="1" si="2"/>
        <v>0.39630883554457069</v>
      </c>
      <c r="F25">
        <f t="shared" si="3"/>
        <v>1.900000000000001E-2</v>
      </c>
      <c r="G25">
        <f t="shared" ca="1" si="4"/>
        <v>1.0435380484532868E-2</v>
      </c>
      <c r="H25">
        <f t="shared" ca="1" si="6"/>
        <v>1.0435401749073706E-2</v>
      </c>
      <c r="I25">
        <f t="shared" ca="1" si="7"/>
        <v>1.0018912928508148E-2</v>
      </c>
      <c r="J25" s="5">
        <f t="shared" ca="1" si="8"/>
        <v>4.1648882056555779E-4</v>
      </c>
    </row>
    <row r="26" spans="1:12" x14ac:dyDescent="0.2">
      <c r="A26">
        <f t="shared" ca="1" si="0"/>
        <v>0.47440954354474119</v>
      </c>
      <c r="B26">
        <f t="shared" ca="1" si="1"/>
        <v>-6.4189815042804729E-2</v>
      </c>
      <c r="C26">
        <f t="shared" ca="1" si="5"/>
        <v>-9.2474043639866624E-2</v>
      </c>
      <c r="D26" s="21">
        <f t="shared" ca="1" si="2"/>
        <v>0.3981212390397455</v>
      </c>
      <c r="F26">
        <f t="shared" si="3"/>
        <v>2.0000000000000011E-2</v>
      </c>
      <c r="G26">
        <f t="shared" ca="1" si="4"/>
        <v>1.008040550280849E-2</v>
      </c>
      <c r="H26">
        <f t="shared" ca="1" si="6"/>
        <v>1.0080409016329608E-2</v>
      </c>
      <c r="I26">
        <f t="shared" ca="1" si="7"/>
        <v>1.0016218712285484E-2</v>
      </c>
      <c r="J26" s="5">
        <f t="shared" ca="1" si="8"/>
        <v>6.4190304044123639E-5</v>
      </c>
    </row>
    <row r="27" spans="1:12" x14ac:dyDescent="0.2">
      <c r="A27">
        <f t="shared" ca="1" si="0"/>
        <v>0.59228370486126225</v>
      </c>
      <c r="B27">
        <f t="shared" ca="1" si="1"/>
        <v>0.23342346971127254</v>
      </c>
      <c r="C27">
        <f t="shared" ca="1" si="5"/>
        <v>0.14094942607140593</v>
      </c>
      <c r="D27" s="21">
        <f t="shared" ca="1" si="2"/>
        <v>0.38822050407623737</v>
      </c>
      <c r="F27">
        <f t="shared" si="3"/>
        <v>2.1000000000000012E-2</v>
      </c>
      <c r="G27">
        <f t="shared" ca="1" si="4"/>
        <v>9.8864211434330582E-3</v>
      </c>
      <c r="H27">
        <f t="shared" ca="1" si="6"/>
        <v>9.8864149573077726E-3</v>
      </c>
      <c r="I27">
        <f t="shared" ca="1" si="7"/>
        <v>1.0015137159107486E-2</v>
      </c>
      <c r="J27" s="5">
        <f t="shared" ca="1" si="8"/>
        <v>1.2872220179971361E-4</v>
      </c>
    </row>
    <row r="28" spans="1:12" x14ac:dyDescent="0.2">
      <c r="A28">
        <f t="shared" ca="1" si="0"/>
        <v>0.22174386357567899</v>
      </c>
      <c r="B28">
        <f t="shared" ca="1" si="1"/>
        <v>-0.76631696353898959</v>
      </c>
      <c r="C28">
        <f t="shared" ca="1" si="5"/>
        <v>-0.62536753746758367</v>
      </c>
      <c r="D28" s="21">
        <f t="shared" ca="1" si="2"/>
        <v>0.29743505584484747</v>
      </c>
      <c r="F28">
        <f t="shared" si="3"/>
        <v>2.2000000000000013E-2</v>
      </c>
      <c r="G28">
        <f t="shared" ca="1" si="4"/>
        <v>1.0633544968439351E-2</v>
      </c>
      <c r="H28">
        <f t="shared" ca="1" si="6"/>
        <v>1.063357613943899E-2</v>
      </c>
      <c r="I28">
        <f t="shared" ca="1" si="7"/>
        <v>1.0023484745777512E-2</v>
      </c>
      <c r="J28" s="5">
        <f t="shared" ca="1" si="8"/>
        <v>6.1009139366147852E-4</v>
      </c>
    </row>
    <row r="29" spans="1:12" x14ac:dyDescent="0.2">
      <c r="A29">
        <f t="shared" ca="1" si="0"/>
        <v>0.42346073726097089</v>
      </c>
      <c r="B29">
        <f t="shared" ca="1" si="1"/>
        <v>-0.19304787482756924</v>
      </c>
      <c r="C29">
        <f t="shared" ca="1" si="5"/>
        <v>-0.81841541229515291</v>
      </c>
      <c r="D29" s="21">
        <f t="shared" ca="1" si="2"/>
        <v>0.39157732471915718</v>
      </c>
      <c r="F29">
        <f t="shared" si="3"/>
        <v>2.3000000000000013E-2</v>
      </c>
      <c r="G29">
        <f t="shared" ca="1" si="4"/>
        <v>8.2192953130200974E-3</v>
      </c>
      <c r="H29">
        <f t="shared" ca="1" si="6"/>
        <v>8.2192057674176332E-3</v>
      </c>
      <c r="I29">
        <f t="shared" ca="1" si="7"/>
        <v>1.0000174143585E-2</v>
      </c>
      <c r="J29" s="5">
        <f t="shared" ca="1" si="8"/>
        <v>1.7809683761673672E-3</v>
      </c>
    </row>
    <row r="30" spans="1:12" x14ac:dyDescent="0.2">
      <c r="A30">
        <f t="shared" ca="1" si="0"/>
        <v>0.5922165868006205</v>
      </c>
      <c r="B30">
        <f t="shared" ca="1" si="1"/>
        <v>0.23325058675942456</v>
      </c>
      <c r="C30">
        <f t="shared" ca="1" si="5"/>
        <v>-0.58516482553572835</v>
      </c>
      <c r="D30" s="21">
        <f t="shared" ca="1" si="2"/>
        <v>0.38823616520500942</v>
      </c>
      <c r="F30">
        <f t="shared" si="3"/>
        <v>2.4000000000000014E-2</v>
      </c>
      <c r="G30">
        <f t="shared" ca="1" si="4"/>
        <v>7.6180324649677009E-3</v>
      </c>
      <c r="H30">
        <f t="shared" ca="1" si="6"/>
        <v>7.6179128649306871E-3</v>
      </c>
      <c r="I30">
        <f t="shared" ca="1" si="7"/>
        <v>9.9950206723464843E-3</v>
      </c>
      <c r="J30" s="5">
        <f t="shared" ca="1" si="8"/>
        <v>2.3771078074157972E-3</v>
      </c>
    </row>
    <row r="31" spans="1:12" x14ac:dyDescent="0.2">
      <c r="A31">
        <f t="shared" ca="1" si="0"/>
        <v>0.97840294582166576</v>
      </c>
      <c r="B31">
        <f t="shared" ca="1" si="1"/>
        <v>2.0218281518821639</v>
      </c>
      <c r="C31">
        <f t="shared" ca="1" si="5"/>
        <v>1.4366633263464355</v>
      </c>
      <c r="D31" s="21">
        <f t="shared" ca="1" si="2"/>
        <v>5.1672318257905303E-2</v>
      </c>
      <c r="F31">
        <f t="shared" si="3"/>
        <v>2.5000000000000015E-2</v>
      </c>
      <c r="G31">
        <f t="shared" ca="1" si="4"/>
        <v>8.364836440937877E-3</v>
      </c>
      <c r="H31">
        <f t="shared" ca="1" si="6"/>
        <v>8.3647541933746881E-3</v>
      </c>
      <c r="I31">
        <f t="shared" ca="1" si="7"/>
        <v>1.0003346023115615E-2</v>
      </c>
      <c r="J31" s="5">
        <f t="shared" ca="1" si="8"/>
        <v>1.638591829740927E-3</v>
      </c>
    </row>
    <row r="32" spans="1:12" x14ac:dyDescent="0.2">
      <c r="A32">
        <f t="shared" ca="1" si="0"/>
        <v>0.95273671953374395</v>
      </c>
      <c r="B32">
        <f t="shared" ca="1" si="1"/>
        <v>1.6719886463373628</v>
      </c>
      <c r="C32">
        <f t="shared" ca="1" si="5"/>
        <v>3.1086519726837984</v>
      </c>
      <c r="D32" s="21">
        <f t="shared" ca="1" si="2"/>
        <v>9.8597285325806583E-2</v>
      </c>
      <c r="F32">
        <f t="shared" si="3"/>
        <v>2.6000000000000016E-2</v>
      </c>
      <c r="G32">
        <f t="shared" ca="1" si="4"/>
        <v>1.4767261830749237E-2</v>
      </c>
      <c r="H32">
        <f t="shared" ca="1" si="6"/>
        <v>1.476749971535184E-2</v>
      </c>
      <c r="I32">
        <f t="shared" ca="1" si="7"/>
        <v>1.006846458914587E-2</v>
      </c>
      <c r="J32" s="5">
        <f t="shared" ca="1" si="8"/>
        <v>4.69903512620597E-3</v>
      </c>
    </row>
    <row r="33" spans="1:15" x14ac:dyDescent="0.2">
      <c r="A33">
        <f t="shared" ca="1" si="0"/>
        <v>0.36262434019930234</v>
      </c>
      <c r="B33">
        <f t="shared" ca="1" si="1"/>
        <v>-0.35145279524331807</v>
      </c>
      <c r="C33">
        <f t="shared" ca="1" si="5"/>
        <v>2.7571991774404805</v>
      </c>
      <c r="D33" s="21">
        <f t="shared" ca="1" si="2"/>
        <v>0.37504919803881148</v>
      </c>
      <c r="F33">
        <f t="shared" si="3"/>
        <v>2.7000000000000017E-2</v>
      </c>
      <c r="G33">
        <f t="shared" ca="1" si="4"/>
        <v>2.006281266918198E-2</v>
      </c>
      <c r="H33">
        <f t="shared" ca="1" si="6"/>
        <v>2.0063315309748118E-2</v>
      </c>
      <c r="I33">
        <f t="shared" ca="1" si="7"/>
        <v>1.0122802108054028E-2</v>
      </c>
      <c r="J33" s="5">
        <f t="shared" ca="1" si="8"/>
        <v>9.94051320169409E-3</v>
      </c>
    </row>
    <row r="34" spans="1:15" x14ac:dyDescent="0.2">
      <c r="A34">
        <f t="shared" ca="1" si="0"/>
        <v>0.56182490406516494</v>
      </c>
      <c r="B34">
        <f t="shared" ca="1" si="1"/>
        <v>0.15559763165638657</v>
      </c>
      <c r="C34">
        <f t="shared" ca="1" si="5"/>
        <v>2.912796809096867</v>
      </c>
      <c r="D34" s="21">
        <f t="shared" ca="1" si="2"/>
        <v>0.39414207245524741</v>
      </c>
      <c r="F34">
        <f t="shared" si="3"/>
        <v>2.8000000000000018E-2</v>
      </c>
      <c r="G34">
        <f t="shared" ca="1" si="4"/>
        <v>1.8959470232491622E-2</v>
      </c>
      <c r="H34">
        <f t="shared" ca="1" si="6"/>
        <v>1.8959917655215465E-2</v>
      </c>
      <c r="I34">
        <f t="shared" ca="1" si="7"/>
        <v>1.0112518606742973E-2</v>
      </c>
      <c r="J34" s="5">
        <f t="shared" ca="1" si="8"/>
        <v>8.8473990484724922E-3</v>
      </c>
      <c r="L34" s="23" t="s">
        <v>54</v>
      </c>
    </row>
    <row r="35" spans="1:15" x14ac:dyDescent="0.2">
      <c r="A35">
        <f t="shared" ca="1" si="0"/>
        <v>0.23267658331478902</v>
      </c>
      <c r="B35">
        <f t="shared" ca="1" si="1"/>
        <v>-0.7300605619609325</v>
      </c>
      <c r="C35">
        <f t="shared" ca="1" si="5"/>
        <v>2.1827362471359346</v>
      </c>
      <c r="D35" s="21">
        <f t="shared" ca="1" si="2"/>
        <v>0.30561389790988458</v>
      </c>
      <c r="F35">
        <f t="shared" si="3"/>
        <v>2.9000000000000019E-2</v>
      </c>
      <c r="G35">
        <f t="shared" ca="1" si="4"/>
        <v>1.9459592193720648E-2</v>
      </c>
      <c r="H35">
        <f t="shared" ca="1" si="6"/>
        <v>1.946006457801204E-2</v>
      </c>
      <c r="I35">
        <f t="shared" ca="1" si="7"/>
        <v>1.0118456831965423E-2</v>
      </c>
      <c r="J35" s="5">
        <f t="shared" ca="1" si="8"/>
        <v>9.3416077460466169E-3</v>
      </c>
      <c r="L35" t="e" cm="1">
        <f t="array" aca="1" ref="L35" ca="1">CKLSMLE(H6:H1005,L38,M38,N38,O38,O2)</f>
        <v>#NAME?</v>
      </c>
    </row>
    <row r="36" spans="1:15" x14ac:dyDescent="0.2">
      <c r="A36">
        <f t="shared" ca="1" si="0"/>
        <v>0.54608948564498661</v>
      </c>
      <c r="B36">
        <f t="shared" ca="1" si="1"/>
        <v>0.11578741006671603</v>
      </c>
      <c r="C36">
        <f t="shared" ca="1" si="5"/>
        <v>2.2985236572026508</v>
      </c>
      <c r="D36" s="21">
        <f t="shared" ca="1" si="2"/>
        <v>0.39627696906704496</v>
      </c>
      <c r="F36">
        <f t="shared" si="3"/>
        <v>3.000000000000002E-2</v>
      </c>
      <c r="G36">
        <f t="shared" ca="1" si="4"/>
        <v>1.7159107054054431E-2</v>
      </c>
      <c r="H36">
        <f t="shared" ca="1" si="6"/>
        <v>1.7159464365895209E-2</v>
      </c>
      <c r="I36">
        <f t="shared" ca="1" si="7"/>
        <v>1.0096082840721011E-2</v>
      </c>
      <c r="J36" s="5">
        <f t="shared" ca="1" si="8"/>
        <v>7.0633815251741981E-3</v>
      </c>
      <c r="L36" s="1" t="s">
        <v>46</v>
      </c>
    </row>
    <row r="37" spans="1:15" x14ac:dyDescent="0.2">
      <c r="A37">
        <f t="shared" ca="1" si="0"/>
        <v>0.76728168598653568</v>
      </c>
      <c r="B37">
        <f t="shared" ca="1" si="1"/>
        <v>0.729924021642542</v>
      </c>
      <c r="C37">
        <f t="shared" ca="1" si="5"/>
        <v>3.0284476788451928</v>
      </c>
      <c r="D37" s="21">
        <f t="shared" ca="1" si="2"/>
        <v>0.30564436099820175</v>
      </c>
      <c r="F37">
        <f t="shared" si="3"/>
        <v>3.1000000000000021E-2</v>
      </c>
      <c r="G37">
        <f t="shared" ca="1" si="4"/>
        <v>1.7533524362506873E-2</v>
      </c>
      <c r="H37">
        <f t="shared" ca="1" si="6"/>
        <v>1.7533900359641353E-2</v>
      </c>
      <c r="I37">
        <f t="shared" ca="1" si="7"/>
        <v>1.0100739742598393E-2</v>
      </c>
      <c r="J37" s="5">
        <f t="shared" ca="1" si="8"/>
        <v>7.4331606170429596E-3</v>
      </c>
      <c r="L37" s="12" t="s">
        <v>10</v>
      </c>
      <c r="M37" s="12" t="s">
        <v>11</v>
      </c>
      <c r="N37" s="12" t="s">
        <v>12</v>
      </c>
      <c r="O37" s="12" t="s">
        <v>13</v>
      </c>
    </row>
    <row r="38" spans="1:15" x14ac:dyDescent="0.2">
      <c r="A38">
        <f t="shared" ca="1" si="0"/>
        <v>0.13145682576985718</v>
      </c>
      <c r="B38">
        <f t="shared" ca="1" si="1"/>
        <v>-1.1195310513606023</v>
      </c>
      <c r="C38">
        <f t="shared" ca="1" si="5"/>
        <v>1.9089166274845906</v>
      </c>
      <c r="D38" s="21">
        <f t="shared" ca="1" si="2"/>
        <v>0.21318106143357657</v>
      </c>
      <c r="F38">
        <f t="shared" si="3"/>
        <v>3.2000000000000021E-2</v>
      </c>
      <c r="G38">
        <f t="shared" ca="1" si="4"/>
        <v>1.9849877618699684E-2</v>
      </c>
      <c r="H38">
        <f t="shared" ca="1" si="6"/>
        <v>1.9850369396865863E-2</v>
      </c>
      <c r="I38">
        <f t="shared" ca="1" si="7"/>
        <v>1.0125043258560004E-2</v>
      </c>
      <c r="J38" s="5">
        <f t="shared" ca="1" si="8"/>
        <v>9.7253261383058592E-3</v>
      </c>
      <c r="L38" s="13">
        <v>0</v>
      </c>
      <c r="M38" s="13">
        <v>0</v>
      </c>
      <c r="N38" s="13">
        <v>0.1</v>
      </c>
      <c r="O38" s="24">
        <v>1</v>
      </c>
    </row>
    <row r="39" spans="1:15" x14ac:dyDescent="0.2">
      <c r="A39">
        <f t="shared" ca="1" si="0"/>
        <v>0.98716743854638245</v>
      </c>
      <c r="B39">
        <f t="shared" ca="1" si="1"/>
        <v>2.2312417035123708</v>
      </c>
      <c r="C39">
        <f t="shared" ca="1" si="5"/>
        <v>4.140158330996961</v>
      </c>
      <c r="D39" s="21">
        <f t="shared" ca="1" si="2"/>
        <v>3.3102108326893392E-2</v>
      </c>
      <c r="F39">
        <f t="shared" si="3"/>
        <v>3.3000000000000022E-2</v>
      </c>
      <c r="G39">
        <f t="shared" ca="1" si="4"/>
        <v>1.6317801202644554E-2</v>
      </c>
      <c r="H39">
        <f t="shared" ca="1" si="6"/>
        <v>1.6318116326343723E-2</v>
      </c>
      <c r="I39">
        <f t="shared" ca="1" si="7"/>
        <v>1.0090219793214467E-2</v>
      </c>
      <c r="J39" s="5">
        <f t="shared" ca="1" si="8"/>
        <v>6.2278965331292561E-3</v>
      </c>
    </row>
    <row r="40" spans="1:15" x14ac:dyDescent="0.2">
      <c r="A40">
        <f t="shared" ca="1" si="0"/>
        <v>0.65720498784699211</v>
      </c>
      <c r="B40">
        <f t="shared" ca="1" si="1"/>
        <v>0.40484693772918706</v>
      </c>
      <c r="C40">
        <f t="shared" ca="1" si="5"/>
        <v>4.5450052687261477</v>
      </c>
      <c r="D40" s="21">
        <f t="shared" ca="1" si="2"/>
        <v>0.36755252157183171</v>
      </c>
      <c r="F40">
        <f t="shared" si="3"/>
        <v>3.4000000000000023E-2</v>
      </c>
      <c r="G40">
        <f t="shared" ca="1" si="4"/>
        <v>2.3381622021989731E-2</v>
      </c>
      <c r="H40">
        <f t="shared" ca="1" si="6"/>
        <v>2.3382290308164296E-2</v>
      </c>
      <c r="I40">
        <f t="shared" ca="1" si="7"/>
        <v>1.0162631588151772E-2</v>
      </c>
      <c r="J40" s="5">
        <f t="shared" ca="1" si="8"/>
        <v>1.3219658720012524E-2</v>
      </c>
      <c r="L40" s="23" t="s">
        <v>55</v>
      </c>
    </row>
    <row r="41" spans="1:15" x14ac:dyDescent="0.2">
      <c r="A41">
        <f t="shared" ca="1" si="0"/>
        <v>0.70655725708059425</v>
      </c>
      <c r="B41">
        <f t="shared" ca="1" si="1"/>
        <v>0.54335487908444025</v>
      </c>
      <c r="C41">
        <f t="shared" ca="1" si="5"/>
        <v>5.0883601478105884</v>
      </c>
      <c r="D41" s="21">
        <f t="shared" ca="1" si="2"/>
        <v>0.34419194570670603</v>
      </c>
      <c r="F41">
        <f t="shared" si="3"/>
        <v>3.5000000000000024E-2</v>
      </c>
      <c r="G41">
        <f t="shared" ca="1" si="4"/>
        <v>2.4669457894422698E-2</v>
      </c>
      <c r="H41">
        <f t="shared" ca="1" si="6"/>
        <v>2.4670190506102068E-2</v>
      </c>
      <c r="I41">
        <f t="shared" ca="1" si="7"/>
        <v>1.0176617244232524E-2</v>
      </c>
      <c r="J41" s="5">
        <f t="shared" ca="1" si="8"/>
        <v>1.4493573261869544E-2</v>
      </c>
      <c r="L41" t="e" cm="1">
        <f t="array" aca="1" ref="L41" ca="1">CKLSMLE(H6:H1005,L44,M44,N44,O44,O2)</f>
        <v>#NAME?</v>
      </c>
    </row>
    <row r="42" spans="1:15" x14ac:dyDescent="0.2">
      <c r="A42">
        <f t="shared" ca="1" si="0"/>
        <v>0.50427658507806761</v>
      </c>
      <c r="B42">
        <f t="shared" ca="1" si="1"/>
        <v>1.0720014393711763E-2</v>
      </c>
      <c r="C42">
        <f t="shared" ca="1" si="5"/>
        <v>5.0990801622043005</v>
      </c>
      <c r="D42" s="21">
        <f t="shared" ca="1" si="2"/>
        <v>0.39891935809415441</v>
      </c>
      <c r="F42">
        <f t="shared" si="3"/>
        <v>3.6000000000000025E-2</v>
      </c>
      <c r="G42">
        <f t="shared" ca="1" si="4"/>
        <v>2.6395143659295042E-2</v>
      </c>
      <c r="H42">
        <f t="shared" ca="1" si="6"/>
        <v>2.6395962482723672E-2</v>
      </c>
      <c r="I42">
        <f t="shared" ca="1" si="7"/>
        <v>1.0195086623102437E-2</v>
      </c>
      <c r="J42" s="5">
        <f t="shared" ca="1" si="8"/>
        <v>1.6200875859621235E-2</v>
      </c>
      <c r="L42" s="1" t="s">
        <v>46</v>
      </c>
    </row>
    <row r="43" spans="1:15" x14ac:dyDescent="0.2">
      <c r="A43">
        <f t="shared" ca="1" si="0"/>
        <v>0.14281325242114473</v>
      </c>
      <c r="B43">
        <f t="shared" ca="1" si="1"/>
        <v>-1.0677650550126476</v>
      </c>
      <c r="C43">
        <f t="shared" ca="1" si="5"/>
        <v>4.0313151071916531</v>
      </c>
      <c r="D43" s="21">
        <f t="shared" ca="1" si="2"/>
        <v>0.22559822223399276</v>
      </c>
      <c r="F43">
        <f t="shared" si="3"/>
        <v>3.7000000000000026E-2</v>
      </c>
      <c r="G43">
        <f t="shared" ca="1" si="4"/>
        <v>2.6436401744038534E-2</v>
      </c>
      <c r="H43">
        <f t="shared" ca="1" si="6"/>
        <v>2.6437222548509318E-2</v>
      </c>
      <c r="I43">
        <f t="shared" ca="1" si="7"/>
        <v>1.0196400851022509E-2</v>
      </c>
      <c r="J43" s="5">
        <f t="shared" ca="1" si="8"/>
        <v>1.6240821697486807E-2</v>
      </c>
      <c r="L43" s="12" t="s">
        <v>10</v>
      </c>
      <c r="M43" s="12" t="s">
        <v>11</v>
      </c>
      <c r="N43" s="12" t="s">
        <v>12</v>
      </c>
      <c r="O43" s="12" t="s">
        <v>13</v>
      </c>
    </row>
    <row r="44" spans="1:15" x14ac:dyDescent="0.2">
      <c r="A44">
        <f t="shared" ca="1" si="0"/>
        <v>0.20439116495931542</v>
      </c>
      <c r="B44">
        <f t="shared" ca="1" si="1"/>
        <v>-0.82603836345913562</v>
      </c>
      <c r="C44">
        <f t="shared" ca="1" si="5"/>
        <v>3.2052767437325174</v>
      </c>
      <c r="D44" s="21">
        <f t="shared" ca="1" si="2"/>
        <v>0.28362333050997807</v>
      </c>
      <c r="F44">
        <f t="shared" si="3"/>
        <v>3.8000000000000027E-2</v>
      </c>
      <c r="G44">
        <f t="shared" ca="1" si="4"/>
        <v>2.3067356977728218E-2</v>
      </c>
      <c r="H44">
        <f t="shared" ca="1" si="6"/>
        <v>2.3068009246479511E-2</v>
      </c>
      <c r="I44">
        <f t="shared" ca="1" si="7"/>
        <v>1.0162995493147385E-2</v>
      </c>
      <c r="J44" s="5">
        <f t="shared" ca="1" si="8"/>
        <v>1.2905013753332126E-2</v>
      </c>
      <c r="L44" s="13">
        <v>0.01</v>
      </c>
      <c r="M44" s="13">
        <v>-0.1</v>
      </c>
      <c r="N44" s="13">
        <v>0.1</v>
      </c>
      <c r="O44" s="24">
        <v>0</v>
      </c>
    </row>
    <row r="45" spans="1:15" x14ac:dyDescent="0.2">
      <c r="A45">
        <f t="shared" ca="1" si="0"/>
        <v>0.51923527394823676</v>
      </c>
      <c r="B45">
        <f t="shared" ca="1" si="1"/>
        <v>4.8234378347982908E-2</v>
      </c>
      <c r="C45">
        <f t="shared" ca="1" si="5"/>
        <v>3.2535111220805004</v>
      </c>
      <c r="D45" s="21">
        <f t="shared" ca="1" si="2"/>
        <v>0.39847846959472472</v>
      </c>
      <c r="F45">
        <f t="shared" si="3"/>
        <v>3.9000000000000028E-2</v>
      </c>
      <c r="G45">
        <f t="shared" ca="1" si="4"/>
        <v>2.0463017796862572E-2</v>
      </c>
      <c r="H45">
        <f t="shared" ca="1" si="6"/>
        <v>2.0463539782345989E-2</v>
      </c>
      <c r="I45">
        <f t="shared" ca="1" si="7"/>
        <v>1.0137445750265584E-2</v>
      </c>
      <c r="J45" s="5">
        <f t="shared" ca="1" si="8"/>
        <v>1.0326094032080405E-2</v>
      </c>
    </row>
    <row r="46" spans="1:15" x14ac:dyDescent="0.2">
      <c r="A46">
        <f t="shared" ca="1" si="0"/>
        <v>0.88448378171054975</v>
      </c>
      <c r="B46">
        <f t="shared" ca="1" si="1"/>
        <v>1.197703576271562</v>
      </c>
      <c r="C46">
        <f t="shared" ca="1" si="5"/>
        <v>4.4512146983520626</v>
      </c>
      <c r="D46" s="21">
        <f t="shared" ca="1" si="2"/>
        <v>0.19472139969744939</v>
      </c>
      <c r="F46">
        <f t="shared" si="3"/>
        <v>4.0000000000000029E-2</v>
      </c>
      <c r="G46">
        <f t="shared" ca="1" si="4"/>
        <v>2.062349396830607E-2</v>
      </c>
      <c r="H46">
        <f t="shared" ca="1" si="6"/>
        <v>2.0624023925469692E-2</v>
      </c>
      <c r="I46">
        <f t="shared" ca="1" si="7"/>
        <v>1.0139955387844598E-2</v>
      </c>
      <c r="J46" s="5">
        <f t="shared" ca="1" si="8"/>
        <v>1.0484068537625095E-2</v>
      </c>
      <c r="L46" s="23" t="s">
        <v>56</v>
      </c>
    </row>
    <row r="47" spans="1:15" x14ac:dyDescent="0.2">
      <c r="A47">
        <f t="shared" ca="1" si="0"/>
        <v>0.28426238402330417</v>
      </c>
      <c r="B47">
        <f t="shared" ca="1" si="1"/>
        <v>-0.5702254923485135</v>
      </c>
      <c r="C47">
        <f t="shared" ca="1" si="5"/>
        <v>3.8809892060035489</v>
      </c>
      <c r="D47" s="21">
        <f t="shared" ca="1" si="2"/>
        <v>0.33908071952011665</v>
      </c>
      <c r="F47">
        <f t="shared" si="3"/>
        <v>4.1000000000000029E-2</v>
      </c>
      <c r="G47">
        <f t="shared" ca="1" si="4"/>
        <v>2.4418713119114359E-2</v>
      </c>
      <c r="H47">
        <f t="shared" ca="1" si="6"/>
        <v>2.441943278582448E-2</v>
      </c>
      <c r="I47">
        <f t="shared" ca="1" si="7"/>
        <v>1.017939999497265E-2</v>
      </c>
      <c r="J47" s="5">
        <f t="shared" ca="1" si="8"/>
        <v>1.424003279085183E-2</v>
      </c>
      <c r="L47" t="e" cm="1">
        <f t="array" aca="1" ref="L47" ca="1">CKLSMLE(H12:H1011,L50,M50,N50,O50,O2)</f>
        <v>#NAME?</v>
      </c>
    </row>
    <row r="48" spans="1:15" x14ac:dyDescent="0.2">
      <c r="A48">
        <f t="shared" ca="1" si="0"/>
        <v>0.1299574314002373</v>
      </c>
      <c r="B48">
        <f t="shared" ca="1" si="1"/>
        <v>-1.1265923789057846</v>
      </c>
      <c r="C48">
        <f t="shared" ca="1" si="5"/>
        <v>2.7543968270977643</v>
      </c>
      <c r="D48" s="21">
        <f t="shared" ca="1" si="2"/>
        <v>0.21149715601813676</v>
      </c>
      <c r="F48">
        <f t="shared" si="3"/>
        <v>4.200000000000003E-2</v>
      </c>
      <c r="G48">
        <f t="shared" ca="1" si="4"/>
        <v>2.262314969100665E-2</v>
      </c>
      <c r="H48">
        <f t="shared" ca="1" si="6"/>
        <v>2.2623779506833676E-2</v>
      </c>
      <c r="I48">
        <f t="shared" ca="1" si="7"/>
        <v>1.0162026271730672E-2</v>
      </c>
      <c r="J48" s="5">
        <f t="shared" ca="1" si="8"/>
        <v>1.2461753235103004E-2</v>
      </c>
      <c r="L48" s="1" t="s">
        <v>46</v>
      </c>
    </row>
    <row r="49" spans="1:15" x14ac:dyDescent="0.2">
      <c r="A49">
        <f t="shared" ca="1" si="0"/>
        <v>0.64045044679161578</v>
      </c>
      <c r="B49">
        <f t="shared" ca="1" si="1"/>
        <v>0.35966307778776407</v>
      </c>
      <c r="C49">
        <f t="shared" ca="1" si="5"/>
        <v>3.1140599048855284</v>
      </c>
      <c r="D49" s="21">
        <f t="shared" ca="1" si="2"/>
        <v>0.37395593926238191</v>
      </c>
      <c r="F49">
        <f t="shared" si="3"/>
        <v>4.3000000000000031E-2</v>
      </c>
      <c r="G49">
        <f t="shared" ca="1" si="4"/>
        <v>1.9068467199710323E-2</v>
      </c>
      <c r="H49">
        <f t="shared" ca="1" si="6"/>
        <v>1.9068919216953278E-2</v>
      </c>
      <c r="I49">
        <f t="shared" ca="1" si="7"/>
        <v>1.0126849475390446E-2</v>
      </c>
      <c r="J49" s="5">
        <f t="shared" ca="1" si="8"/>
        <v>8.9420697415628324E-3</v>
      </c>
      <c r="L49" s="12" t="s">
        <v>10</v>
      </c>
      <c r="M49" s="12" t="s">
        <v>11</v>
      </c>
      <c r="N49" s="12" t="s">
        <v>12</v>
      </c>
      <c r="O49" s="12" t="s">
        <v>13</v>
      </c>
    </row>
    <row r="50" spans="1:15" x14ac:dyDescent="0.2">
      <c r="A50">
        <f t="shared" ca="1" si="0"/>
        <v>0.43309349485471216</v>
      </c>
      <c r="B50">
        <f t="shared" ca="1" si="1"/>
        <v>-0.16850375517456648</v>
      </c>
      <c r="C50">
        <f t="shared" ca="1" si="5"/>
        <v>2.9455561497109621</v>
      </c>
      <c r="D50" s="21">
        <f t="shared" ca="1" si="2"/>
        <v>0.39331860690689951</v>
      </c>
      <c r="F50">
        <f t="shared" si="3"/>
        <v>4.4000000000000032E-2</v>
      </c>
      <c r="G50">
        <f t="shared" ca="1" si="4"/>
        <v>2.0213857599065407E-2</v>
      </c>
      <c r="H50">
        <f t="shared" ca="1" si="6"/>
        <v>2.021436684110723E-2</v>
      </c>
      <c r="I50">
        <f t="shared" ca="1" si="7"/>
        <v>1.0139337037046161E-2</v>
      </c>
      <c r="J50" s="5">
        <f t="shared" ca="1" si="8"/>
        <v>1.0075029804061069E-2</v>
      </c>
      <c r="L50" s="13">
        <v>0.01</v>
      </c>
      <c r="M50" s="13">
        <v>-0.1</v>
      </c>
      <c r="N50" s="13">
        <v>0.1</v>
      </c>
      <c r="O50" s="24">
        <v>1</v>
      </c>
    </row>
    <row r="51" spans="1:15" x14ac:dyDescent="0.2">
      <c r="A51">
        <f t="shared" ca="1" si="0"/>
        <v>0.50139217619508514</v>
      </c>
      <c r="B51">
        <f t="shared" ca="1" si="1"/>
        <v>3.4896752966365623E-3</v>
      </c>
      <c r="C51">
        <f t="shared" ca="1" si="5"/>
        <v>2.9490458250075986</v>
      </c>
      <c r="D51" s="21">
        <f t="shared" ca="1" si="2"/>
        <v>0.39893985128245957</v>
      </c>
      <c r="F51">
        <f t="shared" si="3"/>
        <v>4.5000000000000033E-2</v>
      </c>
      <c r="G51">
        <f t="shared" ca="1" si="4"/>
        <v>1.9689006795418035E-2</v>
      </c>
      <c r="H51">
        <f t="shared" ca="1" si="6"/>
        <v>1.9689489743780104E-2</v>
      </c>
      <c r="I51">
        <f t="shared" ca="1" si="7"/>
        <v>1.0134898442732059E-2</v>
      </c>
      <c r="J51" s="5">
        <f t="shared" ca="1" si="8"/>
        <v>9.5545913010480453E-3</v>
      </c>
    </row>
    <row r="52" spans="1:15" x14ac:dyDescent="0.2">
      <c r="A52">
        <f t="shared" ca="1" si="0"/>
        <v>7.5800525883837122E-2</v>
      </c>
      <c r="B52">
        <f t="shared" ca="1" si="1"/>
        <v>-1.4338991244551003</v>
      </c>
      <c r="C52">
        <f t="shared" ca="1" si="5"/>
        <v>1.5151467005524983</v>
      </c>
      <c r="D52" s="21">
        <f t="shared" ca="1" si="2"/>
        <v>0.14270554710484215</v>
      </c>
      <c r="F52">
        <f t="shared" si="3"/>
        <v>4.6000000000000034E-2</v>
      </c>
      <c r="G52">
        <f t="shared" ca="1" si="4"/>
        <v>1.9708072263685587E-2</v>
      </c>
      <c r="H52">
        <f t="shared" ca="1" si="6"/>
        <v>1.9708556117037524E-2</v>
      </c>
      <c r="I52">
        <f t="shared" ca="1" si="7"/>
        <v>1.0135973156932047E-2</v>
      </c>
      <c r="J52" s="5">
        <f t="shared" ca="1" si="8"/>
        <v>9.5725829601054774E-3</v>
      </c>
    </row>
    <row r="53" spans="1:15" x14ac:dyDescent="0.2">
      <c r="A53">
        <f t="shared" ca="1" si="0"/>
        <v>0.37786801795118674</v>
      </c>
      <c r="B53">
        <f t="shared" ca="1" si="1"/>
        <v>-0.31108495812895648</v>
      </c>
      <c r="C53">
        <f t="shared" ca="1" si="5"/>
        <v>1.2040617424235418</v>
      </c>
      <c r="D53" s="21">
        <f t="shared" ca="1" si="2"/>
        <v>0.3800982683425454</v>
      </c>
      <c r="F53">
        <f t="shared" si="3"/>
        <v>4.7000000000000035E-2</v>
      </c>
      <c r="G53">
        <f t="shared" ca="1" si="4"/>
        <v>1.5181940596725783E-2</v>
      </c>
      <c r="H53">
        <f t="shared" ca="1" si="6"/>
        <v>1.5182198093226459E-2</v>
      </c>
      <c r="I53">
        <f t="shared" ca="1" si="7"/>
        <v>1.0091075380805241E-2</v>
      </c>
      <c r="J53" s="5">
        <f t="shared" ca="1" si="8"/>
        <v>5.0911227124212175E-3</v>
      </c>
    </row>
    <row r="54" spans="1:15" x14ac:dyDescent="0.2">
      <c r="A54">
        <f t="shared" ca="1" si="0"/>
        <v>0.77369238656770734</v>
      </c>
      <c r="B54">
        <f t="shared" ca="1" si="1"/>
        <v>0.75106219402427643</v>
      </c>
      <c r="C54">
        <f t="shared" ca="1" si="5"/>
        <v>1.9551239364478183</v>
      </c>
      <c r="D54" s="21">
        <f t="shared" ca="1" si="2"/>
        <v>0.30089745815653723</v>
      </c>
      <c r="F54">
        <f t="shared" si="3"/>
        <v>4.8000000000000036E-2</v>
      </c>
      <c r="G54">
        <f t="shared" ca="1" si="4"/>
        <v>1.4206734149885648E-2</v>
      </c>
      <c r="H54">
        <f t="shared" ca="1" si="6"/>
        <v>1.4206942859911521E-2</v>
      </c>
      <c r="I54">
        <f t="shared" ca="1" si="7"/>
        <v>1.0082111052663397E-2</v>
      </c>
      <c r="J54" s="5">
        <f t="shared" ca="1" si="8"/>
        <v>4.1248318072481232E-3</v>
      </c>
    </row>
    <row r="55" spans="1:15" x14ac:dyDescent="0.2">
      <c r="A55">
        <f t="shared" ca="1" si="0"/>
        <v>0.48505152857318379</v>
      </c>
      <c r="B55">
        <f t="shared" ca="1" si="1"/>
        <v>-3.747903362127003E-2</v>
      </c>
      <c r="C55">
        <f t="shared" ca="1" si="5"/>
        <v>1.9176449028265483</v>
      </c>
      <c r="D55" s="21">
        <f t="shared" ca="1" si="2"/>
        <v>0.39866218605900167</v>
      </c>
      <c r="F55">
        <f t="shared" si="3"/>
        <v>4.9000000000000037E-2</v>
      </c>
      <c r="G55">
        <f t="shared" ca="1" si="4"/>
        <v>1.6590261496666613E-2</v>
      </c>
      <c r="H55">
        <f t="shared" ca="1" si="6"/>
        <v>1.6590589363185547E-2</v>
      </c>
      <c r="I55">
        <f t="shared" ca="1" si="7"/>
        <v>1.0107045326445139E-2</v>
      </c>
      <c r="J55" s="5">
        <f t="shared" ca="1" si="8"/>
        <v>6.4835440367404084E-3</v>
      </c>
    </row>
    <row r="56" spans="1:15" x14ac:dyDescent="0.2">
      <c r="A56">
        <f t="shared" ca="1" si="0"/>
        <v>0.33977164812881477</v>
      </c>
      <c r="B56">
        <f t="shared" ca="1" si="1"/>
        <v>-0.41308642311167298</v>
      </c>
      <c r="C56">
        <f t="shared" ca="1" si="5"/>
        <v>1.5045584797148752</v>
      </c>
      <c r="D56" s="21">
        <f t="shared" ca="1" si="2"/>
        <v>0.36631607341829192</v>
      </c>
      <c r="F56">
        <f t="shared" si="3"/>
        <v>5.0000000000000037E-2</v>
      </c>
      <c r="G56">
        <f t="shared" ca="1" si="4"/>
        <v>1.6480088868445548E-2</v>
      </c>
      <c r="H56">
        <f t="shared" ca="1" si="6"/>
        <v>1.6480411193503988E-2</v>
      </c>
      <c r="I56">
        <f t="shared" ca="1" si="7"/>
        <v>1.0106807620522126E-2</v>
      </c>
      <c r="J56" s="5">
        <f t="shared" ca="1" si="8"/>
        <v>6.3736035729818619E-3</v>
      </c>
    </row>
    <row r="57" spans="1:15" x14ac:dyDescent="0.2">
      <c r="A57">
        <f t="shared" ca="1" si="0"/>
        <v>0.63692007130153183</v>
      </c>
      <c r="B57">
        <f t="shared" ca="1" si="1"/>
        <v>0.35023831087663876</v>
      </c>
      <c r="C57">
        <f t="shared" ca="1" si="5"/>
        <v>1.8547967905915139</v>
      </c>
      <c r="D57" s="21">
        <f t="shared" ca="1" si="2"/>
        <v>0.37520903921812232</v>
      </c>
      <c r="F57">
        <f t="shared" si="3"/>
        <v>5.1000000000000038E-2</v>
      </c>
      <c r="G57">
        <f t="shared" ca="1" si="4"/>
        <v>1.5182211786425212E-2</v>
      </c>
      <c r="H57">
        <f t="shared" ca="1" si="6"/>
        <v>1.518246918485973E-2</v>
      </c>
      <c r="I57">
        <f t="shared" ca="1" si="7"/>
        <v>1.0094572716948852E-2</v>
      </c>
      <c r="J57" s="5">
        <f t="shared" ca="1" si="8"/>
        <v>5.0878964679108782E-3</v>
      </c>
    </row>
    <row r="58" spans="1:15" x14ac:dyDescent="0.2">
      <c r="A58">
        <f t="shared" ca="1" si="0"/>
        <v>0.81699067840520168</v>
      </c>
      <c r="B58">
        <f t="shared" ca="1" si="1"/>
        <v>0.9039561694116891</v>
      </c>
      <c r="C58">
        <f t="shared" ca="1" si="5"/>
        <v>2.758752960003203</v>
      </c>
      <c r="D58" s="21">
        <f t="shared" ca="1" si="2"/>
        <v>0.265137449179351</v>
      </c>
      <c r="F58">
        <f t="shared" si="3"/>
        <v>5.2000000000000039E-2</v>
      </c>
      <c r="G58">
        <f t="shared" ca="1" si="4"/>
        <v>1.6298188552160052E-2</v>
      </c>
      <c r="H58">
        <f t="shared" ca="1" si="6"/>
        <v>1.6298501724161547E-2</v>
      </c>
      <c r="I58">
        <f t="shared" ca="1" si="7"/>
        <v>1.0106719255256986E-2</v>
      </c>
      <c r="J58" s="5">
        <f t="shared" ca="1" si="8"/>
        <v>6.1917824689045609E-3</v>
      </c>
    </row>
    <row r="59" spans="1:15" x14ac:dyDescent="0.2">
      <c r="A59">
        <f t="shared" ca="1" si="0"/>
        <v>0.69654959777255132</v>
      </c>
      <c r="B59">
        <f t="shared" ca="1" si="1"/>
        <v>0.51450236909663949</v>
      </c>
      <c r="C59">
        <f t="shared" ca="1" si="5"/>
        <v>3.2732553290998423</v>
      </c>
      <c r="D59" s="21">
        <f t="shared" ca="1" si="2"/>
        <v>0.34948491597561404</v>
      </c>
      <c r="F59">
        <f t="shared" si="3"/>
        <v>5.300000000000004E-2</v>
      </c>
      <c r="G59">
        <f t="shared" ca="1" si="4"/>
        <v>1.9164975793046754E-2</v>
      </c>
      <c r="H59">
        <f t="shared" ca="1" si="6"/>
        <v>1.91654322742911E-2</v>
      </c>
      <c r="I59">
        <f t="shared" ca="1" si="7"/>
        <v>1.0136614187537946E-2</v>
      </c>
      <c r="J59" s="5">
        <f t="shared" ca="1" si="8"/>
        <v>9.0288180867531542E-3</v>
      </c>
    </row>
    <row r="60" spans="1:15" x14ac:dyDescent="0.2">
      <c r="A60">
        <f t="shared" ca="1" si="0"/>
        <v>0.31724471055211334</v>
      </c>
      <c r="B60">
        <f t="shared" ca="1" si="1"/>
        <v>-0.47541750337827315</v>
      </c>
      <c r="C60">
        <f t="shared" ca="1" si="5"/>
        <v>2.7978378257215692</v>
      </c>
      <c r="D60" s="21">
        <f t="shared" ca="1" si="2"/>
        <v>0.35631167682160608</v>
      </c>
      <c r="F60">
        <f t="shared" si="3"/>
        <v>5.4000000000000041E-2</v>
      </c>
      <c r="G60">
        <f t="shared" ca="1" si="4"/>
        <v>2.079997689262585E-2</v>
      </c>
      <c r="H60">
        <f t="shared" ca="1" si="6"/>
        <v>2.080051507896168E-2</v>
      </c>
      <c r="I60">
        <f t="shared" ca="1" si="7"/>
        <v>1.0154084468147664E-2</v>
      </c>
      <c r="J60" s="5">
        <f t="shared" ca="1" si="8"/>
        <v>1.0646430610814016E-2</v>
      </c>
    </row>
    <row r="61" spans="1:15" x14ac:dyDescent="0.2">
      <c r="A61">
        <f t="shared" ca="1" si="0"/>
        <v>0.13538144337257663</v>
      </c>
      <c r="B61">
        <f t="shared" ca="1" si="1"/>
        <v>-1.1013074111517227</v>
      </c>
      <c r="C61">
        <f t="shared" ca="1" si="5"/>
        <v>1.6965304145698465</v>
      </c>
      <c r="D61" s="21">
        <f t="shared" ca="1" si="2"/>
        <v>0.21753891168989153</v>
      </c>
      <c r="F61">
        <f t="shared" si="3"/>
        <v>5.5000000000000042E-2</v>
      </c>
      <c r="G61">
        <f t="shared" ca="1" si="4"/>
        <v>1.9304569515739091E-2</v>
      </c>
      <c r="H61">
        <f t="shared" ca="1" si="6"/>
        <v>1.9305032877267644E-2</v>
      </c>
      <c r="I61">
        <f t="shared" ca="1" si="7"/>
        <v>1.0139793499827101E-2</v>
      </c>
      <c r="J61" s="5">
        <f t="shared" ca="1" si="8"/>
        <v>9.1652393774405427E-3</v>
      </c>
    </row>
    <row r="62" spans="1:15" x14ac:dyDescent="0.2">
      <c r="A62">
        <f t="shared" ca="1" si="0"/>
        <v>0.20476071513349325</v>
      </c>
      <c r="B62">
        <f t="shared" ca="1" si="1"/>
        <v>-0.8247361026479394</v>
      </c>
      <c r="C62">
        <f t="shared" ca="1" si="5"/>
        <v>0.87179431192190715</v>
      </c>
      <c r="D62" s="21">
        <f t="shared" ca="1" si="2"/>
        <v>0.28392835246261061</v>
      </c>
      <c r="F62">
        <f t="shared" si="3"/>
        <v>5.6000000000000043E-2</v>
      </c>
      <c r="G62">
        <f t="shared" ca="1" si="4"/>
        <v>1.5830172956796829E-2</v>
      </c>
      <c r="H62">
        <f t="shared" ca="1" si="6"/>
        <v>1.5830462550716955E-2</v>
      </c>
      <c r="I62">
        <f t="shared" ca="1" si="7"/>
        <v>1.0105501648582598E-2</v>
      </c>
      <c r="J62" s="5">
        <f t="shared" ca="1" si="8"/>
        <v>5.7249609021343562E-3</v>
      </c>
    </row>
    <row r="63" spans="1:15" x14ac:dyDescent="0.2">
      <c r="A63">
        <f t="shared" ca="1" si="0"/>
        <v>0.90451064244726687</v>
      </c>
      <c r="B63">
        <f t="shared" ca="1" si="1"/>
        <v>1.3076892968321396</v>
      </c>
      <c r="C63">
        <f t="shared" ca="1" si="5"/>
        <v>2.1794836087540466</v>
      </c>
      <c r="D63" s="21">
        <f t="shared" ca="1" si="2"/>
        <v>0.1696590945054848</v>
      </c>
      <c r="F63">
        <f t="shared" si="3"/>
        <v>5.7000000000000044E-2</v>
      </c>
      <c r="G63">
        <f t="shared" ca="1" si="4"/>
        <v>1.3230675362522589E-2</v>
      </c>
      <c r="H63">
        <f t="shared" ca="1" si="6"/>
        <v>1.3230834951523968E-2</v>
      </c>
      <c r="I63">
        <f t="shared" ca="1" si="7"/>
        <v>1.0080137956103009E-2</v>
      </c>
      <c r="J63" s="5">
        <f t="shared" ca="1" si="8"/>
        <v>3.1506969954209589E-3</v>
      </c>
    </row>
    <row r="64" spans="1:15" x14ac:dyDescent="0.2">
      <c r="A64">
        <f t="shared" ca="1" si="0"/>
        <v>0.42782023608357855</v>
      </c>
      <c r="B64">
        <f t="shared" ca="1" si="1"/>
        <v>-0.18192641763797618</v>
      </c>
      <c r="C64">
        <f t="shared" ca="1" si="5"/>
        <v>1.9975571911160703</v>
      </c>
      <c r="D64" s="21">
        <f t="shared" ca="1" si="2"/>
        <v>0.39239466628783065</v>
      </c>
      <c r="F64">
        <f t="shared" si="3"/>
        <v>5.8000000000000045E-2</v>
      </c>
      <c r="G64">
        <f t="shared" ca="1" si="4"/>
        <v>1.737442175575004E-2</v>
      </c>
      <c r="H64">
        <f t="shared" ca="1" si="6"/>
        <v>1.7374788517842386E-2</v>
      </c>
      <c r="I64">
        <f t="shared" ca="1" si="7"/>
        <v>1.0122870048887693E-2</v>
      </c>
      <c r="J64" s="5">
        <f t="shared" ca="1" si="8"/>
        <v>7.2519184689546923E-3</v>
      </c>
    </row>
    <row r="65" spans="1:10" x14ac:dyDescent="0.2">
      <c r="A65">
        <f t="shared" ca="1" si="0"/>
        <v>9.4447001295311472E-2</v>
      </c>
      <c r="B65">
        <f t="shared" ca="1" si="1"/>
        <v>-1.3138579772291774</v>
      </c>
      <c r="C65">
        <f t="shared" ca="1" si="5"/>
        <v>0.68369921388689292</v>
      </c>
      <c r="D65" s="21">
        <f t="shared" ca="1" si="2"/>
        <v>0.16829280573543834</v>
      </c>
      <c r="F65">
        <f t="shared" si="3"/>
        <v>5.9000000000000045E-2</v>
      </c>
      <c r="G65">
        <f t="shared" ca="1" si="4"/>
        <v>1.6807410818063133E-2</v>
      </c>
      <c r="H65">
        <f t="shared" ca="1" si="6"/>
        <v>1.6807749192699568E-2</v>
      </c>
      <c r="I65">
        <f t="shared" ca="1" si="7"/>
        <v>1.0118009183148289E-2</v>
      </c>
      <c r="J65" s="5">
        <f t="shared" ca="1" si="8"/>
        <v>6.6897400095512795E-3</v>
      </c>
    </row>
    <row r="66" spans="1:10" x14ac:dyDescent="0.2">
      <c r="A66">
        <f t="shared" ca="1" si="0"/>
        <v>0.66289461568950658</v>
      </c>
      <c r="B66">
        <f t="shared" ca="1" si="1"/>
        <v>0.42037604003172263</v>
      </c>
      <c r="C66">
        <f t="shared" ca="1" si="5"/>
        <v>1.1040752539186156</v>
      </c>
      <c r="D66" s="21">
        <f t="shared" ca="1" si="2"/>
        <v>0.36520496293383026</v>
      </c>
      <c r="F66">
        <f t="shared" si="3"/>
        <v>6.0000000000000046E-2</v>
      </c>
      <c r="G66">
        <f t="shared" ca="1" si="4"/>
        <v>1.2661153661537484E-2</v>
      </c>
      <c r="H66">
        <f t="shared" ca="1" si="6"/>
        <v>1.2661284687754456E-2</v>
      </c>
      <c r="I66">
        <f t="shared" ca="1" si="7"/>
        <v>1.007701552308761E-2</v>
      </c>
      <c r="J66" s="5">
        <f t="shared" ca="1" si="8"/>
        <v>2.5842691646668463E-3</v>
      </c>
    </row>
    <row r="67" spans="1:10" x14ac:dyDescent="0.2">
      <c r="A67">
        <f t="shared" ca="1" si="0"/>
        <v>0.37053199493900479</v>
      </c>
      <c r="B67">
        <f t="shared" ca="1" si="1"/>
        <v>-0.33044467482983364</v>
      </c>
      <c r="C67">
        <f t="shared" ca="1" si="5"/>
        <v>0.77363057908878197</v>
      </c>
      <c r="D67" s="21">
        <f t="shared" ca="1" si="2"/>
        <v>0.37774520376246618</v>
      </c>
      <c r="F67">
        <f t="shared" si="3"/>
        <v>6.1000000000000047E-2</v>
      </c>
      <c r="G67">
        <f t="shared" ca="1" si="4"/>
        <v>1.3999166405235356E-2</v>
      </c>
      <c r="H67">
        <f t="shared" ca="1" si="6"/>
        <v>1.3999364319548045E-2</v>
      </c>
      <c r="I67">
        <f t="shared" ca="1" si="7"/>
        <v>1.0091378904206194E-2</v>
      </c>
      <c r="J67" s="5">
        <f t="shared" ca="1" si="8"/>
        <v>3.9079854153418504E-3</v>
      </c>
    </row>
    <row r="68" spans="1:10" x14ac:dyDescent="0.2">
      <c r="A68">
        <f t="shared" ca="1" si="0"/>
        <v>0.50393264002273896</v>
      </c>
      <c r="B68">
        <f t="shared" ca="1" si="1"/>
        <v>9.8578263311867708E-3</v>
      </c>
      <c r="C68">
        <f t="shared" ca="1" si="5"/>
        <v>0.78348840541996878</v>
      </c>
      <c r="D68" s="21">
        <f t="shared" ca="1" si="2"/>
        <v>0.39892289691721849</v>
      </c>
      <c r="F68">
        <f t="shared" si="3"/>
        <v>6.2000000000000048E-2</v>
      </c>
      <c r="G68">
        <f t="shared" ca="1" si="4"/>
        <v>1.2962860491182768E-2</v>
      </c>
      <c r="H68">
        <f t="shared" ca="1" si="6"/>
        <v>1.2963006569980104E-2</v>
      </c>
      <c r="I68">
        <f t="shared" ca="1" si="7"/>
        <v>1.0081797071859648E-2</v>
      </c>
      <c r="J68" s="5">
        <f t="shared" ca="1" si="8"/>
        <v>2.8812094981204555E-3</v>
      </c>
    </row>
    <row r="69" spans="1:10" x14ac:dyDescent="0.2">
      <c r="A69">
        <f t="shared" ca="1" si="0"/>
        <v>8.2018054587801426E-2</v>
      </c>
      <c r="B69">
        <f t="shared" ca="1" si="1"/>
        <v>-1.3916245879741387</v>
      </c>
      <c r="C69">
        <f t="shared" ca="1" si="5"/>
        <v>-0.6081361825541699</v>
      </c>
      <c r="D69" s="21">
        <f t="shared" ca="1" si="2"/>
        <v>0.15148812648629906</v>
      </c>
      <c r="F69">
        <f t="shared" si="3"/>
        <v>6.3000000000000042E-2</v>
      </c>
      <c r="G69">
        <f t="shared" ca="1" si="4"/>
        <v>1.3002735395353132E-2</v>
      </c>
      <c r="H69">
        <f t="shared" ca="1" si="6"/>
        <v>1.3002883453308038E-2</v>
      </c>
      <c r="I69">
        <f t="shared" ca="1" si="7"/>
        <v>1.0083069204549324E-2</v>
      </c>
      <c r="J69" s="5">
        <f t="shared" ca="1" si="8"/>
        <v>2.9198142487587148E-3</v>
      </c>
    </row>
    <row r="70" spans="1:10" x14ac:dyDescent="0.2">
      <c r="A70">
        <f t="shared" ca="1" si="0"/>
        <v>0.17194149732108488</v>
      </c>
      <c r="B70">
        <f t="shared" ca="1" si="1"/>
        <v>-0.94652084655702773</v>
      </c>
      <c r="C70">
        <f t="shared" ca="1" si="5"/>
        <v>-1.5546570291111976</v>
      </c>
      <c r="D70" s="21">
        <f t="shared" ca="1" si="2"/>
        <v>0.25489861791348473</v>
      </c>
      <c r="F70">
        <f t="shared" si="3"/>
        <v>6.4000000000000043E-2</v>
      </c>
      <c r="G70">
        <f t="shared" ca="1" si="4"/>
        <v>8.6109513669496915E-3</v>
      </c>
      <c r="H70">
        <f t="shared" ca="1" si="6"/>
        <v>8.6108798190710628E-3</v>
      </c>
      <c r="I70">
        <f t="shared" ca="1" si="7"/>
        <v>1.0039747831157804E-2</v>
      </c>
      <c r="J70" s="5">
        <f t="shared" ca="1" si="8"/>
        <v>1.4288680120867411E-3</v>
      </c>
    </row>
    <row r="71" spans="1:10" x14ac:dyDescent="0.2">
      <c r="A71">
        <f t="shared" ref="A71:A134" ca="1" si="9">RAND()</f>
        <v>0.17756282136357471</v>
      </c>
      <c r="B71">
        <f t="shared" ref="B71:B134" ca="1" si="10">NORMSINV(A71)</f>
        <v>-0.92469295945475427</v>
      </c>
      <c r="C71">
        <f t="shared" ca="1" si="5"/>
        <v>-2.4793499885659518</v>
      </c>
      <c r="D71" s="21">
        <f t="shared" ref="D71:D134" ca="1" si="11">_xlfn.NORM.DIST(B71,0,1,FALSE)</f>
        <v>0.26015775867543034</v>
      </c>
      <c r="F71">
        <f t="shared" ref="F71:F134" si="12">F70+$M$2/$N$2</f>
        <v>6.5000000000000044E-2</v>
      </c>
      <c r="G71">
        <f t="shared" ref="G71:G134" ca="1" si="13">G70*EXP(-$M$4*$O$2) + $O$4*(1-EXP(-$M$4*$O$2)) + $N$4* SQRT((1-EXP(-2*$M$4*$O$2))/(2*$M$4)) *B70</f>
        <v>5.6270777387829492E-3</v>
      </c>
      <c r="H71">
        <f t="shared" ca="1" si="6"/>
        <v>5.6268570031382048E-3</v>
      </c>
      <c r="I71">
        <f t="shared" ca="1" si="7"/>
        <v>1.0010693141167223E-2</v>
      </c>
      <c r="J71" s="5">
        <f t="shared" ca="1" si="8"/>
        <v>4.3838361380290182E-3</v>
      </c>
    </row>
    <row r="72" spans="1:10" x14ac:dyDescent="0.2">
      <c r="A72">
        <f t="shared" ca="1" si="9"/>
        <v>0.51093437382986573</v>
      </c>
      <c r="B72">
        <f t="shared" ca="1" si="10"/>
        <v>2.7411843138698291E-2</v>
      </c>
      <c r="C72">
        <f t="shared" ref="C72:C135" ca="1" si="14">B72+C71</f>
        <v>-2.4519381454272535</v>
      </c>
      <c r="D72" s="21">
        <f t="shared" ca="1" si="11"/>
        <v>0.39879242411527843</v>
      </c>
      <c r="F72">
        <f t="shared" si="12"/>
        <v>6.6000000000000045E-2</v>
      </c>
      <c r="G72">
        <f t="shared" ca="1" si="13"/>
        <v>2.7125248716641597E-3</v>
      </c>
      <c r="H72">
        <f t="shared" ref="H72:H135" ca="1" si="15">H71+($M$6 + $N$6*H71)*$O$2 + $O$6*H71^$P$6*SQRT($O$2)*B71</f>
        <v>2.7121584292391365E-3</v>
      </c>
      <c r="I72">
        <f t="shared" ref="I72:I135" ca="1" si="16">I71*EXP(($M$8-0.5*($N$8^2))*$O$2 + $N$8*SQRT($O$2)*B71)</f>
        <v>9.9824115550248057E-3</v>
      </c>
      <c r="J72" s="5">
        <f t="shared" ref="J72:J135" ca="1" si="17">ABS(H72-I72)</f>
        <v>7.2702531257856692E-3</v>
      </c>
    </row>
    <row r="73" spans="1:10" x14ac:dyDescent="0.2">
      <c r="A73">
        <f t="shared" ca="1" si="9"/>
        <v>0.53059688008644379</v>
      </c>
      <c r="B73">
        <f t="shared" ca="1" si="10"/>
        <v>7.6770348179418191E-2</v>
      </c>
      <c r="C73">
        <f t="shared" ca="1" si="14"/>
        <v>-2.3751677972478351</v>
      </c>
      <c r="D73" s="21">
        <f t="shared" ca="1" si="11"/>
        <v>0.39776839054744867</v>
      </c>
      <c r="F73">
        <f t="shared" si="12"/>
        <v>6.7000000000000046E-2</v>
      </c>
      <c r="G73">
        <f t="shared" ca="1" si="13"/>
        <v>2.8089326579250019E-3</v>
      </c>
      <c r="H73">
        <f t="shared" ca="1" si="15"/>
        <v>2.8085710725777582E-3</v>
      </c>
      <c r="I73">
        <f t="shared" ca="1" si="16"/>
        <v>9.984225362844875E-3</v>
      </c>
      <c r="J73" s="5">
        <f t="shared" ca="1" si="17"/>
        <v>7.1756542902671168E-3</v>
      </c>
    </row>
    <row r="74" spans="1:10" x14ac:dyDescent="0.2">
      <c r="A74">
        <f t="shared" ca="1" si="9"/>
        <v>0.67682532784032057</v>
      </c>
      <c r="B74">
        <f t="shared" ca="1" si="10"/>
        <v>0.45883961520410887</v>
      </c>
      <c r="C74">
        <f t="shared" ca="1" si="14"/>
        <v>-1.9163281820437263</v>
      </c>
      <c r="D74" s="21">
        <f t="shared" ca="1" si="11"/>
        <v>0.35908166780431017</v>
      </c>
      <c r="F74">
        <f t="shared" si="12"/>
        <v>6.8000000000000047E-2</v>
      </c>
      <c r="G74">
        <f t="shared" ca="1" si="13"/>
        <v>3.0614082977790894E-3</v>
      </c>
      <c r="H74">
        <f t="shared" ca="1" si="15"/>
        <v>3.0610593724816229E-3</v>
      </c>
      <c r="I74">
        <f t="shared" ca="1" si="16"/>
        <v>9.9875982958333911E-3</v>
      </c>
      <c r="J74" s="5">
        <f t="shared" ca="1" si="17"/>
        <v>6.9265389233517678E-3</v>
      </c>
    </row>
    <row r="75" spans="1:10" x14ac:dyDescent="0.2">
      <c r="A75">
        <f t="shared" ca="1" si="9"/>
        <v>0.89005931468634913</v>
      </c>
      <c r="B75">
        <f t="shared" ca="1" si="10"/>
        <v>1.2268436250535091</v>
      </c>
      <c r="C75">
        <f t="shared" ca="1" si="14"/>
        <v>-0.68948455699021727</v>
      </c>
      <c r="D75" s="21">
        <f t="shared" ca="1" si="11"/>
        <v>0.18796280652231631</v>
      </c>
      <c r="F75">
        <f t="shared" si="12"/>
        <v>6.9000000000000047E-2</v>
      </c>
      <c r="G75">
        <f t="shared" ca="1" si="13"/>
        <v>4.5220073911422191E-3</v>
      </c>
      <c r="H75">
        <f t="shared" ca="1" si="15"/>
        <v>4.521731531304583E-3</v>
      </c>
      <c r="I75">
        <f t="shared" ca="1" si="16"/>
        <v>1.0003050847292555E-2</v>
      </c>
      <c r="J75" s="5">
        <f t="shared" ca="1" si="17"/>
        <v>5.481319315987972E-3</v>
      </c>
    </row>
    <row r="76" spans="1:10" x14ac:dyDescent="0.2">
      <c r="A76">
        <f t="shared" ca="1" si="9"/>
        <v>0.90448491636221873</v>
      </c>
      <c r="B76">
        <f t="shared" ca="1" si="10"/>
        <v>1.3075376778756407</v>
      </c>
      <c r="C76">
        <f t="shared" ca="1" si="14"/>
        <v>0.61805312088542341</v>
      </c>
      <c r="D76" s="21">
        <f t="shared" ca="1" si="11"/>
        <v>0.16969273428120638</v>
      </c>
      <c r="F76">
        <f t="shared" si="12"/>
        <v>7.0000000000000048E-2</v>
      </c>
      <c r="G76">
        <f t="shared" ca="1" si="13"/>
        <v>8.4109809281285447E-3</v>
      </c>
      <c r="H76">
        <f t="shared" ca="1" si="15"/>
        <v>8.410899546178156E-3</v>
      </c>
      <c r="I76">
        <f t="shared" ca="1" si="16"/>
        <v>1.0042888292043462E-2</v>
      </c>
      <c r="J76" s="5">
        <f t="shared" ca="1" si="17"/>
        <v>1.6319887458653062E-3</v>
      </c>
    </row>
    <row r="77" spans="1:10" x14ac:dyDescent="0.2">
      <c r="A77">
        <f t="shared" ca="1" si="9"/>
        <v>0.28636232769243519</v>
      </c>
      <c r="B77">
        <f t="shared" ca="1" si="10"/>
        <v>-0.56404331303535538</v>
      </c>
      <c r="C77">
        <f t="shared" ca="1" si="14"/>
        <v>5.4009807850068037E-2</v>
      </c>
      <c r="D77" s="21">
        <f t="shared" ca="1" si="11"/>
        <v>0.34027166602549036</v>
      </c>
      <c r="F77">
        <f t="shared" si="12"/>
        <v>7.1000000000000049E-2</v>
      </c>
      <c r="G77">
        <f t="shared" ca="1" si="13"/>
        <v>1.2554729829434834E-2</v>
      </c>
      <c r="H77">
        <f t="shared" ca="1" si="15"/>
        <v>1.2554855644798114E-2</v>
      </c>
      <c r="I77">
        <f t="shared" ca="1" si="16"/>
        <v>1.0085457639090563E-2</v>
      </c>
      <c r="J77" s="5">
        <f t="shared" ca="1" si="17"/>
        <v>2.4693980057075519E-3</v>
      </c>
    </row>
    <row r="78" spans="1:10" x14ac:dyDescent="0.2">
      <c r="A78">
        <f t="shared" ca="1" si="9"/>
        <v>0.20712931354560626</v>
      </c>
      <c r="B78">
        <f t="shared" ca="1" si="10"/>
        <v>-0.81642233416579335</v>
      </c>
      <c r="C78">
        <f t="shared" ca="1" si="14"/>
        <v>-0.76241252631572531</v>
      </c>
      <c r="D78" s="21">
        <f t="shared" ca="1" si="11"/>
        <v>0.28587196390131303</v>
      </c>
      <c r="F78">
        <f t="shared" si="12"/>
        <v>7.200000000000005E-2</v>
      </c>
      <c r="G78">
        <f t="shared" ca="1" si="13"/>
        <v>1.077990153042366E-2</v>
      </c>
      <c r="H78">
        <f t="shared" ca="1" si="15"/>
        <v>1.0779938591054569E-2</v>
      </c>
      <c r="I78">
        <f t="shared" ca="1" si="16"/>
        <v>1.0068441086021196E-2</v>
      </c>
      <c r="J78" s="5">
        <f t="shared" ca="1" si="17"/>
        <v>7.1149750503337293E-4</v>
      </c>
    </row>
    <row r="79" spans="1:10" x14ac:dyDescent="0.2">
      <c r="A79">
        <f t="shared" ca="1" si="9"/>
        <v>0.97373599579915548</v>
      </c>
      <c r="B79">
        <f t="shared" ca="1" si="10"/>
        <v>1.9387810183404939</v>
      </c>
      <c r="C79">
        <f t="shared" ca="1" si="14"/>
        <v>1.1763684920247686</v>
      </c>
      <c r="D79" s="21">
        <f t="shared" ca="1" si="11"/>
        <v>6.0908992702526601E-2</v>
      </c>
      <c r="F79">
        <f t="shared" si="12"/>
        <v>7.3000000000000051E-2</v>
      </c>
      <c r="G79">
        <f t="shared" ca="1" si="13"/>
        <v>8.2071980679169938E-3</v>
      </c>
      <c r="H79">
        <f t="shared" ca="1" si="15"/>
        <v>8.2071064886004522E-3</v>
      </c>
      <c r="I79">
        <f t="shared" ca="1" si="16"/>
        <v>1.0043434454342057E-2</v>
      </c>
      <c r="J79" s="5">
        <f t="shared" ca="1" si="17"/>
        <v>1.8363279657416052E-3</v>
      </c>
    </row>
    <row r="80" spans="1:10" x14ac:dyDescent="0.2">
      <c r="A80">
        <f t="shared" ca="1" si="9"/>
        <v>0.23833366298758951</v>
      </c>
      <c r="B80">
        <f t="shared" ca="1" si="10"/>
        <v>-0.71167294332341302</v>
      </c>
      <c r="C80">
        <f t="shared" ca="1" si="14"/>
        <v>0.46469554870135554</v>
      </c>
      <c r="D80" s="21">
        <f t="shared" ca="1" si="11"/>
        <v>0.30969178366548156</v>
      </c>
      <c r="F80">
        <f t="shared" si="12"/>
        <v>7.4000000000000052E-2</v>
      </c>
      <c r="G80">
        <f t="shared" ca="1" si="13"/>
        <v>1.4347034255995308E-2</v>
      </c>
      <c r="H80">
        <f t="shared" ca="1" si="15"/>
        <v>1.4347249680208236E-2</v>
      </c>
      <c r="I80">
        <f t="shared" ca="1" si="16"/>
        <v>1.0106159574259924E-2</v>
      </c>
      <c r="J80" s="5">
        <f t="shared" ca="1" si="17"/>
        <v>4.2410901059483121E-3</v>
      </c>
    </row>
    <row r="81" spans="1:10" x14ac:dyDescent="0.2">
      <c r="A81">
        <f t="shared" ca="1" si="9"/>
        <v>0.98675007045722185</v>
      </c>
      <c r="B81">
        <f t="shared" ca="1" si="10"/>
        <v>2.2188069780355524</v>
      </c>
      <c r="C81">
        <f t="shared" ca="1" si="14"/>
        <v>2.6835025267369081</v>
      </c>
      <c r="D81" s="21">
        <f t="shared" ca="1" si="11"/>
        <v>3.4030750518658004E-2</v>
      </c>
      <c r="F81">
        <f t="shared" si="12"/>
        <v>7.5000000000000053E-2</v>
      </c>
      <c r="G81">
        <f t="shared" ca="1" si="13"/>
        <v>1.2105204194985397E-2</v>
      </c>
      <c r="H81">
        <f t="shared" ca="1" si="15"/>
        <v>1.2105307505222308E-2</v>
      </c>
      <c r="I81">
        <f t="shared" ca="1" si="16"/>
        <v>1.008439913282865E-2</v>
      </c>
      <c r="J81" s="5">
        <f t="shared" ca="1" si="17"/>
        <v>2.0209083723936577E-3</v>
      </c>
    </row>
    <row r="82" spans="1:10" x14ac:dyDescent="0.2">
      <c r="A82">
        <f t="shared" ca="1" si="9"/>
        <v>0.61079810519971056</v>
      </c>
      <c r="B82">
        <f t="shared" ca="1" si="10"/>
        <v>0.28139977639677977</v>
      </c>
      <c r="C82">
        <f t="shared" ca="1" si="14"/>
        <v>2.9649023031336879</v>
      </c>
      <c r="D82" s="21">
        <f t="shared" ca="1" si="11"/>
        <v>0.3834555962974594</v>
      </c>
      <c r="F82">
        <f t="shared" si="12"/>
        <v>7.6000000000000054E-2</v>
      </c>
      <c r="G82">
        <f t="shared" ca="1" si="13"/>
        <v>1.9130126164404203E-2</v>
      </c>
      <c r="H82">
        <f t="shared" ca="1" si="15"/>
        <v>1.9130580713339326E-2</v>
      </c>
      <c r="I82">
        <f t="shared" ca="1" si="16"/>
        <v>1.0156369779002741E-2</v>
      </c>
      <c r="J82" s="5">
        <f t="shared" ca="1" si="17"/>
        <v>8.9742109343365854E-3</v>
      </c>
    </row>
    <row r="83" spans="1:10" x14ac:dyDescent="0.2">
      <c r="A83">
        <f t="shared" ca="1" si="9"/>
        <v>0.62937129192028085</v>
      </c>
      <c r="B83">
        <f t="shared" ca="1" si="10"/>
        <v>0.33018865820822774</v>
      </c>
      <c r="C83">
        <f t="shared" ca="1" si="14"/>
        <v>3.2950909613419155</v>
      </c>
      <c r="D83" s="21">
        <f t="shared" ca="1" si="11"/>
        <v>0.37777714972454102</v>
      </c>
      <c r="F83">
        <f t="shared" si="12"/>
        <v>7.7000000000000055E-2</v>
      </c>
      <c r="G83">
        <f t="shared" ca="1" si="13"/>
        <v>2.0028032482570266E-2</v>
      </c>
      <c r="H83">
        <f t="shared" ca="1" si="15"/>
        <v>2.0028531881743906E-2</v>
      </c>
      <c r="I83">
        <f t="shared" ca="1" si="16"/>
        <v>1.016637735151011E-2</v>
      </c>
      <c r="J83" s="5">
        <f t="shared" ca="1" si="17"/>
        <v>9.8621545302337958E-3</v>
      </c>
    </row>
    <row r="84" spans="1:10" x14ac:dyDescent="0.2">
      <c r="A84">
        <f t="shared" ca="1" si="9"/>
        <v>0.14504714117854878</v>
      </c>
      <c r="B84">
        <f t="shared" ca="1" si="10"/>
        <v>-1.0579148105377936</v>
      </c>
      <c r="C84">
        <f t="shared" ca="1" si="14"/>
        <v>2.2371761508041219</v>
      </c>
      <c r="D84" s="21">
        <f t="shared" ca="1" si="11"/>
        <v>0.22797246921344694</v>
      </c>
      <c r="F84">
        <f t="shared" si="12"/>
        <v>7.8000000000000055E-2</v>
      </c>
      <c r="G84">
        <f t="shared" ca="1" si="13"/>
        <v>2.1080125291732692E-2</v>
      </c>
      <c r="H84">
        <f t="shared" ca="1" si="15"/>
        <v>2.1080677246048583E-2</v>
      </c>
      <c r="I84">
        <f t="shared" ca="1" si="16"/>
        <v>1.017796496089767E-2</v>
      </c>
      <c r="J84" s="5">
        <f t="shared" ca="1" si="17"/>
        <v>1.0902712285150913E-2</v>
      </c>
    </row>
    <row r="85" spans="1:10" x14ac:dyDescent="0.2">
      <c r="A85">
        <f t="shared" ca="1" si="9"/>
        <v>0.60552631870181461</v>
      </c>
      <c r="B85">
        <f t="shared" ca="1" si="10"/>
        <v>0.26767776993172288</v>
      </c>
      <c r="C85">
        <f t="shared" ca="1" si="14"/>
        <v>2.5048539207358447</v>
      </c>
      <c r="D85" s="21">
        <f t="shared" ca="1" si="11"/>
        <v>0.38490288338520923</v>
      </c>
      <c r="F85">
        <f t="shared" si="12"/>
        <v>7.9000000000000056E-2</v>
      </c>
      <c r="G85">
        <f t="shared" ca="1" si="13"/>
        <v>1.7742763776941634E-2</v>
      </c>
      <c r="H85">
        <f t="shared" ca="1" si="15"/>
        <v>1.7743148806599052E-2</v>
      </c>
      <c r="I85">
        <f t="shared" ca="1" si="16"/>
        <v>1.0144936004322598E-2</v>
      </c>
      <c r="J85" s="5">
        <f t="shared" ca="1" si="17"/>
        <v>7.5982128022764536E-3</v>
      </c>
    </row>
    <row r="86" spans="1:10" x14ac:dyDescent="0.2">
      <c r="A86">
        <f t="shared" ca="1" si="9"/>
        <v>0.1184136433888564</v>
      </c>
      <c r="B86">
        <f t="shared" ca="1" si="10"/>
        <v>-1.1829542316381711</v>
      </c>
      <c r="C86">
        <f t="shared" ca="1" si="14"/>
        <v>1.3218996890976735</v>
      </c>
      <c r="D86" s="21">
        <f t="shared" ca="1" si="11"/>
        <v>0.19817022601757475</v>
      </c>
      <c r="F86">
        <f t="shared" si="12"/>
        <v>8.0000000000000057E-2</v>
      </c>
      <c r="G86">
        <f t="shared" ca="1" si="13"/>
        <v>1.8597418199462052E-2</v>
      </c>
      <c r="H86">
        <f t="shared" ca="1" si="15"/>
        <v>1.8597845923697169E-2</v>
      </c>
      <c r="I86">
        <f t="shared" ca="1" si="16"/>
        <v>1.0154491669236865E-2</v>
      </c>
      <c r="J86" s="5">
        <f t="shared" ca="1" si="17"/>
        <v>8.4433542544603037E-3</v>
      </c>
    </row>
    <row r="87" spans="1:10" x14ac:dyDescent="0.2">
      <c r="A87">
        <f t="shared" ca="1" si="9"/>
        <v>0.64444690105460189</v>
      </c>
      <c r="B87">
        <f t="shared" ca="1" si="10"/>
        <v>0.37037083977523627</v>
      </c>
      <c r="C87">
        <f t="shared" ca="1" si="14"/>
        <v>1.6922705288729099</v>
      </c>
      <c r="D87" s="21">
        <f t="shared" ca="1" si="11"/>
        <v>0.37249717961945616</v>
      </c>
      <c r="F87">
        <f t="shared" si="12"/>
        <v>8.1000000000000058E-2</v>
      </c>
      <c r="G87">
        <f t="shared" ca="1" si="13"/>
        <v>1.4864915344625657E-2</v>
      </c>
      <c r="H87">
        <f t="shared" ca="1" si="15"/>
        <v>1.4865156399393759E-2</v>
      </c>
      <c r="I87">
        <f t="shared" ca="1" si="16"/>
        <v>1.0117537526706528E-2</v>
      </c>
      <c r="J87" s="5">
        <f t="shared" ca="1" si="17"/>
        <v>4.7476188726872301E-3</v>
      </c>
    </row>
    <row r="88" spans="1:10" x14ac:dyDescent="0.2">
      <c r="A88">
        <f t="shared" ca="1" si="9"/>
        <v>0.6250597989659703</v>
      </c>
      <c r="B88">
        <f t="shared" ca="1" si="10"/>
        <v>0.31879706760098592</v>
      </c>
      <c r="C88">
        <f t="shared" ca="1" si="14"/>
        <v>2.0110675964738958</v>
      </c>
      <c r="D88" s="21">
        <f t="shared" ca="1" si="11"/>
        <v>0.37917618328739539</v>
      </c>
      <c r="F88">
        <f t="shared" si="12"/>
        <v>8.2000000000000059E-2</v>
      </c>
      <c r="G88">
        <f t="shared" ca="1" si="13"/>
        <v>1.6044585301697289E-2</v>
      </c>
      <c r="H88">
        <f t="shared" ca="1" si="15"/>
        <v>1.6044885316352852E-2</v>
      </c>
      <c r="I88">
        <f t="shared" ca="1" si="16"/>
        <v>1.0130356623018796E-2</v>
      </c>
      <c r="J88" s="5">
        <f t="shared" ca="1" si="17"/>
        <v>5.9145286933340556E-3</v>
      </c>
    </row>
    <row r="89" spans="1:10" x14ac:dyDescent="0.2">
      <c r="A89">
        <f t="shared" ca="1" si="9"/>
        <v>0.26643222820055978</v>
      </c>
      <c r="B89">
        <f t="shared" ca="1" si="10"/>
        <v>-0.62363935866020659</v>
      </c>
      <c r="C89">
        <f t="shared" ca="1" si="14"/>
        <v>1.3874282378136891</v>
      </c>
      <c r="D89" s="21">
        <f t="shared" ca="1" si="11"/>
        <v>0.32843985157859512</v>
      </c>
      <c r="F89">
        <f t="shared" si="12"/>
        <v>8.300000000000006E-2</v>
      </c>
      <c r="G89">
        <f t="shared" ca="1" si="13"/>
        <v>1.7061054864263743E-2</v>
      </c>
      <c r="H89">
        <f t="shared" ca="1" si="15"/>
        <v>1.7061405672823004E-2</v>
      </c>
      <c r="I89">
        <f t="shared" ca="1" si="16"/>
        <v>1.014153783710205E-2</v>
      </c>
      <c r="J89" s="5">
        <f t="shared" ca="1" si="17"/>
        <v>6.9198678357209539E-3</v>
      </c>
    </row>
    <row r="90" spans="1:10" x14ac:dyDescent="0.2">
      <c r="A90">
        <f t="shared" ca="1" si="9"/>
        <v>0.84096970118718095</v>
      </c>
      <c r="B90">
        <f t="shared" ca="1" si="10"/>
        <v>0.99845123958851711</v>
      </c>
      <c r="C90">
        <f t="shared" ca="1" si="14"/>
        <v>2.3858794774022063</v>
      </c>
      <c r="D90" s="21">
        <f t="shared" ca="1" si="11"/>
        <v>0.24234547889826435</v>
      </c>
      <c r="F90">
        <f t="shared" si="12"/>
        <v>8.4000000000000061E-2</v>
      </c>
      <c r="G90">
        <f t="shared" ca="1" si="13"/>
        <v>1.5097326134135699E-2</v>
      </c>
      <c r="H90">
        <f t="shared" ca="1" si="15"/>
        <v>1.5097578720362815E-2</v>
      </c>
      <c r="I90">
        <f t="shared" ca="1" si="16"/>
        <v>1.0122518801461833E-2</v>
      </c>
      <c r="J90" s="5">
        <f t="shared" ca="1" si="17"/>
        <v>4.9750599189009818E-3</v>
      </c>
    </row>
    <row r="91" spans="1:10" x14ac:dyDescent="0.2">
      <c r="A91">
        <f t="shared" ca="1" si="9"/>
        <v>0.21686598556258885</v>
      </c>
      <c r="B91">
        <f t="shared" ca="1" si="10"/>
        <v>-0.78282144739131732</v>
      </c>
      <c r="C91">
        <f t="shared" ca="1" si="14"/>
        <v>1.603058030010889</v>
      </c>
      <c r="D91" s="21">
        <f t="shared" ca="1" si="11"/>
        <v>0.29365688751261426</v>
      </c>
      <c r="F91">
        <f t="shared" si="12"/>
        <v>8.5000000000000062E-2</v>
      </c>
      <c r="G91">
        <f t="shared" ca="1" si="13"/>
        <v>1.8263038164316361E-2</v>
      </c>
      <c r="H91">
        <f t="shared" ca="1" si="15"/>
        <v>1.8263449012208971E-2</v>
      </c>
      <c r="I91">
        <f t="shared" ca="1" si="16"/>
        <v>1.0155494675634084E-2</v>
      </c>
      <c r="J91" s="5">
        <f t="shared" ca="1" si="17"/>
        <v>8.1079543365748866E-3</v>
      </c>
    </row>
    <row r="92" spans="1:10" x14ac:dyDescent="0.2">
      <c r="A92">
        <f t="shared" ca="1" si="9"/>
        <v>0.56944751357628376</v>
      </c>
      <c r="B92">
        <f t="shared" ca="1" si="10"/>
        <v>0.17496775199720632</v>
      </c>
      <c r="C92">
        <f t="shared" ca="1" si="14"/>
        <v>1.7780257820080954</v>
      </c>
      <c r="D92" s="21">
        <f t="shared" ca="1" si="11"/>
        <v>0.39288222642858722</v>
      </c>
      <c r="F92">
        <f t="shared" si="12"/>
        <v>8.6000000000000063E-2</v>
      </c>
      <c r="G92">
        <f t="shared" ca="1" si="13"/>
        <v>1.579583644662419E-2</v>
      </c>
      <c r="H92">
        <f t="shared" ca="1" si="15"/>
        <v>1.5796123892321511E-2</v>
      </c>
      <c r="I92">
        <f t="shared" ca="1" si="16"/>
        <v>1.013134828462914E-2</v>
      </c>
      <c r="J92" s="5">
        <f t="shared" ca="1" si="17"/>
        <v>5.6647756076923707E-3</v>
      </c>
    </row>
    <row r="93" spans="1:10" x14ac:dyDescent="0.2">
      <c r="A93">
        <f t="shared" ca="1" si="9"/>
        <v>9.4259265394280978E-2</v>
      </c>
      <c r="B93">
        <f t="shared" ca="1" si="10"/>
        <v>-1.3149743271014191</v>
      </c>
      <c r="C93">
        <f t="shared" ca="1" si="14"/>
        <v>0.46305145490667621</v>
      </c>
      <c r="D93" s="21">
        <f t="shared" ca="1" si="11"/>
        <v>0.16804604266040954</v>
      </c>
      <c r="F93">
        <f t="shared" si="12"/>
        <v>8.7000000000000063E-2</v>
      </c>
      <c r="G93">
        <f t="shared" ca="1" si="13"/>
        <v>1.6357525391685369E-2</v>
      </c>
      <c r="H93">
        <f t="shared" ca="1" si="15"/>
        <v>1.6357840893322925E-2</v>
      </c>
      <c r="I93">
        <f t="shared" ca="1" si="16"/>
        <v>1.0137918532915888E-2</v>
      </c>
      <c r="J93" s="5">
        <f t="shared" ca="1" si="17"/>
        <v>6.2199223604070368E-3</v>
      </c>
    </row>
    <row r="94" spans="1:10" x14ac:dyDescent="0.2">
      <c r="A94">
        <f t="shared" ca="1" si="9"/>
        <v>0.35946440627554299</v>
      </c>
      <c r="B94">
        <f t="shared" ca="1" si="10"/>
        <v>-0.35989077953355086</v>
      </c>
      <c r="C94">
        <f t="shared" ca="1" si="14"/>
        <v>0.10316067537312534</v>
      </c>
      <c r="D94" s="21">
        <f t="shared" ca="1" si="11"/>
        <v>0.37392530536053181</v>
      </c>
      <c r="F94">
        <f t="shared" si="12"/>
        <v>8.8000000000000064E-2</v>
      </c>
      <c r="G94">
        <f t="shared" ca="1" si="13"/>
        <v>1.2207783189694142E-2</v>
      </c>
      <c r="H94">
        <f t="shared" ca="1" si="15"/>
        <v>1.2207891170945829E-2</v>
      </c>
      <c r="I94">
        <f t="shared" ca="1" si="16"/>
        <v>1.0096808565150607E-2</v>
      </c>
      <c r="J94" s="5">
        <f t="shared" ca="1" si="17"/>
        <v>2.1110826057952215E-3</v>
      </c>
    </row>
    <row r="95" spans="1:10" x14ac:dyDescent="0.2">
      <c r="A95">
        <f t="shared" ca="1" si="9"/>
        <v>0.80101276006361266</v>
      </c>
      <c r="B95">
        <f t="shared" ca="1" si="10"/>
        <v>0.84524425174161033</v>
      </c>
      <c r="C95">
        <f t="shared" ca="1" si="14"/>
        <v>0.94840492711473567</v>
      </c>
      <c r="D95" s="21">
        <f t="shared" ca="1" si="11"/>
        <v>0.27910772634406655</v>
      </c>
      <c r="F95">
        <f t="shared" si="12"/>
        <v>8.9000000000000065E-2</v>
      </c>
      <c r="G95">
        <f t="shared" ca="1" si="13"/>
        <v>1.1078544301566916E-2</v>
      </c>
      <c r="H95">
        <f t="shared" ca="1" si="15"/>
        <v>1.1078595809609203E-2</v>
      </c>
      <c r="I95">
        <f t="shared" ca="1" si="16"/>
        <v>1.0086282331653365E-2</v>
      </c>
      <c r="J95" s="5">
        <f t="shared" ca="1" si="17"/>
        <v>9.9231347795583798E-4</v>
      </c>
    </row>
    <row r="96" spans="1:10" x14ac:dyDescent="0.2">
      <c r="A96">
        <f t="shared" ca="1" si="9"/>
        <v>0.82833888945209233</v>
      </c>
      <c r="B96">
        <f t="shared" ca="1" si="10"/>
        <v>0.94762141312026105</v>
      </c>
      <c r="C96">
        <f t="shared" ca="1" si="14"/>
        <v>1.8960263402349966</v>
      </c>
      <c r="D96" s="21">
        <f t="shared" ca="1" si="11"/>
        <v>0.2546330717222236</v>
      </c>
      <c r="F96">
        <f t="shared" si="12"/>
        <v>9.0000000000000066E-2</v>
      </c>
      <c r="G96">
        <f t="shared" ca="1" si="13"/>
        <v>1.3760199377930094E-2</v>
      </c>
      <c r="H96">
        <f t="shared" ca="1" si="15"/>
        <v>1.3760384964696474E-2</v>
      </c>
      <c r="I96">
        <f t="shared" ca="1" si="16"/>
        <v>1.0114238794865319E-2</v>
      </c>
      <c r="J96" s="5">
        <f t="shared" ca="1" si="17"/>
        <v>3.6461461698311555E-3</v>
      </c>
    </row>
    <row r="97" spans="1:10" x14ac:dyDescent="0.2">
      <c r="A97">
        <f t="shared" ca="1" si="9"/>
        <v>0.91971057306711868</v>
      </c>
      <c r="B97">
        <f t="shared" ca="1" si="10"/>
        <v>1.4031273932352151</v>
      </c>
      <c r="C97">
        <f t="shared" ca="1" si="14"/>
        <v>3.2991537334702117</v>
      </c>
      <c r="D97" s="21">
        <f t="shared" ca="1" si="11"/>
        <v>0.14907261033866981</v>
      </c>
      <c r="F97">
        <f t="shared" si="12"/>
        <v>9.1000000000000067E-2</v>
      </c>
      <c r="G97">
        <f t="shared" ca="1" si="13"/>
        <v>1.6765315125956547E-2</v>
      </c>
      <c r="H97">
        <f t="shared" ca="1" si="15"/>
        <v>1.6765650951207398E-2</v>
      </c>
      <c r="I97">
        <f t="shared" ca="1" si="16"/>
        <v>1.0145556787640356E-2</v>
      </c>
      <c r="J97" s="5">
        <f t="shared" ca="1" si="17"/>
        <v>6.6200941635670418E-3</v>
      </c>
    </row>
    <row r="98" spans="1:10" x14ac:dyDescent="0.2">
      <c r="A98">
        <f t="shared" ca="1" si="9"/>
        <v>0.15204736418611153</v>
      </c>
      <c r="B98">
        <f t="shared" ca="1" si="10"/>
        <v>-1.0276920080609553</v>
      </c>
      <c r="C98">
        <f t="shared" ca="1" si="14"/>
        <v>2.2714617254092566</v>
      </c>
      <c r="D98" s="21">
        <f t="shared" ca="1" si="11"/>
        <v>0.23527177000614574</v>
      </c>
      <c r="F98">
        <f t="shared" si="12"/>
        <v>9.2000000000000068E-2</v>
      </c>
      <c r="G98">
        <f t="shared" ca="1" si="13"/>
        <v>2.1210494743605424E-2</v>
      </c>
      <c r="H98">
        <f t="shared" ca="1" si="15"/>
        <v>2.121105279611029E-2</v>
      </c>
      <c r="I98">
        <f t="shared" ca="1" si="16"/>
        <v>1.0191641597620413E-2</v>
      </c>
      <c r="J98" s="5">
        <f t="shared" ca="1" si="17"/>
        <v>1.1019411198489877E-2</v>
      </c>
    </row>
    <row r="99" spans="1:10" x14ac:dyDescent="0.2">
      <c r="A99">
        <f t="shared" ca="1" si="9"/>
        <v>0.26680368062608906</v>
      </c>
      <c r="B99">
        <f t="shared" ca="1" si="10"/>
        <v>-0.62250879679449356</v>
      </c>
      <c r="C99">
        <f t="shared" ca="1" si="14"/>
        <v>1.6489529286147631</v>
      </c>
      <c r="D99" s="21">
        <f t="shared" ca="1" si="11"/>
        <v>0.32867129393139949</v>
      </c>
      <c r="F99">
        <f t="shared" si="12"/>
        <v>9.3000000000000069E-2</v>
      </c>
      <c r="G99">
        <f t="shared" ca="1" si="13"/>
        <v>1.7968688307175639E-2</v>
      </c>
      <c r="H99">
        <f t="shared" ca="1" si="15"/>
        <v>1.7969084212205937E-2</v>
      </c>
      <c r="I99">
        <f t="shared" ca="1" si="16"/>
        <v>1.0159539188551702E-2</v>
      </c>
      <c r="J99" s="5">
        <f t="shared" ca="1" si="17"/>
        <v>7.8095450236542342E-3</v>
      </c>
    </row>
    <row r="100" spans="1:10" x14ac:dyDescent="0.2">
      <c r="A100">
        <f t="shared" ca="1" si="9"/>
        <v>0.61689023260918818</v>
      </c>
      <c r="B100">
        <f t="shared" ca="1" si="10"/>
        <v>0.29732350947879488</v>
      </c>
      <c r="C100">
        <f t="shared" ca="1" si="14"/>
        <v>1.946276438093558</v>
      </c>
      <c r="D100" s="21">
        <f t="shared" ca="1" si="11"/>
        <v>0.38169280555026913</v>
      </c>
      <c r="F100">
        <f t="shared" si="12"/>
        <v>9.400000000000007E-2</v>
      </c>
      <c r="G100">
        <f t="shared" ca="1" si="13"/>
        <v>1.6008443790022621E-2</v>
      </c>
      <c r="H100">
        <f t="shared" ca="1" si="15"/>
        <v>1.6008741642423194E-2</v>
      </c>
      <c r="I100">
        <f t="shared" ca="1" si="16"/>
        <v>1.0140522647724951E-2</v>
      </c>
      <c r="J100" s="5">
        <f t="shared" ca="1" si="17"/>
        <v>5.8682189946982436E-3</v>
      </c>
    </row>
    <row r="101" spans="1:10" x14ac:dyDescent="0.2">
      <c r="A101">
        <f t="shared" ca="1" si="9"/>
        <v>0.1161049337307809</v>
      </c>
      <c r="B101">
        <f t="shared" ca="1" si="10"/>
        <v>-1.19468565939381</v>
      </c>
      <c r="C101">
        <f t="shared" ca="1" si="14"/>
        <v>0.751590778699748</v>
      </c>
      <c r="D101" s="21">
        <f t="shared" ca="1" si="11"/>
        <v>0.19542561740531322</v>
      </c>
      <c r="F101">
        <f t="shared" si="12"/>
        <v>9.500000000000007E-2</v>
      </c>
      <c r="G101">
        <f t="shared" ca="1" si="13"/>
        <v>1.6957015008551603E-2</v>
      </c>
      <c r="H101">
        <f t="shared" ca="1" si="15"/>
        <v>1.6957360260126605E-2</v>
      </c>
      <c r="I101">
        <f t="shared" ca="1" si="16"/>
        <v>1.0151025749997704E-2</v>
      </c>
      <c r="J101" s="5">
        <f t="shared" ca="1" si="17"/>
        <v>6.8063345101289016E-3</v>
      </c>
    </row>
    <row r="102" spans="1:10" x14ac:dyDescent="0.2">
      <c r="A102">
        <f t="shared" ca="1" si="9"/>
        <v>0.4564996265491984</v>
      </c>
      <c r="B102">
        <f t="shared" ca="1" si="10"/>
        <v>-0.10925624135227896</v>
      </c>
      <c r="C102">
        <f t="shared" ca="1" si="14"/>
        <v>0.64233453734746904</v>
      </c>
      <c r="D102" s="21">
        <f t="shared" ca="1" si="11"/>
        <v>0.396568299662512</v>
      </c>
      <c r="F102">
        <f t="shared" si="12"/>
        <v>9.6000000000000071E-2</v>
      </c>
      <c r="G102">
        <f t="shared" ca="1" si="13"/>
        <v>1.318758000874333E-2</v>
      </c>
      <c r="H102">
        <f t="shared" ca="1" si="15"/>
        <v>1.3187736752476016E-2</v>
      </c>
      <c r="I102">
        <f t="shared" ca="1" si="16"/>
        <v>1.0113709014952689E-2</v>
      </c>
      <c r="J102" s="5">
        <f t="shared" ca="1" si="17"/>
        <v>3.0740277375233271E-3</v>
      </c>
    </row>
    <row r="103" spans="1:10" x14ac:dyDescent="0.2">
      <c r="A103">
        <f t="shared" ca="1" si="9"/>
        <v>0.57695748499855259</v>
      </c>
      <c r="B103">
        <f t="shared" ca="1" si="10"/>
        <v>0.1941160302950207</v>
      </c>
      <c r="C103">
        <f t="shared" ca="1" si="14"/>
        <v>0.83645056764248971</v>
      </c>
      <c r="D103" s="21">
        <f t="shared" ca="1" si="11"/>
        <v>0.39149636444525177</v>
      </c>
      <c r="F103">
        <f t="shared" si="12"/>
        <v>9.7000000000000072E-2</v>
      </c>
      <c r="G103">
        <f t="shared" ca="1" si="13"/>
        <v>1.2850779519641354E-2</v>
      </c>
      <c r="H103">
        <f t="shared" ca="1" si="15"/>
        <v>1.2850919407538491E-2</v>
      </c>
      <c r="I103">
        <f t="shared" ca="1" si="16"/>
        <v>1.0111175862583052E-2</v>
      </c>
      <c r="J103" s="5">
        <f t="shared" ca="1" si="17"/>
        <v>2.7397435449554395E-3</v>
      </c>
    </row>
    <row r="104" spans="1:10" x14ac:dyDescent="0.2">
      <c r="A104">
        <f t="shared" ca="1" si="9"/>
        <v>0.21283825175289206</v>
      </c>
      <c r="B104">
        <f t="shared" ca="1" si="10"/>
        <v>-0.7966118320936062</v>
      </c>
      <c r="C104">
        <f t="shared" ca="1" si="14"/>
        <v>3.9838735548883508E-2</v>
      </c>
      <c r="D104" s="21">
        <f t="shared" ca="1" si="11"/>
        <v>0.29047616951070004</v>
      </c>
      <c r="F104">
        <f t="shared" si="12"/>
        <v>9.8000000000000073E-2</v>
      </c>
      <c r="G104">
        <f t="shared" ca="1" si="13"/>
        <v>1.3473312100879818E-2</v>
      </c>
      <c r="H104">
        <f t="shared" ca="1" si="15"/>
        <v>1.3473483101680249E-2</v>
      </c>
      <c r="I104">
        <f t="shared" ca="1" si="16"/>
        <v>1.0118345698183526E-2</v>
      </c>
      <c r="J104" s="5">
        <f t="shared" ca="1" si="17"/>
        <v>3.3551374034967232E-3</v>
      </c>
    </row>
    <row r="105" spans="1:10" x14ac:dyDescent="0.2">
      <c r="A105">
        <f t="shared" ca="1" si="9"/>
        <v>0.70120899677228155</v>
      </c>
      <c r="B105">
        <f t="shared" ca="1" si="10"/>
        <v>0.52788089387985004</v>
      </c>
      <c r="C105">
        <f t="shared" ca="1" si="14"/>
        <v>0.56771962942873355</v>
      </c>
      <c r="D105" s="21">
        <f t="shared" ca="1" si="11"/>
        <v>0.34705651243012037</v>
      </c>
      <c r="F105">
        <f t="shared" si="12"/>
        <v>9.9000000000000074E-2</v>
      </c>
      <c r="G105">
        <f t="shared" ca="1" si="13"/>
        <v>1.0962982486737407E-2</v>
      </c>
      <c r="H105">
        <f t="shared" ca="1" si="15"/>
        <v>1.0963027952914666E-2</v>
      </c>
      <c r="I105">
        <f t="shared" ca="1" si="16"/>
        <v>1.0093847442651609E-2</v>
      </c>
      <c r="J105" s="5">
        <f t="shared" ca="1" si="17"/>
        <v>8.6918051026305641E-4</v>
      </c>
    </row>
    <row r="106" spans="1:10" x14ac:dyDescent="0.2">
      <c r="A106">
        <f t="shared" ca="1" si="9"/>
        <v>6.2462919511389159E-2</v>
      </c>
      <c r="B106">
        <f t="shared" ca="1" si="10"/>
        <v>-1.5344221208500088</v>
      </c>
      <c r="C106">
        <f t="shared" ca="1" si="14"/>
        <v>-0.96670249142127529</v>
      </c>
      <c r="D106" s="21">
        <f t="shared" ca="1" si="11"/>
        <v>0.12292705409422434</v>
      </c>
      <c r="F106">
        <f t="shared" si="12"/>
        <v>0.10000000000000007</v>
      </c>
      <c r="G106">
        <f t="shared" ca="1" si="13"/>
        <v>1.2641108239444122E-2</v>
      </c>
      <c r="H106">
        <f t="shared" ca="1" si="15"/>
        <v>1.2641237608065339E-2</v>
      </c>
      <c r="I106">
        <f t="shared" ca="1" si="16"/>
        <v>1.0111671797016979E-2</v>
      </c>
      <c r="J106" s="5">
        <f t="shared" ca="1" si="17"/>
        <v>2.5295658110483597E-3</v>
      </c>
    </row>
    <row r="107" spans="1:10" x14ac:dyDescent="0.2">
      <c r="A107">
        <f t="shared" ca="1" si="9"/>
        <v>0.22527166794398001</v>
      </c>
      <c r="B107">
        <f t="shared" ca="1" si="10"/>
        <v>-0.75450951204362138</v>
      </c>
      <c r="C107">
        <f t="shared" ca="1" si="14"/>
        <v>-1.7212120034648968</v>
      </c>
      <c r="D107" s="21">
        <f t="shared" ca="1" si="11"/>
        <v>0.30011761382072749</v>
      </c>
      <c r="F107">
        <f t="shared" si="12"/>
        <v>0.10100000000000008</v>
      </c>
      <c r="G107">
        <f t="shared" ca="1" si="13"/>
        <v>7.7978175011393603E-3</v>
      </c>
      <c r="H107">
        <f t="shared" ca="1" si="15"/>
        <v>7.7977046902723644E-3</v>
      </c>
      <c r="I107">
        <f t="shared" ca="1" si="16"/>
        <v>1.0063682096780187E-2</v>
      </c>
      <c r="J107" s="5">
        <f t="shared" ca="1" si="17"/>
        <v>2.2659774065078228E-3</v>
      </c>
    </row>
    <row r="108" spans="1:10" x14ac:dyDescent="0.2">
      <c r="A108">
        <f t="shared" ca="1" si="9"/>
        <v>0.13735979676028343</v>
      </c>
      <c r="B108">
        <f t="shared" ca="1" si="10"/>
        <v>-1.0922582775276386</v>
      </c>
      <c r="C108">
        <f t="shared" ca="1" si="14"/>
        <v>-2.8134702809925356</v>
      </c>
      <c r="D108" s="21">
        <f t="shared" ca="1" si="11"/>
        <v>0.2197087209389684</v>
      </c>
      <c r="F108">
        <f t="shared" si="12"/>
        <v>0.10200000000000008</v>
      </c>
      <c r="G108">
        <f t="shared" ca="1" si="13"/>
        <v>5.4211879775317769E-3</v>
      </c>
      <c r="H108">
        <f t="shared" ca="1" si="15"/>
        <v>5.420956345483249E-3</v>
      </c>
      <c r="I108">
        <f t="shared" ca="1" si="16"/>
        <v>1.0040652907002016E-2</v>
      </c>
      <c r="J108" s="5">
        <f t="shared" ca="1" si="17"/>
        <v>4.6196965615187668E-3</v>
      </c>
    </row>
    <row r="109" spans="1:10" x14ac:dyDescent="0.2">
      <c r="A109">
        <f t="shared" ca="1" si="9"/>
        <v>0.54479803561197782</v>
      </c>
      <c r="B109">
        <f t="shared" ca="1" si="10"/>
        <v>0.1125290609380456</v>
      </c>
      <c r="C109">
        <f t="shared" ca="1" si="14"/>
        <v>-2.70094122005449</v>
      </c>
      <c r="D109" s="21">
        <f t="shared" ca="1" si="11"/>
        <v>0.39642439859361633</v>
      </c>
      <c r="F109">
        <f t="shared" si="12"/>
        <v>0.10300000000000008</v>
      </c>
      <c r="G109">
        <f t="shared" ca="1" si="13"/>
        <v>1.9767941296980197E-3</v>
      </c>
      <c r="H109">
        <f t="shared" ca="1" si="15"/>
        <v>1.976390299689055E-3</v>
      </c>
      <c r="I109">
        <f t="shared" ca="1" si="16"/>
        <v>1.0006982694595625E-2</v>
      </c>
      <c r="J109" s="5">
        <f t="shared" ca="1" si="17"/>
        <v>8.0305923949065706E-3</v>
      </c>
    </row>
    <row r="110" spans="1:10" x14ac:dyDescent="0.2">
      <c r="A110">
        <f t="shared" ca="1" si="9"/>
        <v>0.55324557606171343</v>
      </c>
      <c r="B110">
        <f t="shared" ca="1" si="10"/>
        <v>0.1338656060032023</v>
      </c>
      <c r="C110">
        <f t="shared" ca="1" si="14"/>
        <v>-2.5670756140512876</v>
      </c>
      <c r="D110" s="21">
        <f t="shared" ca="1" si="11"/>
        <v>0.39538372361716478</v>
      </c>
      <c r="F110">
        <f t="shared" si="12"/>
        <v>0.10400000000000008</v>
      </c>
      <c r="G110">
        <f t="shared" ca="1" si="13"/>
        <v>2.3424263040440069E-3</v>
      </c>
      <c r="H110">
        <f t="shared" ca="1" si="15"/>
        <v>2.3420407961831937E-3</v>
      </c>
      <c r="I110">
        <f t="shared" ca="1" si="16"/>
        <v>1.0011495341268436E-2</v>
      </c>
      <c r="J110" s="5">
        <f t="shared" ca="1" si="17"/>
        <v>7.6694545450852417E-3</v>
      </c>
    </row>
    <row r="111" spans="1:10" x14ac:dyDescent="0.2">
      <c r="A111">
        <f t="shared" ca="1" si="9"/>
        <v>0.67821580245981961</v>
      </c>
      <c r="B111">
        <f t="shared" ca="1" si="10"/>
        <v>0.46271537654394646</v>
      </c>
      <c r="C111">
        <f t="shared" ca="1" si="14"/>
        <v>-2.1043602375073411</v>
      </c>
      <c r="D111" s="21">
        <f t="shared" ca="1" si="11"/>
        <v>0.3584409691930841</v>
      </c>
      <c r="F111">
        <f t="shared" si="12"/>
        <v>0.10500000000000008</v>
      </c>
      <c r="G111">
        <f t="shared" ca="1" si="13"/>
        <v>2.7754906233419508E-3</v>
      </c>
      <c r="H111">
        <f t="shared" ca="1" si="15"/>
        <v>2.7751268074324041E-3</v>
      </c>
      <c r="I111">
        <f t="shared" ca="1" si="16"/>
        <v>1.0016685846745239E-2</v>
      </c>
      <c r="J111" s="5">
        <f t="shared" ca="1" si="17"/>
        <v>7.2415590393128349E-3</v>
      </c>
    </row>
    <row r="112" spans="1:10" x14ac:dyDescent="0.2">
      <c r="A112">
        <f t="shared" ca="1" si="9"/>
        <v>0.43036275741576013</v>
      </c>
      <c r="B112">
        <f t="shared" ca="1" si="10"/>
        <v>-0.17545068815100939</v>
      </c>
      <c r="C112">
        <f t="shared" ca="1" si="14"/>
        <v>-2.2798109256583503</v>
      </c>
      <c r="D112" s="21">
        <f t="shared" ca="1" si="11"/>
        <v>0.39284898415772385</v>
      </c>
      <c r="F112">
        <f t="shared" si="12"/>
        <v>0.10600000000000008</v>
      </c>
      <c r="G112">
        <f t="shared" ca="1" si="13"/>
        <v>4.2483739277579544E-3</v>
      </c>
      <c r="H112">
        <f t="shared" ca="1" si="15"/>
        <v>4.2480837930129823E-3</v>
      </c>
      <c r="I112">
        <f t="shared" ca="1" si="16"/>
        <v>1.0032306359239934E-2</v>
      </c>
      <c r="J112" s="5">
        <f t="shared" ca="1" si="17"/>
        <v>5.7842225662269519E-3</v>
      </c>
    </row>
    <row r="113" spans="1:10" x14ac:dyDescent="0.2">
      <c r="A113">
        <f t="shared" ca="1" si="9"/>
        <v>0.17607369526683525</v>
      </c>
      <c r="B113">
        <f t="shared" ca="1" si="10"/>
        <v>-0.93043212771019179</v>
      </c>
      <c r="C113">
        <f t="shared" ca="1" si="14"/>
        <v>-3.2102430533685422</v>
      </c>
      <c r="D113" s="21">
        <f t="shared" ca="1" si="11"/>
        <v>0.25877650487674569</v>
      </c>
      <c r="F113">
        <f t="shared" si="12"/>
        <v>0.10700000000000008</v>
      </c>
      <c r="G113">
        <f t="shared" ca="1" si="13"/>
        <v>3.703152560055648E-3</v>
      </c>
      <c r="H113">
        <f t="shared" ca="1" si="15"/>
        <v>3.702835193032575E-3</v>
      </c>
      <c r="I113">
        <f t="shared" ca="1" si="16"/>
        <v>1.0027694326533771E-2</v>
      </c>
      <c r="J113" s="5">
        <f t="shared" ca="1" si="17"/>
        <v>6.3248591335011957E-3</v>
      </c>
    </row>
    <row r="114" spans="1:10" x14ac:dyDescent="0.2">
      <c r="A114">
        <f t="shared" ca="1" si="9"/>
        <v>3.3913171203661219E-2</v>
      </c>
      <c r="B114">
        <f t="shared" ca="1" si="10"/>
        <v>-1.8261588190741889</v>
      </c>
      <c r="C114">
        <f t="shared" ca="1" si="14"/>
        <v>-5.0364018724427311</v>
      </c>
      <c r="D114" s="21">
        <f t="shared" ca="1" si="11"/>
        <v>7.5293117497752277E-2</v>
      </c>
      <c r="F114">
        <f t="shared" si="12"/>
        <v>0.10800000000000008</v>
      </c>
      <c r="G114">
        <f t="shared" ca="1" si="13"/>
        <v>7.7064413967767786E-4</v>
      </c>
      <c r="H114">
        <f t="shared" ca="1" si="15"/>
        <v>7.7018017775239925E-4</v>
      </c>
      <c r="I114">
        <f t="shared" ca="1" si="16"/>
        <v>9.9991832344433519E-3</v>
      </c>
      <c r="J114" s="5">
        <f t="shared" ca="1" si="17"/>
        <v>9.2290030566909535E-3</v>
      </c>
    </row>
    <row r="115" spans="1:10" x14ac:dyDescent="0.2">
      <c r="A115">
        <f t="shared" ca="1" si="9"/>
        <v>0.5456351270637122</v>
      </c>
      <c r="B115">
        <f t="shared" ca="1" si="10"/>
        <v>0.11464091769135654</v>
      </c>
      <c r="C115">
        <f t="shared" ca="1" si="14"/>
        <v>-4.9217609547513748</v>
      </c>
      <c r="D115" s="21">
        <f t="shared" ca="1" si="11"/>
        <v>0.39632931760535361</v>
      </c>
      <c r="F115">
        <f t="shared" si="12"/>
        <v>0.10900000000000008</v>
      </c>
      <c r="G115">
        <f t="shared" ca="1" si="13"/>
        <v>-4.9939659293127868E-3</v>
      </c>
      <c r="H115">
        <f t="shared" ca="1" si="15"/>
        <v>-4.9947180777431526E-3</v>
      </c>
      <c r="I115">
        <f t="shared" ca="1" si="16"/>
        <v>9.9425506448923007E-3</v>
      </c>
      <c r="J115" s="5">
        <f t="shared" ca="1" si="17"/>
        <v>1.4937268722635453E-2</v>
      </c>
    </row>
    <row r="116" spans="1:10" x14ac:dyDescent="0.2">
      <c r="A116">
        <f t="shared" ca="1" si="9"/>
        <v>0.69219708788419287</v>
      </c>
      <c r="B116">
        <f t="shared" ca="1" si="10"/>
        <v>0.50208771093544458</v>
      </c>
      <c r="C116">
        <f t="shared" ca="1" si="14"/>
        <v>-4.4196732438159305</v>
      </c>
      <c r="D116" s="21">
        <f t="shared" ca="1" si="11"/>
        <v>0.35169724674889674</v>
      </c>
      <c r="F116">
        <f t="shared" si="12"/>
        <v>0.11000000000000008</v>
      </c>
      <c r="G116">
        <f t="shared" ca="1" si="13"/>
        <v>-4.6209587702810253E-3</v>
      </c>
      <c r="H116">
        <f t="shared" ca="1" si="15"/>
        <v>-4.6216921929787998E-3</v>
      </c>
      <c r="I116">
        <f t="shared" ca="1" si="16"/>
        <v>9.9471006652223654E-3</v>
      </c>
      <c r="J116" s="5">
        <f t="shared" ca="1" si="17"/>
        <v>1.4568792858201165E-2</v>
      </c>
    </row>
    <row r="117" spans="1:10" x14ac:dyDescent="0.2">
      <c r="A117">
        <f t="shared" ca="1" si="9"/>
        <v>0.68611310054562491</v>
      </c>
      <c r="B117">
        <f t="shared" ca="1" si="10"/>
        <v>0.48486262082491582</v>
      </c>
      <c r="C117">
        <f t="shared" ca="1" si="14"/>
        <v>-3.9348106229910149</v>
      </c>
      <c r="D117" s="21">
        <f t="shared" ca="1" si="11"/>
        <v>0.35469946917811507</v>
      </c>
      <c r="F117">
        <f t="shared" si="12"/>
        <v>0.11100000000000008</v>
      </c>
      <c r="G117">
        <f t="shared" ca="1" si="13"/>
        <v>-3.0228358294850577E-3</v>
      </c>
      <c r="H117">
        <f t="shared" ca="1" si="15"/>
        <v>-3.0234892720232666E-3</v>
      </c>
      <c r="I117">
        <f t="shared" ca="1" si="16"/>
        <v>9.9638531479630081E-3</v>
      </c>
      <c r="J117" s="5">
        <f t="shared" ca="1" si="17"/>
        <v>1.2987342419986274E-2</v>
      </c>
    </row>
    <row r="118" spans="1:10" x14ac:dyDescent="0.2">
      <c r="A118">
        <f t="shared" ca="1" si="9"/>
        <v>0.63977483455405482</v>
      </c>
      <c r="B118">
        <f t="shared" ca="1" si="10"/>
        <v>0.35785700085243488</v>
      </c>
      <c r="C118">
        <f t="shared" ca="1" si="14"/>
        <v>-3.5769536221385803</v>
      </c>
      <c r="D118" s="21">
        <f t="shared" ca="1" si="11"/>
        <v>0.37419832186940855</v>
      </c>
      <c r="F118">
        <f t="shared" si="12"/>
        <v>0.11200000000000009</v>
      </c>
      <c r="G118">
        <f t="shared" ca="1" si="13"/>
        <v>-1.4793404872313262E-3</v>
      </c>
      <c r="H118">
        <f t="shared" ca="1" si="15"/>
        <v>-1.4799166890107412E-3</v>
      </c>
      <c r="I118">
        <f t="shared" ca="1" si="16"/>
        <v>9.9800902090348559E-3</v>
      </c>
      <c r="J118" s="5">
        <f t="shared" ca="1" si="17"/>
        <v>1.1460006898045598E-2</v>
      </c>
    </row>
    <row r="119" spans="1:10" x14ac:dyDescent="0.2">
      <c r="A119">
        <f t="shared" ca="1" si="9"/>
        <v>0.88695903001800946</v>
      </c>
      <c r="B119">
        <f t="shared" ca="1" si="10"/>
        <v>1.2105134315615829</v>
      </c>
      <c r="C119">
        <f t="shared" ca="1" si="14"/>
        <v>-2.3664401905769976</v>
      </c>
      <c r="D119" s="21">
        <f t="shared" ca="1" si="11"/>
        <v>0.19174097291675171</v>
      </c>
      <c r="F119">
        <f t="shared" si="12"/>
        <v>0.11300000000000009</v>
      </c>
      <c r="G119">
        <f t="shared" ca="1" si="13"/>
        <v>-3.3760644103436035E-4</v>
      </c>
      <c r="H119">
        <f t="shared" ca="1" si="15"/>
        <v>-3.3812549801132846E-4</v>
      </c>
      <c r="I119">
        <f t="shared" ca="1" si="16"/>
        <v>9.9923397301784362E-3</v>
      </c>
      <c r="J119" s="5">
        <f t="shared" ca="1" si="17"/>
        <v>1.0330465228189764E-2</v>
      </c>
    </row>
    <row r="120" spans="1:10" x14ac:dyDescent="0.2">
      <c r="A120">
        <f t="shared" ca="1" si="9"/>
        <v>0.48439745020245584</v>
      </c>
      <c r="B120">
        <f t="shared" ca="1" si="10"/>
        <v>-3.9119768052432467E-2</v>
      </c>
      <c r="C120">
        <f t="shared" ca="1" si="14"/>
        <v>-2.4055599586294303</v>
      </c>
      <c r="D120" s="21">
        <f t="shared" ca="1" si="11"/>
        <v>0.39863713525492223</v>
      </c>
      <c r="F120">
        <f t="shared" si="12"/>
        <v>0.11400000000000009</v>
      </c>
      <c r="G120">
        <f t="shared" ca="1" si="13"/>
        <v>3.5002150088949027E-3</v>
      </c>
      <c r="H120">
        <f t="shared" ca="1" si="15"/>
        <v>3.4998878964994304E-3</v>
      </c>
      <c r="I120">
        <f t="shared" ca="1" si="16"/>
        <v>1.0031616465459577E-2</v>
      </c>
      <c r="J120" s="5">
        <f t="shared" ca="1" si="17"/>
        <v>6.5317285689601469E-3</v>
      </c>
    </row>
    <row r="121" spans="1:10" x14ac:dyDescent="0.2">
      <c r="A121">
        <f t="shared" ca="1" si="9"/>
        <v>0.69744510361056944</v>
      </c>
      <c r="B121">
        <f t="shared" ca="1" si="10"/>
        <v>0.51706642147506343</v>
      </c>
      <c r="C121">
        <f t="shared" ca="1" si="14"/>
        <v>-1.8884935371543667</v>
      </c>
      <c r="D121" s="21">
        <f t="shared" ca="1" si="11"/>
        <v>0.34902302829152848</v>
      </c>
      <c r="F121">
        <f t="shared" si="12"/>
        <v>0.11500000000000009</v>
      </c>
      <c r="G121">
        <f t="shared" ca="1" si="13"/>
        <v>3.3861631214487115E-3</v>
      </c>
      <c r="H121">
        <f t="shared" ca="1" si="15"/>
        <v>3.3858303391266042E-3</v>
      </c>
      <c r="I121">
        <f t="shared" ca="1" si="16"/>
        <v>1.0031328486275505E-2</v>
      </c>
      <c r="J121" s="5">
        <f t="shared" ca="1" si="17"/>
        <v>6.6454981471489004E-3</v>
      </c>
    </row>
    <row r="122" spans="1:10" x14ac:dyDescent="0.2">
      <c r="A122">
        <f t="shared" ca="1" si="9"/>
        <v>0.69373656675906004</v>
      </c>
      <c r="B122">
        <f t="shared" ca="1" si="10"/>
        <v>0.50646982659202644</v>
      </c>
      <c r="C122">
        <f t="shared" ca="1" si="14"/>
        <v>-1.3820237105623403</v>
      </c>
      <c r="D122" s="21">
        <f t="shared" ca="1" si="11"/>
        <v>0.35092092147965248</v>
      </c>
      <c r="F122">
        <f t="shared" si="12"/>
        <v>0.11600000000000009</v>
      </c>
      <c r="G122">
        <f t="shared" ca="1" si="13"/>
        <v>5.0308498635639378E-3</v>
      </c>
      <c r="H122">
        <f t="shared" ca="1" si="15"/>
        <v>5.0305993495464926E-3</v>
      </c>
      <c r="I122">
        <f t="shared" ca="1" si="16"/>
        <v>1.0048698785772733E-2</v>
      </c>
      <c r="J122" s="5">
        <f t="shared" ca="1" si="17"/>
        <v>5.0180994362262407E-3</v>
      </c>
    </row>
    <row r="123" spans="1:10" x14ac:dyDescent="0.2">
      <c r="A123">
        <f t="shared" ca="1" si="9"/>
        <v>0.65354827561869888</v>
      </c>
      <c r="B123">
        <f t="shared" ca="1" si="10"/>
        <v>0.39491794126253449</v>
      </c>
      <c r="C123">
        <f t="shared" ca="1" si="14"/>
        <v>-0.98710576929980576</v>
      </c>
      <c r="D123" s="21">
        <f t="shared" ca="1" si="11"/>
        <v>0.36901476456522792</v>
      </c>
      <c r="F123">
        <f t="shared" si="12"/>
        <v>0.11700000000000009</v>
      </c>
      <c r="G123">
        <f t="shared" ca="1" si="13"/>
        <v>6.6418644453545847E-3</v>
      </c>
      <c r="H123">
        <f t="shared" ca="1" si="15"/>
        <v>6.6416945077928564E-3</v>
      </c>
      <c r="I123">
        <f t="shared" ca="1" si="16"/>
        <v>1.006576186072607E-2</v>
      </c>
      <c r="J123" s="5">
        <f t="shared" ca="1" si="17"/>
        <v>3.4240673529332133E-3</v>
      </c>
    </row>
    <row r="124" spans="1:10" x14ac:dyDescent="0.2">
      <c r="A124">
        <f t="shared" ca="1" si="9"/>
        <v>0.99768632106516697</v>
      </c>
      <c r="B124">
        <f t="shared" ca="1" si="10"/>
        <v>2.8318912843437856</v>
      </c>
      <c r="C124">
        <f t="shared" ca="1" si="14"/>
        <v>1.8447855150439798</v>
      </c>
      <c r="D124" s="21">
        <f t="shared" ca="1" si="11"/>
        <v>7.2355951938336974E-3</v>
      </c>
      <c r="F124">
        <f t="shared" si="12"/>
        <v>0.11800000000000009</v>
      </c>
      <c r="G124">
        <f t="shared" ca="1" si="13"/>
        <v>7.8999775359816053E-3</v>
      </c>
      <c r="H124">
        <f t="shared" ca="1" si="15"/>
        <v>7.8998705215962781E-3</v>
      </c>
      <c r="I124">
        <f t="shared" ca="1" si="16"/>
        <v>1.0079297728974371E-2</v>
      </c>
      <c r="J124" s="5">
        <f t="shared" ca="1" si="17"/>
        <v>2.1794272073780933E-3</v>
      </c>
    </row>
    <row r="125" spans="1:10" x14ac:dyDescent="0.2">
      <c r="A125">
        <f t="shared" ca="1" si="9"/>
        <v>0.43412606101552109</v>
      </c>
      <c r="B125">
        <f t="shared" ca="1" si="10"/>
        <v>-0.16587906616051387</v>
      </c>
      <c r="C125">
        <f t="shared" ca="1" si="14"/>
        <v>1.678906448883466</v>
      </c>
      <c r="D125" s="21">
        <f t="shared" ca="1" si="11"/>
        <v>0.39349124300082527</v>
      </c>
      <c r="F125">
        <f t="shared" si="12"/>
        <v>0.11900000000000009</v>
      </c>
      <c r="G125">
        <f t="shared" ca="1" si="13"/>
        <v>1.6863965879577822E-2</v>
      </c>
      <c r="H125">
        <f t="shared" ca="1" si="15"/>
        <v>1.6864307079050012E-2</v>
      </c>
      <c r="I125">
        <f t="shared" ca="1" si="16"/>
        <v>1.0170931685412278E-2</v>
      </c>
      <c r="J125" s="5">
        <f t="shared" ca="1" si="17"/>
        <v>6.6933753936377332E-3</v>
      </c>
    </row>
    <row r="126" spans="1:10" x14ac:dyDescent="0.2">
      <c r="A126">
        <f t="shared" ca="1" si="9"/>
        <v>0.62715886186372816</v>
      </c>
      <c r="B126">
        <f t="shared" ca="1" si="10"/>
        <v>0.32433783770685509</v>
      </c>
      <c r="C126">
        <f t="shared" ca="1" si="14"/>
        <v>2.0032442865903208</v>
      </c>
      <c r="D126" s="21">
        <f t="shared" ca="1" si="11"/>
        <v>0.37850119470525889</v>
      </c>
      <c r="F126">
        <f t="shared" si="12"/>
        <v>0.12000000000000009</v>
      </c>
      <c r="G126">
        <f t="shared" ca="1" si="13"/>
        <v>1.6347749628805048E-2</v>
      </c>
      <c r="H126">
        <f t="shared" ca="1" si="15"/>
        <v>1.6348064983133122E-2</v>
      </c>
      <c r="I126">
        <f t="shared" ca="1" si="16"/>
        <v>1.0166563642312351E-2</v>
      </c>
      <c r="J126" s="5">
        <f t="shared" ca="1" si="17"/>
        <v>6.1815013408207716E-3</v>
      </c>
    </row>
    <row r="127" spans="1:10" x14ac:dyDescent="0.2">
      <c r="A127">
        <f t="shared" ca="1" si="9"/>
        <v>3.6166594277173281E-2</v>
      </c>
      <c r="B127">
        <f t="shared" ca="1" si="10"/>
        <v>-1.7970153144516612</v>
      </c>
      <c r="C127">
        <f t="shared" ca="1" si="14"/>
        <v>0.20622897213865965</v>
      </c>
      <c r="D127" s="21">
        <f t="shared" ca="1" si="11"/>
        <v>7.9375100677544358E-2</v>
      </c>
      <c r="F127">
        <f t="shared" si="12"/>
        <v>0.12100000000000009</v>
      </c>
      <c r="G127">
        <f t="shared" ca="1" si="13"/>
        <v>1.7381709453944304E-2</v>
      </c>
      <c r="H127">
        <f t="shared" ca="1" si="15"/>
        <v>1.7382076475162513E-2</v>
      </c>
      <c r="I127">
        <f t="shared" ca="1" si="16"/>
        <v>1.0177963150442145E-2</v>
      </c>
      <c r="J127" s="5">
        <f t="shared" ca="1" si="17"/>
        <v>7.2041133247203685E-3</v>
      </c>
    </row>
    <row r="128" spans="1:10" x14ac:dyDescent="0.2">
      <c r="A128">
        <f t="shared" ca="1" si="9"/>
        <v>7.1139600005009851E-2</v>
      </c>
      <c r="B128">
        <f t="shared" ca="1" si="10"/>
        <v>-1.4673561370355346</v>
      </c>
      <c r="C128">
        <f t="shared" ca="1" si="14"/>
        <v>-1.2611271648968749</v>
      </c>
      <c r="D128" s="21">
        <f t="shared" ca="1" si="11"/>
        <v>0.13594490988952371</v>
      </c>
      <c r="F128">
        <f t="shared" si="12"/>
        <v>0.12200000000000009</v>
      </c>
      <c r="G128">
        <f t="shared" ca="1" si="13"/>
        <v>1.1707593607281115E-2</v>
      </c>
      <c r="H128">
        <f t="shared" ca="1" si="15"/>
        <v>1.1707676883644054E-2</v>
      </c>
      <c r="I128">
        <f t="shared" ca="1" si="16"/>
        <v>1.0121250731233352E-2</v>
      </c>
      <c r="J128" s="5">
        <f t="shared" ca="1" si="17"/>
        <v>1.5864261524107023E-3</v>
      </c>
    </row>
    <row r="129" spans="1:10" x14ac:dyDescent="0.2">
      <c r="A129">
        <f t="shared" ca="1" si="9"/>
        <v>0.34943401869718971</v>
      </c>
      <c r="B129">
        <f t="shared" ca="1" si="10"/>
        <v>-0.38684894840057843</v>
      </c>
      <c r="C129">
        <f t="shared" ca="1" si="14"/>
        <v>-1.6479761132974533</v>
      </c>
      <c r="D129" s="21">
        <f t="shared" ca="1" si="11"/>
        <v>0.37018048771601653</v>
      </c>
      <c r="F129">
        <f t="shared" si="12"/>
        <v>0.1230000000000001</v>
      </c>
      <c r="G129">
        <f t="shared" ca="1" si="13"/>
        <v>7.0764668745245769E-3</v>
      </c>
      <c r="H129">
        <f t="shared" ca="1" si="15"/>
        <v>7.0763185842972467E-3</v>
      </c>
      <c r="I129">
        <f t="shared" ca="1" si="16"/>
        <v>1.0075352136482446E-2</v>
      </c>
      <c r="J129" s="5">
        <f t="shared" ca="1" si="17"/>
        <v>2.9990335521851994E-3</v>
      </c>
    </row>
    <row r="130" spans="1:10" x14ac:dyDescent="0.2">
      <c r="A130">
        <f t="shared" ca="1" si="9"/>
        <v>0.12515239950601997</v>
      </c>
      <c r="B130">
        <f t="shared" ca="1" si="10"/>
        <v>-1.1496093655605537</v>
      </c>
      <c r="C130">
        <f t="shared" ca="1" si="14"/>
        <v>-2.7975854788580072</v>
      </c>
      <c r="D130" s="21">
        <f t="shared" ca="1" si="11"/>
        <v>0.20602878645201933</v>
      </c>
      <c r="F130">
        <f t="shared" si="12"/>
        <v>0.1240000000000001</v>
      </c>
      <c r="G130">
        <f t="shared" ca="1" si="13"/>
        <v>5.8624961394890557E-3</v>
      </c>
      <c r="H130">
        <f t="shared" ca="1" si="15"/>
        <v>5.8622871650520379E-3</v>
      </c>
      <c r="I130">
        <f t="shared" ca="1" si="16"/>
        <v>1.006399028812785E-2</v>
      </c>
      <c r="J130" s="5">
        <f t="shared" ca="1" si="17"/>
        <v>4.2017031230758119E-3</v>
      </c>
    </row>
    <row r="131" spans="1:10" x14ac:dyDescent="0.2">
      <c r="A131">
        <f t="shared" ca="1" si="9"/>
        <v>0.73000716024353851</v>
      </c>
      <c r="B131">
        <f t="shared" ca="1" si="10"/>
        <v>0.61283464650753272</v>
      </c>
      <c r="C131">
        <f t="shared" ca="1" si="14"/>
        <v>-2.1847508323504745</v>
      </c>
      <c r="D131" s="21">
        <f t="shared" ca="1" si="11"/>
        <v>0.33064113197905165</v>
      </c>
      <c r="F131">
        <f t="shared" si="12"/>
        <v>0.12500000000000008</v>
      </c>
      <c r="G131">
        <f t="shared" ca="1" si="13"/>
        <v>2.2367071661981396E-3</v>
      </c>
      <c r="H131">
        <f t="shared" ca="1" si="15"/>
        <v>2.2363169217030502E-3</v>
      </c>
      <c r="I131">
        <f t="shared" ca="1" si="16"/>
        <v>1.0028422896052597E-2</v>
      </c>
      <c r="J131" s="5">
        <f t="shared" ca="1" si="17"/>
        <v>7.7921059743495469E-3</v>
      </c>
    </row>
    <row r="132" spans="1:10" x14ac:dyDescent="0.2">
      <c r="A132">
        <f t="shared" ca="1" si="9"/>
        <v>0.69936463735447529</v>
      </c>
      <c r="B132">
        <f t="shared" ca="1" si="10"/>
        <v>0.52257401786326974</v>
      </c>
      <c r="C132">
        <f t="shared" ca="1" si="14"/>
        <v>-1.6621768144872049</v>
      </c>
      <c r="D132" s="21">
        <f t="shared" ca="1" si="11"/>
        <v>0.3480252183613779</v>
      </c>
      <c r="F132">
        <f t="shared" si="12"/>
        <v>0.12600000000000008</v>
      </c>
      <c r="G132">
        <f t="shared" ca="1" si="13"/>
        <v>4.184339425080931E-3</v>
      </c>
      <c r="H132">
        <f t="shared" ca="1" si="15"/>
        <v>4.1840466020388357E-3</v>
      </c>
      <c r="I132">
        <f t="shared" ca="1" si="16"/>
        <v>1.0048830948874132E-2</v>
      </c>
      <c r="J132" s="5">
        <f t="shared" ca="1" si="17"/>
        <v>5.8647843468352962E-3</v>
      </c>
    </row>
    <row r="133" spans="1:10" x14ac:dyDescent="0.2">
      <c r="A133">
        <f t="shared" ca="1" si="9"/>
        <v>0.24596958894998322</v>
      </c>
      <c r="B133">
        <f t="shared" ca="1" si="10"/>
        <v>-0.68722781665940713</v>
      </c>
      <c r="C133">
        <f t="shared" ca="1" si="14"/>
        <v>-2.3494046311466121</v>
      </c>
      <c r="D133" s="21">
        <f t="shared" ca="1" si="11"/>
        <v>0.31503246902460802</v>
      </c>
      <c r="F133">
        <f t="shared" si="12"/>
        <v>0.12700000000000009</v>
      </c>
      <c r="G133">
        <f t="shared" ca="1" si="13"/>
        <v>5.8463620317850233E-3</v>
      </c>
      <c r="H133">
        <f t="shared" ca="1" si="15"/>
        <v>5.8461523398520817E-3</v>
      </c>
      <c r="I133">
        <f t="shared" ca="1" si="16"/>
        <v>1.0066406876266806E-2</v>
      </c>
      <c r="J133" s="5">
        <f t="shared" ca="1" si="17"/>
        <v>4.2202545364147239E-3</v>
      </c>
    </row>
    <row r="134" spans="1:10" x14ac:dyDescent="0.2">
      <c r="A134">
        <f t="shared" ca="1" si="9"/>
        <v>0.52355928668163709</v>
      </c>
      <c r="B134">
        <f t="shared" ca="1" si="10"/>
        <v>5.9088740644737958E-2</v>
      </c>
      <c r="C134">
        <f t="shared" ca="1" si="14"/>
        <v>-2.2903158905018741</v>
      </c>
      <c r="D134" s="21">
        <f t="shared" ca="1" si="11"/>
        <v>0.39824643860628489</v>
      </c>
      <c r="F134">
        <f t="shared" si="12"/>
        <v>0.12800000000000009</v>
      </c>
      <c r="G134">
        <f t="shared" ca="1" si="13"/>
        <v>3.6826804084923032E-3</v>
      </c>
      <c r="H134">
        <f t="shared" ca="1" si="15"/>
        <v>3.6823625525497622E-3</v>
      </c>
      <c r="I134">
        <f t="shared" ca="1" si="16"/>
        <v>1.0045508540468725E-2</v>
      </c>
      <c r="J134" s="5">
        <f t="shared" ca="1" si="17"/>
        <v>6.3631459879189625E-3</v>
      </c>
    </row>
    <row r="135" spans="1:10" x14ac:dyDescent="0.2">
      <c r="A135">
        <f t="shared" ref="A135:A198" ca="1" si="18">RAND()</f>
        <v>0.46071484927709883</v>
      </c>
      <c r="B135">
        <f t="shared" ref="B135:B198" ca="1" si="19">NORMSINV(A135)</f>
        <v>-9.8632960957778876E-2</v>
      </c>
      <c r="C135">
        <f t="shared" ca="1" si="14"/>
        <v>-2.3889488514596531</v>
      </c>
      <c r="D135" s="21">
        <f t="shared" ref="D135:D198" ca="1" si="20">_xlfn.NORM.DIST(B135,0,1,FALSE)</f>
        <v>0.39700644518717731</v>
      </c>
      <c r="F135">
        <f t="shared" ref="F135:F198" si="21">F134+$M$2/$N$2</f>
        <v>0.12900000000000009</v>
      </c>
      <c r="G135">
        <f t="shared" ref="G135:G198" ca="1" si="22">G134*EXP(-$M$4*$O$2) + $O$4*(1-EXP(-$M$4*$O$2)) + $N$4* SQRT((1-EXP(-2*$M$4*$O$2))/(2*$M$4)) *B134</f>
        <v>3.8791573210282854E-3</v>
      </c>
      <c r="H135">
        <f t="shared" ca="1" si="15"/>
        <v>3.8788493208028454E-3</v>
      </c>
      <c r="I135">
        <f t="shared" ca="1" si="16"/>
        <v>1.0048340316380048E-2</v>
      </c>
      <c r="J135" s="5">
        <f t="shared" ca="1" si="17"/>
        <v>6.1694909955772028E-3</v>
      </c>
    </row>
    <row r="136" spans="1:10" x14ac:dyDescent="0.2">
      <c r="A136">
        <f t="shared" ca="1" si="18"/>
        <v>0.34714064515169896</v>
      </c>
      <c r="B136">
        <f t="shared" ca="1" si="19"/>
        <v>-0.3930517088045351</v>
      </c>
      <c r="C136">
        <f t="shared" ref="C136:C199" ca="1" si="23">B136+C135</f>
        <v>-2.782000560264188</v>
      </c>
      <c r="D136" s="21">
        <f t="shared" ca="1" si="20"/>
        <v>0.36928618881563818</v>
      </c>
      <c r="F136">
        <f t="shared" si="21"/>
        <v>0.13000000000000009</v>
      </c>
      <c r="G136">
        <f t="shared" ca="1" si="22"/>
        <v>3.576879710305621E-3</v>
      </c>
      <c r="H136">
        <f t="shared" ref="H136:H199" ca="1" si="24">H135+($M$6 + $N$6*H135)*$O$2 + $O$6*H135^$P$6*SQRT($O$2)*B135</f>
        <v>3.576556626877721E-3</v>
      </c>
      <c r="I136">
        <f t="shared" ref="I136:I199" ca="1" si="25">I135*EXP(($M$8-0.5*($N$8^2))*$O$2 + $N$8*SQRT($O$2)*B135)</f>
        <v>1.0046161019401569E-2</v>
      </c>
      <c r="J136" s="5">
        <f t="shared" ref="J136:J199" ca="1" si="26">ABS(H136-I136)</f>
        <v>6.4696043925238471E-3</v>
      </c>
    </row>
    <row r="137" spans="1:10" x14ac:dyDescent="0.2">
      <c r="A137">
        <f t="shared" ca="1" si="18"/>
        <v>0.98515363128044087</v>
      </c>
      <c r="B137">
        <f t="shared" ca="1" si="19"/>
        <v>2.1741651121230525</v>
      </c>
      <c r="C137">
        <f t="shared" ca="1" si="23"/>
        <v>-0.60783544814113544</v>
      </c>
      <c r="D137" s="21">
        <f t="shared" ca="1" si="20"/>
        <v>3.7536724674003707E-2</v>
      </c>
      <c r="F137">
        <f t="shared" si="21"/>
        <v>0.13100000000000009</v>
      </c>
      <c r="G137">
        <f t="shared" ca="1" si="22"/>
        <v>2.3436450465340302E-3</v>
      </c>
      <c r="H137">
        <f t="shared" ca="1" si="24"/>
        <v>2.3432603331714451E-3</v>
      </c>
      <c r="I137">
        <f t="shared" ca="1" si="25"/>
        <v>1.0034635259701521E-2</v>
      </c>
      <c r="J137" s="5">
        <f t="shared" ca="1" si="26"/>
        <v>7.6913749265300757E-3</v>
      </c>
    </row>
    <row r="138" spans="1:10" x14ac:dyDescent="0.2">
      <c r="A138">
        <f t="shared" ca="1" si="18"/>
        <v>0.87482996789236667</v>
      </c>
      <c r="B138">
        <f t="shared" ca="1" si="19"/>
        <v>1.1495237865762586</v>
      </c>
      <c r="C138">
        <f t="shared" ca="1" si="23"/>
        <v>0.54168833843512321</v>
      </c>
      <c r="D138" s="21">
        <f t="shared" ca="1" si="20"/>
        <v>0.20604905630147066</v>
      </c>
      <c r="F138">
        <f t="shared" si="21"/>
        <v>0.13200000000000009</v>
      </c>
      <c r="G138">
        <f t="shared" ca="1" si="22"/>
        <v>9.2283802059828519E-3</v>
      </c>
      <c r="H138">
        <f t="shared" ca="1" si="24"/>
        <v>9.228339770722337E-3</v>
      </c>
      <c r="I138">
        <f t="shared" ca="1" si="25"/>
        <v>1.0104824151083948E-2</v>
      </c>
      <c r="J138" s="5">
        <f t="shared" ca="1" si="26"/>
        <v>8.7648438036161055E-4</v>
      </c>
    </row>
    <row r="139" spans="1:10" x14ac:dyDescent="0.2">
      <c r="A139">
        <f t="shared" ca="1" si="18"/>
        <v>8.8691949775635881E-2</v>
      </c>
      <c r="B139">
        <f t="shared" ca="1" si="19"/>
        <v>-1.3488538952006337</v>
      </c>
      <c r="C139">
        <f t="shared" ca="1" si="23"/>
        <v>-0.80716555676551049</v>
      </c>
      <c r="D139" s="21">
        <f t="shared" ca="1" si="20"/>
        <v>0.16063156565359527</v>
      </c>
      <c r="F139">
        <f t="shared" si="21"/>
        <v>0.13300000000000009</v>
      </c>
      <c r="G139">
        <f t="shared" ca="1" si="22"/>
        <v>1.2872388556144867E-2</v>
      </c>
      <c r="H139">
        <f t="shared" ca="1" si="24"/>
        <v>1.2872530326867531E-2</v>
      </c>
      <c r="I139">
        <f t="shared" ca="1" si="25"/>
        <v>1.01425866764206E-2</v>
      </c>
      <c r="J139" s="5">
        <f t="shared" ca="1" si="26"/>
        <v>2.729943650446931E-3</v>
      </c>
    </row>
    <row r="140" spans="1:10" x14ac:dyDescent="0.2">
      <c r="A140">
        <f t="shared" ca="1" si="18"/>
        <v>0.79294202312452267</v>
      </c>
      <c r="B140">
        <f t="shared" ca="1" si="19"/>
        <v>0.81667190022191249</v>
      </c>
      <c r="C140">
        <f t="shared" ca="1" si="23"/>
        <v>9.506343456402E-3</v>
      </c>
      <c r="D140" s="21">
        <f t="shared" ca="1" si="20"/>
        <v>0.28581371414927148</v>
      </c>
      <c r="F140">
        <f t="shared" si="21"/>
        <v>0.13400000000000009</v>
      </c>
      <c r="G140">
        <f t="shared" ca="1" si="22"/>
        <v>8.6158636056826669E-3</v>
      </c>
      <c r="H140">
        <f t="shared" ca="1" si="24"/>
        <v>8.6157925342107804E-3</v>
      </c>
      <c r="I140">
        <f t="shared" ca="1" si="25"/>
        <v>1.0100375601123828E-2</v>
      </c>
      <c r="J140" s="5">
        <f t="shared" ca="1" si="26"/>
        <v>1.4845830669130474E-3</v>
      </c>
    </row>
    <row r="141" spans="1:10" x14ac:dyDescent="0.2">
      <c r="A141">
        <f t="shared" ca="1" si="18"/>
        <v>0.73386937373647332</v>
      </c>
      <c r="B141">
        <f t="shared" ca="1" si="19"/>
        <v>0.62455790850016513</v>
      </c>
      <c r="C141">
        <f t="shared" ca="1" si="23"/>
        <v>0.63406425195656713</v>
      </c>
      <c r="D141" s="21">
        <f t="shared" ca="1" si="20"/>
        <v>0.32825162223504223</v>
      </c>
      <c r="F141">
        <f t="shared" si="21"/>
        <v>0.13500000000000009</v>
      </c>
      <c r="G141">
        <f t="shared" ca="1" si="22"/>
        <v>1.1207415746390437E-2</v>
      </c>
      <c r="H141">
        <f t="shared" ca="1" si="24"/>
        <v>1.1207474260716372E-2</v>
      </c>
      <c r="I141">
        <f t="shared" ca="1" si="25"/>
        <v>1.0127456032535353E-2</v>
      </c>
      <c r="J141" s="5">
        <f t="shared" ca="1" si="26"/>
        <v>1.0800182281810195E-3</v>
      </c>
    </row>
    <row r="142" spans="1:10" x14ac:dyDescent="0.2">
      <c r="A142">
        <f t="shared" ca="1" si="18"/>
        <v>0.40046562876119896</v>
      </c>
      <c r="B142">
        <f t="shared" ca="1" si="19"/>
        <v>-0.25214206418589669</v>
      </c>
      <c r="C142">
        <f t="shared" ca="1" si="23"/>
        <v>0.38192218777067044</v>
      </c>
      <c r="D142" s="21">
        <f t="shared" ca="1" si="20"/>
        <v>0.38646021863000912</v>
      </c>
      <c r="F142">
        <f t="shared" si="21"/>
        <v>0.13600000000000009</v>
      </c>
      <c r="G142">
        <f t="shared" ca="1" si="22"/>
        <v>1.3191221335237617E-2</v>
      </c>
      <c r="H142">
        <f t="shared" ca="1" si="24"/>
        <v>1.319137903482186E-2</v>
      </c>
      <c r="I142">
        <f t="shared" ca="1" si="25"/>
        <v>1.0148441838073726E-2</v>
      </c>
      <c r="J142" s="5">
        <f t="shared" ca="1" si="26"/>
        <v>3.0429371967481342E-3</v>
      </c>
    </row>
    <row r="143" spans="1:10" x14ac:dyDescent="0.2">
      <c r="A143">
        <f t="shared" ca="1" si="18"/>
        <v>0.98013427607198667</v>
      </c>
      <c r="B143">
        <f t="shared" ca="1" si="19"/>
        <v>2.0565301018442579</v>
      </c>
      <c r="C143">
        <f t="shared" ca="1" si="23"/>
        <v>2.4384522896149283</v>
      </c>
      <c r="D143" s="21">
        <f t="shared" ca="1" si="20"/>
        <v>4.8142179998336934E-2</v>
      </c>
      <c r="F143">
        <f t="shared" si="21"/>
        <v>0.13700000000000009</v>
      </c>
      <c r="G143">
        <f t="shared" ca="1" si="22"/>
        <v>1.2402598427810644E-2</v>
      </c>
      <c r="H143">
        <f t="shared" ca="1" si="24"/>
        <v>1.2402716680154576E-2</v>
      </c>
      <c r="I143">
        <f t="shared" ca="1" si="25"/>
        <v>1.0141316651244249E-2</v>
      </c>
      <c r="J143" s="5">
        <f t="shared" ca="1" si="26"/>
        <v>2.2614000289103275E-3</v>
      </c>
    </row>
    <row r="144" spans="1:10" x14ac:dyDescent="0.2">
      <c r="A144">
        <f t="shared" ca="1" si="18"/>
        <v>0.18429860736258941</v>
      </c>
      <c r="B144">
        <f t="shared" ca="1" si="19"/>
        <v>-0.89910409947389625</v>
      </c>
      <c r="C144">
        <f t="shared" ca="1" si="23"/>
        <v>1.5393481901410322</v>
      </c>
      <c r="D144" s="21">
        <f t="shared" ca="1" si="20"/>
        <v>0.26629977687057099</v>
      </c>
      <c r="F144">
        <f t="shared" si="21"/>
        <v>0.13800000000000009</v>
      </c>
      <c r="G144">
        <f t="shared" ca="1" si="22"/>
        <v>1.8914351776109416E-2</v>
      </c>
      <c r="H144">
        <f t="shared" ca="1" si="24"/>
        <v>1.8914795607012459E-2</v>
      </c>
      <c r="I144">
        <f t="shared" ca="1" si="25"/>
        <v>1.020845354735511E-2</v>
      </c>
      <c r="J144" s="5">
        <f t="shared" ca="1" si="26"/>
        <v>8.7063420596573491E-3</v>
      </c>
    </row>
    <row r="145" spans="1:10" x14ac:dyDescent="0.2">
      <c r="A145">
        <f t="shared" ca="1" si="18"/>
        <v>0.31373939759980951</v>
      </c>
      <c r="B145">
        <f t="shared" ca="1" si="19"/>
        <v>-0.48527851299294156</v>
      </c>
      <c r="C145">
        <f t="shared" ca="1" si="23"/>
        <v>1.0540696771480906</v>
      </c>
      <c r="D145" s="21">
        <f t="shared" ca="1" si="20"/>
        <v>0.35462792037093205</v>
      </c>
      <c r="F145">
        <f t="shared" si="21"/>
        <v>0.1390000000000001</v>
      </c>
      <c r="G145">
        <f t="shared" ca="1" si="22"/>
        <v>1.6079385282502256E-2</v>
      </c>
      <c r="H145">
        <f t="shared" ca="1" si="24"/>
        <v>1.6079687319519649E-2</v>
      </c>
      <c r="I145">
        <f t="shared" ca="1" si="25"/>
        <v>1.0180437019113538E-2</v>
      </c>
      <c r="J145" s="5">
        <f t="shared" ca="1" si="26"/>
        <v>5.8992503004061114E-3</v>
      </c>
    </row>
    <row r="146" spans="1:10" x14ac:dyDescent="0.2">
      <c r="A146">
        <f t="shared" ca="1" si="18"/>
        <v>0.80967204352712319</v>
      </c>
      <c r="B146">
        <f t="shared" ca="1" si="19"/>
        <v>0.87668839290486911</v>
      </c>
      <c r="C146">
        <f t="shared" ca="1" si="23"/>
        <v>1.9307580700529599</v>
      </c>
      <c r="D146" s="21">
        <f t="shared" ca="1" si="20"/>
        <v>0.2716529891587483</v>
      </c>
      <c r="F146">
        <f t="shared" si="21"/>
        <v>0.1400000000000001</v>
      </c>
      <c r="G146">
        <f t="shared" ca="1" si="22"/>
        <v>1.4553268249860727E-2</v>
      </c>
      <c r="H146">
        <f t="shared" ca="1" si="24"/>
        <v>1.4553493950190385E-2</v>
      </c>
      <c r="I146">
        <f t="shared" ca="1" si="25"/>
        <v>1.01657919545489E-2</v>
      </c>
      <c r="J146" s="5">
        <f t="shared" ca="1" si="26"/>
        <v>4.387701995641485E-3</v>
      </c>
    </row>
    <row r="147" spans="1:10" x14ac:dyDescent="0.2">
      <c r="A147">
        <f t="shared" ca="1" si="18"/>
        <v>0.15485810881795048</v>
      </c>
      <c r="B147">
        <f t="shared" ca="1" si="19"/>
        <v>-1.015817674886152</v>
      </c>
      <c r="C147">
        <f t="shared" ca="1" si="23"/>
        <v>0.91494039516680781</v>
      </c>
      <c r="D147" s="21">
        <f t="shared" ca="1" si="20"/>
        <v>0.23814362819743515</v>
      </c>
      <c r="F147">
        <f t="shared" si="21"/>
        <v>0.1410000000000001</v>
      </c>
      <c r="G147">
        <f t="shared" ca="1" si="22"/>
        <v>1.7334006004797758E-2</v>
      </c>
      <c r="H147">
        <f t="shared" ca="1" si="24"/>
        <v>1.7334370720607353E-2</v>
      </c>
      <c r="I147">
        <f t="shared" ca="1" si="25"/>
        <v>1.019498248581807E-2</v>
      </c>
      <c r="J147" s="5">
        <f t="shared" ca="1" si="26"/>
        <v>7.1393882347892835E-3</v>
      </c>
    </row>
    <row r="148" spans="1:10" x14ac:dyDescent="0.2">
      <c r="A148">
        <f t="shared" ca="1" si="18"/>
        <v>0.62519711485003859</v>
      </c>
      <c r="B148">
        <f t="shared" ca="1" si="19"/>
        <v>0.31915923120802281</v>
      </c>
      <c r="C148">
        <f t="shared" ca="1" si="23"/>
        <v>1.2340996263748307</v>
      </c>
      <c r="D148" s="21">
        <f t="shared" ca="1" si="20"/>
        <v>0.37913238252129017</v>
      </c>
      <c r="F148">
        <f t="shared" si="21"/>
        <v>0.1420000000000001</v>
      </c>
      <c r="G148">
        <f t="shared" ca="1" si="22"/>
        <v>1.4130135258969433E-2</v>
      </c>
      <c r="H148">
        <f t="shared" ca="1" si="24"/>
        <v>1.4130339743438629E-2</v>
      </c>
      <c r="I148">
        <f t="shared" ca="1" si="25"/>
        <v>1.0163251175657117E-2</v>
      </c>
      <c r="J148" s="5">
        <f t="shared" ca="1" si="26"/>
        <v>3.9670885677815116E-3</v>
      </c>
    </row>
    <row r="149" spans="1:10" x14ac:dyDescent="0.2">
      <c r="A149">
        <f t="shared" ca="1" si="18"/>
        <v>4.2862605204182058E-2</v>
      </c>
      <c r="B149">
        <f t="shared" ca="1" si="19"/>
        <v>-1.7183916058255513</v>
      </c>
      <c r="C149">
        <f t="shared" ca="1" si="23"/>
        <v>-0.48429197945072056</v>
      </c>
      <c r="D149" s="21">
        <f t="shared" ca="1" si="20"/>
        <v>9.1138642430218839E-2</v>
      </c>
      <c r="F149">
        <f t="shared" si="21"/>
        <v>0.1430000000000001</v>
      </c>
      <c r="G149">
        <f t="shared" ca="1" si="22"/>
        <v>1.514794146159138E-2</v>
      </c>
      <c r="H149">
        <f t="shared" ca="1" si="24"/>
        <v>1.5148196816349931E-2</v>
      </c>
      <c r="I149">
        <f t="shared" ca="1" si="25"/>
        <v>1.0174480348998304E-2</v>
      </c>
      <c r="J149" s="5">
        <f t="shared" ca="1" si="26"/>
        <v>4.9737164673516274E-3</v>
      </c>
    </row>
    <row r="150" spans="1:10" x14ac:dyDescent="0.2">
      <c r="A150">
        <f t="shared" ca="1" si="18"/>
        <v>0.81955132936555908</v>
      </c>
      <c r="B150">
        <f t="shared" ca="1" si="19"/>
        <v>0.91365655099698972</v>
      </c>
      <c r="C150">
        <f t="shared" ca="1" si="23"/>
        <v>0.42936457154626917</v>
      </c>
      <c r="D150" s="21">
        <f t="shared" ca="1" si="20"/>
        <v>0.26281033154835398</v>
      </c>
      <c r="F150">
        <f t="shared" si="21"/>
        <v>0.1440000000000001</v>
      </c>
      <c r="G150">
        <f t="shared" ca="1" si="22"/>
        <v>9.7226665469249841E-3</v>
      </c>
      <c r="H150">
        <f t="shared" ca="1" si="24"/>
        <v>9.7226506101452878E-3</v>
      </c>
      <c r="I150">
        <f t="shared" ca="1" si="25"/>
        <v>1.0120303234425325E-2</v>
      </c>
      <c r="J150" s="5">
        <f t="shared" ca="1" si="26"/>
        <v>3.9765262428003746E-4</v>
      </c>
    </row>
    <row r="151" spans="1:10" x14ac:dyDescent="0.2">
      <c r="A151">
        <f t="shared" ca="1" si="18"/>
        <v>0.21964409179174205</v>
      </c>
      <c r="B151">
        <f t="shared" ca="1" si="19"/>
        <v>-0.77339578523511054</v>
      </c>
      <c r="C151">
        <f t="shared" ca="1" si="23"/>
        <v>-0.34403121368884138</v>
      </c>
      <c r="D151" s="21">
        <f t="shared" ca="1" si="20"/>
        <v>0.29581853990250201</v>
      </c>
      <c r="F151">
        <f t="shared" si="21"/>
        <v>0.1450000000000001</v>
      </c>
      <c r="G151">
        <f t="shared" ca="1" si="22"/>
        <v>1.2620785073416907E-2</v>
      </c>
      <c r="H151">
        <f t="shared" ca="1" si="24"/>
        <v>1.2620914045368544E-2</v>
      </c>
      <c r="I151">
        <f t="shared" ca="1" si="25"/>
        <v>1.0150549713499454E-2</v>
      </c>
      <c r="J151" s="5">
        <f t="shared" ca="1" si="26"/>
        <v>2.4703643318690904E-3</v>
      </c>
    </row>
    <row r="152" spans="1:10" x14ac:dyDescent="0.2">
      <c r="A152">
        <f t="shared" ca="1" si="18"/>
        <v>0.18500896295055458</v>
      </c>
      <c r="B152">
        <f t="shared" ca="1" si="19"/>
        <v>-0.89643978653533063</v>
      </c>
      <c r="C152">
        <f t="shared" ca="1" si="23"/>
        <v>-1.2404710002241721</v>
      </c>
      <c r="D152" s="21">
        <f t="shared" ca="1" si="20"/>
        <v>0.26693751380975156</v>
      </c>
      <c r="F152">
        <f t="shared" si="21"/>
        <v>0.1460000000000001</v>
      </c>
      <c r="G152">
        <f t="shared" ca="1" si="22"/>
        <v>1.0183952623426419E-2</v>
      </c>
      <c r="H152">
        <f t="shared" ca="1" si="24"/>
        <v>1.0183959739846635E-2</v>
      </c>
      <c r="I152">
        <f t="shared" ca="1" si="25"/>
        <v>1.0126716918076753E-2</v>
      </c>
      <c r="J152" s="5">
        <f t="shared" ca="1" si="26"/>
        <v>5.724282176988206E-5</v>
      </c>
    </row>
    <row r="153" spans="1:10" x14ac:dyDescent="0.2">
      <c r="A153">
        <f t="shared" ca="1" si="18"/>
        <v>0.99425992171065347</v>
      </c>
      <c r="B153">
        <f t="shared" ca="1" si="19"/>
        <v>2.527733166802014</v>
      </c>
      <c r="C153">
        <f t="shared" ca="1" si="23"/>
        <v>1.2872621665778419</v>
      </c>
      <c r="D153" s="21">
        <f t="shared" ca="1" si="20"/>
        <v>1.6347896988306368E-2</v>
      </c>
      <c r="F153">
        <f t="shared" si="21"/>
        <v>0.1470000000000001</v>
      </c>
      <c r="G153">
        <f t="shared" ca="1" si="22"/>
        <v>7.3582840021219967E-3</v>
      </c>
      <c r="H153">
        <f t="shared" ca="1" si="24"/>
        <v>7.3581498332258629E-3</v>
      </c>
      <c r="I153">
        <f t="shared" ca="1" si="25"/>
        <v>1.0099009798231608E-2</v>
      </c>
      <c r="J153" s="5">
        <f t="shared" ca="1" si="26"/>
        <v>2.7408599650057455E-3</v>
      </c>
    </row>
    <row r="154" spans="1:10" x14ac:dyDescent="0.2">
      <c r="A154">
        <f t="shared" ca="1" si="18"/>
        <v>0.10440405924852192</v>
      </c>
      <c r="B154">
        <f t="shared" ca="1" si="19"/>
        <v>-1.2568495533623518</v>
      </c>
      <c r="C154">
        <f t="shared" ca="1" si="23"/>
        <v>3.0412613215490047E-2</v>
      </c>
      <c r="D154" s="21">
        <f t="shared" ca="1" si="20"/>
        <v>0.18108768217703625</v>
      </c>
      <c r="F154">
        <f t="shared" si="21"/>
        <v>0.1480000000000001</v>
      </c>
      <c r="G154">
        <f t="shared" ca="1" si="22"/>
        <v>1.536054218171929E-2</v>
      </c>
      <c r="H154">
        <f t="shared" ca="1" si="24"/>
        <v>1.5360808142487222E-2</v>
      </c>
      <c r="I154">
        <f t="shared" ca="1" si="25"/>
        <v>1.0181025811526363E-2</v>
      </c>
      <c r="J154" s="5">
        <f t="shared" ca="1" si="26"/>
        <v>5.1797823309608585E-3</v>
      </c>
    </row>
    <row r="155" spans="1:10" x14ac:dyDescent="0.2">
      <c r="A155">
        <f t="shared" ca="1" si="18"/>
        <v>0.98624914108827721</v>
      </c>
      <c r="B155">
        <f t="shared" ca="1" si="19"/>
        <v>2.2043218434834011</v>
      </c>
      <c r="C155">
        <f t="shared" ca="1" si="23"/>
        <v>2.2347344566988911</v>
      </c>
      <c r="D155" s="21">
        <f t="shared" ca="1" si="20"/>
        <v>3.5138568713328086E-2</v>
      </c>
      <c r="F155">
        <f t="shared" si="21"/>
        <v>0.1490000000000001</v>
      </c>
      <c r="G155">
        <f t="shared" ca="1" si="22"/>
        <v>1.1394697156610945E-2</v>
      </c>
      <c r="H155">
        <f t="shared" ca="1" si="24"/>
        <v>1.1394764796882603E-2</v>
      </c>
      <c r="I155">
        <f t="shared" ca="1" si="25"/>
        <v>1.0141604964101707E-2</v>
      </c>
      <c r="J155" s="5">
        <f t="shared" ca="1" si="26"/>
        <v>1.2531598327808965E-3</v>
      </c>
    </row>
    <row r="156" spans="1:10" x14ac:dyDescent="0.2">
      <c r="A156">
        <f t="shared" ca="1" si="18"/>
        <v>7.0474827994241873E-2</v>
      </c>
      <c r="B156">
        <f t="shared" ca="1" si="19"/>
        <v>-1.4722637953140683</v>
      </c>
      <c r="C156">
        <f t="shared" ca="1" si="23"/>
        <v>0.76247066138482289</v>
      </c>
      <c r="D156" s="21">
        <f t="shared" ca="1" si="20"/>
        <v>0.13496782332396662</v>
      </c>
      <c r="F156">
        <f t="shared" si="21"/>
        <v>0.15000000000000011</v>
      </c>
      <c r="G156">
        <f t="shared" ca="1" si="22"/>
        <v>1.8373886445987815E-2</v>
      </c>
      <c r="H156">
        <f t="shared" ca="1" si="24"/>
        <v>1.8374303041871654E-2</v>
      </c>
      <c r="I156">
        <f t="shared" ca="1" si="25"/>
        <v>1.0213516027382815E-2</v>
      </c>
      <c r="J156" s="5">
        <f t="shared" ca="1" si="26"/>
        <v>8.1607870144888382E-3</v>
      </c>
    </row>
    <row r="157" spans="1:10" x14ac:dyDescent="0.2">
      <c r="A157">
        <f t="shared" ca="1" si="18"/>
        <v>0.4991155862274913</v>
      </c>
      <c r="B157">
        <f t="shared" ca="1" si="19"/>
        <v>-2.2168983845177021E-3</v>
      </c>
      <c r="C157">
        <f t="shared" ca="1" si="23"/>
        <v>0.76025376300030523</v>
      </c>
      <c r="D157" s="21">
        <f t="shared" ca="1" si="20"/>
        <v>0.39894130007410245</v>
      </c>
      <c r="F157">
        <f t="shared" si="21"/>
        <v>0.15100000000000011</v>
      </c>
      <c r="G157">
        <f t="shared" ca="1" si="22"/>
        <v>1.372657451507639E-2</v>
      </c>
      <c r="H157">
        <f t="shared" ca="1" si="24"/>
        <v>1.3726758701771077E-2</v>
      </c>
      <c r="I157">
        <f t="shared" ca="1" si="25"/>
        <v>1.0167041233776045E-2</v>
      </c>
      <c r="J157" s="5">
        <f t="shared" ca="1" si="26"/>
        <v>3.5597174679950321E-3</v>
      </c>
    </row>
    <row r="158" spans="1:10" x14ac:dyDescent="0.2">
      <c r="A158">
        <f t="shared" ca="1" si="18"/>
        <v>0.56321216275541253</v>
      </c>
      <c r="B158">
        <f t="shared" ca="1" si="19"/>
        <v>0.15911829504936498</v>
      </c>
      <c r="C158">
        <f t="shared" ca="1" si="23"/>
        <v>0.91937205804967026</v>
      </c>
      <c r="D158" s="21">
        <f t="shared" ca="1" si="20"/>
        <v>0.39392377647858945</v>
      </c>
      <c r="F158">
        <f t="shared" si="21"/>
        <v>0.15200000000000011</v>
      </c>
      <c r="G158">
        <f t="shared" ca="1" si="22"/>
        <v>1.3728191328543719E-2</v>
      </c>
      <c r="H158">
        <f t="shared" ca="1" si="24"/>
        <v>1.3728375577664676E-2</v>
      </c>
      <c r="I158">
        <f t="shared" ca="1" si="25"/>
        <v>1.0167935866535558E-2</v>
      </c>
      <c r="J158" s="5">
        <f t="shared" ca="1" si="26"/>
        <v>3.5604397111291177E-3</v>
      </c>
    </row>
    <row r="159" spans="1:10" x14ac:dyDescent="0.2">
      <c r="A159">
        <f t="shared" ca="1" si="18"/>
        <v>0.77850570956730036</v>
      </c>
      <c r="B159">
        <f t="shared" ca="1" si="19"/>
        <v>0.7671563180137031</v>
      </c>
      <c r="C159">
        <f t="shared" ca="1" si="23"/>
        <v>1.6865283760633734</v>
      </c>
      <c r="D159" s="21">
        <f t="shared" ca="1" si="20"/>
        <v>0.29724369898280606</v>
      </c>
      <c r="F159">
        <f t="shared" si="21"/>
        <v>0.15300000000000011</v>
      </c>
      <c r="G159">
        <f t="shared" ca="1" si="22"/>
        <v>1.4239969150061638E-2</v>
      </c>
      <c r="H159">
        <f t="shared" ca="1" si="24"/>
        <v>1.4240178969865597E-2</v>
      </c>
      <c r="I159">
        <f t="shared" ca="1" si="25"/>
        <v>1.0174019903558382E-2</v>
      </c>
      <c r="J159" s="5">
        <f t="shared" ca="1" si="26"/>
        <v>4.0661590663072147E-3</v>
      </c>
    </row>
    <row r="160" spans="1:10" x14ac:dyDescent="0.2">
      <c r="A160">
        <f t="shared" ca="1" si="18"/>
        <v>0.15727370547079689</v>
      </c>
      <c r="B160">
        <f t="shared" ca="1" si="19"/>
        <v>-1.0057259618708057</v>
      </c>
      <c r="C160">
        <f t="shared" ca="1" si="23"/>
        <v>0.68080241419256771</v>
      </c>
      <c r="D160" s="21">
        <f t="shared" ca="1" si="20"/>
        <v>0.24058522449707387</v>
      </c>
      <c r="F160">
        <f t="shared" si="21"/>
        <v>0.15400000000000011</v>
      </c>
      <c r="G160">
        <f t="shared" ca="1" si="22"/>
        <v>1.6674384717662083E-2</v>
      </c>
      <c r="H160">
        <f t="shared" ca="1" si="24"/>
        <v>1.6674716238280374E-2</v>
      </c>
      <c r="I160">
        <f t="shared" ca="1" si="25"/>
        <v>1.0199700570244103E-2</v>
      </c>
      <c r="J160" s="5">
        <f t="shared" ca="1" si="26"/>
        <v>6.475015668036271E-3</v>
      </c>
    </row>
    <row r="161" spans="1:10" x14ac:dyDescent="0.2">
      <c r="A161">
        <f t="shared" ca="1" si="18"/>
        <v>0.12541383491362912</v>
      </c>
      <c r="B161">
        <f t="shared" ca="1" si="19"/>
        <v>-1.1483413632571891</v>
      </c>
      <c r="C161">
        <f t="shared" ca="1" si="23"/>
        <v>-0.46753894906462135</v>
      </c>
      <c r="D161" s="21">
        <f t="shared" ca="1" si="20"/>
        <v>0.20632916925449934</v>
      </c>
      <c r="F161">
        <f t="shared" si="21"/>
        <v>0.15500000000000011</v>
      </c>
      <c r="G161">
        <f t="shared" ca="1" si="22"/>
        <v>1.3502491133712286E-2</v>
      </c>
      <c r="H161">
        <f t="shared" ca="1" si="24"/>
        <v>1.3502664025181143E-2</v>
      </c>
      <c r="I161">
        <f t="shared" ca="1" si="25"/>
        <v>1.0168279068374935E-2</v>
      </c>
      <c r="J161" s="5">
        <f t="shared" ca="1" si="26"/>
        <v>3.3343849568062082E-3</v>
      </c>
    </row>
    <row r="162" spans="1:10" x14ac:dyDescent="0.2">
      <c r="A162">
        <f t="shared" ca="1" si="18"/>
        <v>0.8043597732996931</v>
      </c>
      <c r="B162">
        <f t="shared" ca="1" si="19"/>
        <v>0.85729756591060058</v>
      </c>
      <c r="C162">
        <f t="shared" ca="1" si="23"/>
        <v>0.38975861684597923</v>
      </c>
      <c r="D162" s="21">
        <f t="shared" ca="1" si="20"/>
        <v>0.27625854583956988</v>
      </c>
      <c r="F162">
        <f t="shared" si="21"/>
        <v>0.15600000000000011</v>
      </c>
      <c r="G162">
        <f t="shared" ca="1" si="22"/>
        <v>9.8799477739972084E-3</v>
      </c>
      <c r="H162">
        <f t="shared" ca="1" si="24"/>
        <v>9.8799395195031149E-3</v>
      </c>
      <c r="I162">
        <f t="shared" ca="1" si="25"/>
        <v>1.0132383735294119E-2</v>
      </c>
      <c r="J162" s="5">
        <f t="shared" ca="1" si="26"/>
        <v>2.524442157910041E-4</v>
      </c>
    </row>
    <row r="163" spans="1:10" x14ac:dyDescent="0.2">
      <c r="A163">
        <f t="shared" ca="1" si="18"/>
        <v>0.29700981631899781</v>
      </c>
      <c r="B163">
        <f t="shared" ca="1" si="19"/>
        <v>-0.5330201489790537</v>
      </c>
      <c r="C163">
        <f t="shared" ca="1" si="23"/>
        <v>-0.14326153213307447</v>
      </c>
      <c r="D163" s="21">
        <f t="shared" ca="1" si="20"/>
        <v>0.34611168298519374</v>
      </c>
      <c r="F163">
        <f t="shared" si="21"/>
        <v>0.15700000000000011</v>
      </c>
      <c r="G163">
        <f t="shared" ca="1" si="22"/>
        <v>1.2599836724431046E-2</v>
      </c>
      <c r="H163">
        <f t="shared" ca="1" si="24"/>
        <v>1.2599964466346987E-2</v>
      </c>
      <c r="I163">
        <f t="shared" ca="1" si="25"/>
        <v>1.0160855262231604E-2</v>
      </c>
      <c r="J163" s="5">
        <f t="shared" ca="1" si="26"/>
        <v>2.4391092041153827E-3</v>
      </c>
    </row>
    <row r="164" spans="1:10" x14ac:dyDescent="0.2">
      <c r="A164">
        <f t="shared" ca="1" si="18"/>
        <v>3.5405337846373897E-2</v>
      </c>
      <c r="B164">
        <f t="shared" ca="1" si="19"/>
        <v>-1.8066896927853491</v>
      </c>
      <c r="C164">
        <f t="shared" ca="1" si="23"/>
        <v>-1.9499512249184234</v>
      </c>
      <c r="D164" s="21">
        <f t="shared" ca="1" si="20"/>
        <v>7.8003439570033348E-2</v>
      </c>
      <c r="F164">
        <f t="shared" si="21"/>
        <v>0.15800000000000011</v>
      </c>
      <c r="G164">
        <f t="shared" ca="1" si="22"/>
        <v>1.0923102868610323E-2</v>
      </c>
      <c r="H164">
        <f t="shared" ca="1" si="24"/>
        <v>1.092314676036427E-2</v>
      </c>
      <c r="I164">
        <f t="shared" ca="1" si="25"/>
        <v>1.0144706681587991E-2</v>
      </c>
      <c r="J164" s="5">
        <f t="shared" ca="1" si="26"/>
        <v>7.7844007877627894E-4</v>
      </c>
    </row>
    <row r="165" spans="1:10" x14ac:dyDescent="0.2">
      <c r="A165">
        <f t="shared" ca="1" si="18"/>
        <v>0.3886665278475846</v>
      </c>
      <c r="B165">
        <f t="shared" ca="1" si="19"/>
        <v>-0.28279621532487564</v>
      </c>
      <c r="C165">
        <f t="shared" ca="1" si="23"/>
        <v>-2.232747440243299</v>
      </c>
      <c r="D165" s="21">
        <f t="shared" ca="1" si="20"/>
        <v>0.38330457037759352</v>
      </c>
      <c r="F165">
        <f t="shared" si="21"/>
        <v>0.15900000000000011</v>
      </c>
      <c r="G165">
        <f t="shared" ca="1" si="22"/>
        <v>5.2190413094228639E-3</v>
      </c>
      <c r="H165">
        <f t="shared" ca="1" si="24"/>
        <v>5.2187999913366513E-3</v>
      </c>
      <c r="I165">
        <f t="shared" ca="1" si="25"/>
        <v>1.0087870946397827E-2</v>
      </c>
      <c r="J165" s="5">
        <f t="shared" ca="1" si="26"/>
        <v>4.8690709550611756E-3</v>
      </c>
    </row>
    <row r="166" spans="1:10" x14ac:dyDescent="0.2">
      <c r="A166">
        <f t="shared" ca="1" si="18"/>
        <v>0.80670066037576638</v>
      </c>
      <c r="B166">
        <f t="shared" ca="1" si="19"/>
        <v>0.86580213306407094</v>
      </c>
      <c r="C166">
        <f t="shared" ca="1" si="23"/>
        <v>-1.3669453071792281</v>
      </c>
      <c r="D166" s="21">
        <f t="shared" ca="1" si="20"/>
        <v>0.27424176708728637</v>
      </c>
      <c r="F166">
        <f t="shared" si="21"/>
        <v>0.16000000000000011</v>
      </c>
      <c r="G166">
        <f t="shared" ca="1" si="22"/>
        <v>4.334283489445606E-3</v>
      </c>
      <c r="H166">
        <f t="shared" ca="1" si="24"/>
        <v>4.3339979572354966E-3</v>
      </c>
      <c r="I166">
        <f t="shared" ca="1" si="25"/>
        <v>1.0079811132806838E-2</v>
      </c>
      <c r="J166" s="5">
        <f t="shared" ca="1" si="26"/>
        <v>5.7458131755713411E-3</v>
      </c>
    </row>
    <row r="167" spans="1:10" x14ac:dyDescent="0.2">
      <c r="A167">
        <f t="shared" ca="1" si="18"/>
        <v>0.93012048263592217</v>
      </c>
      <c r="B167">
        <f t="shared" ca="1" si="19"/>
        <v>1.4766889530399543</v>
      </c>
      <c r="C167">
        <f t="shared" ca="1" si="23"/>
        <v>0.10974364586072616</v>
      </c>
      <c r="D167" s="21">
        <f t="shared" ca="1" si="20"/>
        <v>0.13409005329686957</v>
      </c>
      <c r="F167">
        <f t="shared" si="21"/>
        <v>0.16100000000000012</v>
      </c>
      <c r="G167">
        <f t="shared" ca="1" si="22"/>
        <v>7.0816194366652126E-3</v>
      </c>
      <c r="H167">
        <f t="shared" ca="1" si="24"/>
        <v>7.0814713009544157E-3</v>
      </c>
      <c r="I167">
        <f t="shared" ca="1" si="25"/>
        <v>1.0108406783019283E-2</v>
      </c>
      <c r="J167" s="5">
        <f t="shared" ca="1" si="26"/>
        <v>3.0269354820648678E-3</v>
      </c>
    </row>
    <row r="168" spans="1:10" x14ac:dyDescent="0.2">
      <c r="A168">
        <f t="shared" ca="1" si="18"/>
        <v>0.49139254319879944</v>
      </c>
      <c r="B168">
        <f t="shared" ca="1" si="19"/>
        <v>-2.1577368815755827E-2</v>
      </c>
      <c r="C168">
        <f t="shared" ca="1" si="23"/>
        <v>8.8166277044970334E-2</v>
      </c>
      <c r="D168" s="21">
        <f t="shared" ca="1" si="20"/>
        <v>0.3988494208693511</v>
      </c>
      <c r="F168">
        <f t="shared" si="21"/>
        <v>0.16200000000000012</v>
      </c>
      <c r="G168">
        <f t="shared" ca="1" si="22"/>
        <v>1.1760377822064568E-2</v>
      </c>
      <c r="H168">
        <f t="shared" ca="1" si="24"/>
        <v>1.1760463641040001E-2</v>
      </c>
      <c r="I168">
        <f t="shared" ca="1" si="25"/>
        <v>1.015668523859747E-2</v>
      </c>
      <c r="J168" s="5">
        <f t="shared" ca="1" si="26"/>
        <v>1.6037784024425308E-3</v>
      </c>
    </row>
    <row r="169" spans="1:10" x14ac:dyDescent="0.2">
      <c r="A169">
        <f t="shared" ca="1" si="18"/>
        <v>0.952517595592551</v>
      </c>
      <c r="B169">
        <f t="shared" ca="1" si="19"/>
        <v>1.6697703498646734</v>
      </c>
      <c r="C169">
        <f t="shared" ca="1" si="23"/>
        <v>1.7579366269096437</v>
      </c>
      <c r="D169" s="21">
        <f t="shared" ca="1" si="20"/>
        <v>9.8963414876550193E-2</v>
      </c>
      <c r="F169">
        <f t="shared" si="21"/>
        <v>0.16300000000000012</v>
      </c>
      <c r="G169">
        <f t="shared" ca="1" si="22"/>
        <v>1.1700971123267101E-2</v>
      </c>
      <c r="H169">
        <f t="shared" ca="1" si="24"/>
        <v>1.1701053963304618E-2</v>
      </c>
      <c r="I169">
        <f t="shared" ca="1" si="25"/>
        <v>1.0156957099816965E-2</v>
      </c>
      <c r="J169" s="5">
        <f t="shared" ca="1" si="26"/>
        <v>1.5440968634876529E-3</v>
      </c>
    </row>
    <row r="170" spans="1:10" x14ac:dyDescent="0.2">
      <c r="A170">
        <f t="shared" ca="1" si="18"/>
        <v>0.70116367884553499</v>
      </c>
      <c r="B170">
        <f t="shared" ca="1" si="19"/>
        <v>0.52775032043301739</v>
      </c>
      <c r="C170">
        <f t="shared" ca="1" si="23"/>
        <v>2.2856869473426613</v>
      </c>
      <c r="D170" s="21">
        <f t="shared" ca="1" si="20"/>
        <v>0.34708043193910715</v>
      </c>
      <c r="F170">
        <f t="shared" si="21"/>
        <v>0.16400000000000012</v>
      </c>
      <c r="G170">
        <f t="shared" ca="1" si="22"/>
        <v>1.6989814056789291E-2</v>
      </c>
      <c r="H170">
        <f t="shared" ca="1" si="24"/>
        <v>1.6990161332896884E-2</v>
      </c>
      <c r="I170">
        <f t="shared" ca="1" si="25"/>
        <v>1.0211700561366643E-2</v>
      </c>
      <c r="J170" s="5">
        <f t="shared" ca="1" si="26"/>
        <v>6.7784607715302408E-3</v>
      </c>
    </row>
    <row r="171" spans="1:10" x14ac:dyDescent="0.2">
      <c r="A171">
        <f t="shared" ca="1" si="18"/>
        <v>3.5084931487288085E-2</v>
      </c>
      <c r="B171">
        <f t="shared" ca="1" si="19"/>
        <v>-1.8108126145392855</v>
      </c>
      <c r="C171">
        <f t="shared" ca="1" si="23"/>
        <v>0.47487433280337576</v>
      </c>
      <c r="D171" s="21">
        <f t="shared" ca="1" si="20"/>
        <v>7.742390501933008E-2</v>
      </c>
      <c r="F171">
        <f t="shared" si="21"/>
        <v>0.16500000000000012</v>
      </c>
      <c r="G171">
        <f t="shared" ca="1" si="22"/>
        <v>1.8666924267622838E-2</v>
      </c>
      <c r="H171">
        <f t="shared" ca="1" si="24"/>
        <v>1.8667355365215629E-2</v>
      </c>
      <c r="I171">
        <f t="shared" ca="1" si="25"/>
        <v>1.0229728804271579E-2</v>
      </c>
      <c r="J171" s="5">
        <f t="shared" ca="1" si="26"/>
        <v>8.43762656094405E-3</v>
      </c>
    </row>
    <row r="172" spans="1:10" x14ac:dyDescent="0.2">
      <c r="A172">
        <f t="shared" ca="1" si="18"/>
        <v>0.89193104806107626</v>
      </c>
      <c r="B172">
        <f t="shared" ca="1" si="19"/>
        <v>1.2368631198432991</v>
      </c>
      <c r="C172">
        <f t="shared" ca="1" si="23"/>
        <v>1.7117374526466749</v>
      </c>
      <c r="D172" s="21">
        <f t="shared" ca="1" si="20"/>
        <v>0.1856571247413849</v>
      </c>
      <c r="F172">
        <f t="shared" si="21"/>
        <v>0.16600000000000012</v>
      </c>
      <c r="G172">
        <f t="shared" ca="1" si="22"/>
        <v>1.2949051193520206E-2</v>
      </c>
      <c r="H172">
        <f t="shared" ca="1" si="24"/>
        <v>1.2949196351970432E-2</v>
      </c>
      <c r="I172">
        <f t="shared" ca="1" si="25"/>
        <v>1.0172284107197033E-2</v>
      </c>
      <c r="J172" s="5">
        <f t="shared" ca="1" si="26"/>
        <v>2.7769122447733989E-3</v>
      </c>
    </row>
    <row r="173" spans="1:10" x14ac:dyDescent="0.2">
      <c r="A173">
        <f t="shared" ca="1" si="18"/>
        <v>0.28304871108335727</v>
      </c>
      <c r="B173">
        <f t="shared" ca="1" si="19"/>
        <v>-0.57380846158898657</v>
      </c>
      <c r="C173">
        <f t="shared" ca="1" si="23"/>
        <v>1.1379289910576884</v>
      </c>
      <c r="D173" s="21">
        <f t="shared" ca="1" si="20"/>
        <v>0.33838647873668271</v>
      </c>
      <c r="F173">
        <f t="shared" si="21"/>
        <v>0.16700000000000012</v>
      </c>
      <c r="G173">
        <f t="shared" ca="1" si="22"/>
        <v>1.6868864908644816E-2</v>
      </c>
      <c r="H173">
        <f t="shared" ca="1" si="24"/>
        <v>1.6869206044901865E-2</v>
      </c>
      <c r="I173">
        <f t="shared" ca="1" si="25"/>
        <v>1.0213119120067806E-2</v>
      </c>
      <c r="J173" s="5">
        <f t="shared" ca="1" si="26"/>
        <v>6.6560869248340586E-3</v>
      </c>
    </row>
    <row r="174" spans="1:10" x14ac:dyDescent="0.2">
      <c r="A174">
        <f t="shared" ca="1" si="18"/>
        <v>0.10719769181285976</v>
      </c>
      <c r="B174">
        <f t="shared" ca="1" si="19"/>
        <v>-1.2415696548580017</v>
      </c>
      <c r="C174">
        <f t="shared" ca="1" si="23"/>
        <v>-0.10364066380031334</v>
      </c>
      <c r="D174" s="21">
        <f t="shared" ca="1" si="20"/>
        <v>0.18457744690855998</v>
      </c>
      <c r="F174">
        <f t="shared" si="21"/>
        <v>0.16800000000000012</v>
      </c>
      <c r="G174">
        <f t="shared" ca="1" si="22"/>
        <v>1.5062726650517529E-2</v>
      </c>
      <c r="H174">
        <f t="shared" ca="1" si="24"/>
        <v>1.5062977444998937E-2</v>
      </c>
      <c r="I174">
        <f t="shared" ca="1" si="25"/>
        <v>1.0195572326610117E-2</v>
      </c>
      <c r="J174" s="5">
        <f t="shared" ca="1" si="26"/>
        <v>4.8674051183888196E-3</v>
      </c>
    </row>
    <row r="175" spans="1:10" x14ac:dyDescent="0.2">
      <c r="A175">
        <f t="shared" ca="1" si="18"/>
        <v>0.31523624085393165</v>
      </c>
      <c r="B175">
        <f t="shared" ca="1" si="19"/>
        <v>-0.48106193360952665</v>
      </c>
      <c r="C175">
        <f t="shared" ca="1" si="23"/>
        <v>-0.58470259740983999</v>
      </c>
      <c r="D175" s="21">
        <f t="shared" ca="1" si="20"/>
        <v>0.35535114938871565</v>
      </c>
      <c r="F175">
        <f t="shared" si="21"/>
        <v>0.16900000000000012</v>
      </c>
      <c r="G175">
        <f t="shared" ca="1" si="22"/>
        <v>1.1145228271299797E-2</v>
      </c>
      <c r="H175">
        <f t="shared" ca="1" si="24"/>
        <v>1.1145283164154012E-2</v>
      </c>
      <c r="I175">
        <f t="shared" ca="1" si="25"/>
        <v>1.0156585902278666E-2</v>
      </c>
      <c r="J175" s="5">
        <f t="shared" ca="1" si="26"/>
        <v>9.8869726187534625E-4</v>
      </c>
    </row>
    <row r="176" spans="1:10" x14ac:dyDescent="0.2">
      <c r="A176">
        <f t="shared" ca="1" si="18"/>
        <v>0.2753260294269686</v>
      </c>
      <c r="B176">
        <f t="shared" ca="1" si="19"/>
        <v>-0.59678331526421624</v>
      </c>
      <c r="C176">
        <f t="shared" ca="1" si="23"/>
        <v>-1.1814859126740562</v>
      </c>
      <c r="D176" s="21">
        <f t="shared" ca="1" si="20"/>
        <v>0.33386662373504372</v>
      </c>
      <c r="F176">
        <f t="shared" si="21"/>
        <v>0.17000000000000012</v>
      </c>
      <c r="G176">
        <f t="shared" ca="1" si="22"/>
        <v>9.6329379578039623E-3</v>
      </c>
      <c r="H176">
        <f t="shared" ca="1" si="24"/>
        <v>9.6329172300267871E-3</v>
      </c>
      <c r="I176">
        <f t="shared" ca="1" si="25"/>
        <v>1.0142110382676229E-2</v>
      </c>
      <c r="J176" s="5">
        <f t="shared" ca="1" si="26"/>
        <v>5.091931526494415E-4</v>
      </c>
    </row>
    <row r="177" spans="1:10" x14ac:dyDescent="0.2">
      <c r="A177">
        <f t="shared" ca="1" si="18"/>
        <v>0.95006798414189741</v>
      </c>
      <c r="B177">
        <f t="shared" ca="1" si="19"/>
        <v>1.6455131567596488</v>
      </c>
      <c r="C177">
        <f t="shared" ca="1" si="23"/>
        <v>0.46402724408559259</v>
      </c>
      <c r="D177" s="21">
        <f t="shared" ca="1" si="20"/>
        <v>0.1030237939982664</v>
      </c>
      <c r="F177">
        <f t="shared" si="21"/>
        <v>0.17100000000000012</v>
      </c>
      <c r="G177">
        <f t="shared" ca="1" si="22"/>
        <v>7.7548740221624864E-3</v>
      </c>
      <c r="H177">
        <f t="shared" ca="1" si="24"/>
        <v>7.7547593924825291E-3</v>
      </c>
      <c r="I177">
        <f t="shared" ca="1" si="25"/>
        <v>1.012395002607217E-2</v>
      </c>
      <c r="J177" s="5">
        <f t="shared" ca="1" si="26"/>
        <v>2.369190633589641E-3</v>
      </c>
    </row>
    <row r="178" spans="1:10" x14ac:dyDescent="0.2">
      <c r="A178">
        <f t="shared" ca="1" si="18"/>
        <v>0.44553957073978612</v>
      </c>
      <c r="B178">
        <f t="shared" ca="1" si="19"/>
        <v>-0.13693883575632329</v>
      </c>
      <c r="C178">
        <f t="shared" ca="1" si="23"/>
        <v>0.32708840832926933</v>
      </c>
      <c r="D178" s="21">
        <f t="shared" ca="1" si="20"/>
        <v>0.39521922992551167</v>
      </c>
      <c r="F178">
        <f t="shared" si="21"/>
        <v>0.17200000000000013</v>
      </c>
      <c r="G178">
        <f t="shared" ca="1" si="22"/>
        <v>1.2967407401049739E-2</v>
      </c>
      <c r="H178">
        <f t="shared" ca="1" si="24"/>
        <v>1.2967553411677466E-2</v>
      </c>
      <c r="I178">
        <f t="shared" ca="1" si="25"/>
        <v>1.0177734844315922E-2</v>
      </c>
      <c r="J178" s="5">
        <f t="shared" ca="1" si="26"/>
        <v>2.7898185673615444E-3</v>
      </c>
    </row>
    <row r="179" spans="1:10" x14ac:dyDescent="0.2">
      <c r="A179">
        <f t="shared" ca="1" si="18"/>
        <v>0.55115233936330399</v>
      </c>
      <c r="B179">
        <f t="shared" ca="1" si="19"/>
        <v>0.12857326607835998</v>
      </c>
      <c r="C179">
        <f t="shared" ca="1" si="23"/>
        <v>0.45566167440762928</v>
      </c>
      <c r="D179" s="21">
        <f t="shared" ca="1" si="20"/>
        <v>0.39565839631512323</v>
      </c>
      <c r="F179">
        <f t="shared" si="21"/>
        <v>0.17300000000000013</v>
      </c>
      <c r="G179">
        <f t="shared" ca="1" si="22"/>
        <v>1.2543093255068421E-2</v>
      </c>
      <c r="H179">
        <f t="shared" ca="1" si="24"/>
        <v>1.2543218035214611E-2</v>
      </c>
      <c r="I179">
        <f t="shared" ca="1" si="25"/>
        <v>1.0174294958302925E-2</v>
      </c>
      <c r="J179" s="5">
        <f t="shared" ca="1" si="26"/>
        <v>2.3689230769116856E-3</v>
      </c>
    </row>
    <row r="180" spans="1:10" x14ac:dyDescent="0.2">
      <c r="A180">
        <f t="shared" ca="1" si="18"/>
        <v>0.75950807209282056</v>
      </c>
      <c r="B180">
        <f t="shared" ca="1" si="19"/>
        <v>0.70472103885013082</v>
      </c>
      <c r="C180">
        <f t="shared" ca="1" si="23"/>
        <v>1.1603827132577602</v>
      </c>
      <c r="D180" s="21">
        <f t="shared" ca="1" si="20"/>
        <v>0.31122025423170607</v>
      </c>
      <c r="F180">
        <f t="shared" si="21"/>
        <v>0.17400000000000013</v>
      </c>
      <c r="G180">
        <f t="shared" ca="1" si="22"/>
        <v>1.2958402547116103E-2</v>
      </c>
      <c r="H180">
        <f t="shared" ca="1" si="24"/>
        <v>1.2958548080425573E-2</v>
      </c>
      <c r="I180">
        <f t="shared" ca="1" si="25"/>
        <v>1.0179399505672964E-2</v>
      </c>
      <c r="J180" s="5">
        <f t="shared" ca="1" si="26"/>
        <v>2.7791485747526087E-3</v>
      </c>
    </row>
    <row r="181" spans="1:10" x14ac:dyDescent="0.2">
      <c r="A181">
        <f t="shared" ca="1" si="18"/>
        <v>0.55416508535536124</v>
      </c>
      <c r="B181">
        <f t="shared" ca="1" si="19"/>
        <v>0.1361915825883058</v>
      </c>
      <c r="C181">
        <f t="shared" ca="1" si="23"/>
        <v>1.296574295846066</v>
      </c>
      <c r="D181" s="21">
        <f t="shared" ca="1" si="20"/>
        <v>0.39525956362577885</v>
      </c>
      <c r="F181">
        <f t="shared" si="21"/>
        <v>0.17500000000000013</v>
      </c>
      <c r="G181">
        <f t="shared" ca="1" si="22"/>
        <v>1.5195518447936996E-2</v>
      </c>
      <c r="H181">
        <f t="shared" ca="1" si="24"/>
        <v>1.5195775823423952E-2</v>
      </c>
      <c r="I181">
        <f t="shared" ca="1" si="25"/>
        <v>1.0203079080007406E-2</v>
      </c>
      <c r="J181" s="5">
        <f t="shared" ca="1" si="26"/>
        <v>4.9926967434165467E-3</v>
      </c>
    </row>
    <row r="182" spans="1:10" x14ac:dyDescent="0.2">
      <c r="A182">
        <f t="shared" ca="1" si="18"/>
        <v>0.11396501588747332</v>
      </c>
      <c r="B182">
        <f t="shared" ca="1" si="19"/>
        <v>-1.205708175073944</v>
      </c>
      <c r="C182">
        <f t="shared" ca="1" si="23"/>
        <v>9.0866120772121972E-2</v>
      </c>
      <c r="D182" s="21">
        <f t="shared" ca="1" si="20"/>
        <v>0.19285732060984101</v>
      </c>
      <c r="F182">
        <f t="shared" si="21"/>
        <v>0.17600000000000013</v>
      </c>
      <c r="G182">
        <f t="shared" ca="1" si="22"/>
        <v>1.5634652538323152E-2</v>
      </c>
      <c r="H182">
        <f t="shared" ca="1" si="24"/>
        <v>1.5634931844963586E-2</v>
      </c>
      <c r="I182">
        <f t="shared" ca="1" si="25"/>
        <v>1.020844399969582E-2</v>
      </c>
      <c r="J182" s="5">
        <f t="shared" ca="1" si="26"/>
        <v>5.4264878452677662E-3</v>
      </c>
    </row>
    <row r="183" spans="1:10" x14ac:dyDescent="0.2">
      <c r="A183">
        <f t="shared" ca="1" si="18"/>
        <v>5.8782821117991158E-2</v>
      </c>
      <c r="B183">
        <f t="shared" ca="1" si="19"/>
        <v>-1.565073645492711</v>
      </c>
      <c r="C183">
        <f t="shared" ca="1" si="23"/>
        <v>-1.474207524720589</v>
      </c>
      <c r="D183" s="21">
        <f t="shared" ca="1" si="20"/>
        <v>0.11722427589097298</v>
      </c>
      <c r="F183">
        <f t="shared" si="21"/>
        <v>0.17700000000000013</v>
      </c>
      <c r="G183">
        <f t="shared" ca="1" si="22"/>
        <v>1.1830495255796309E-2</v>
      </c>
      <c r="H183">
        <f t="shared" ca="1" si="24"/>
        <v>1.1830584325060371E-2</v>
      </c>
      <c r="I183">
        <f t="shared" ca="1" si="25"/>
        <v>1.0170561672445531E-2</v>
      </c>
      <c r="J183" s="5">
        <f t="shared" ca="1" si="26"/>
        <v>1.6600226526148395E-3</v>
      </c>
    </row>
    <row r="184" spans="1:10" x14ac:dyDescent="0.2">
      <c r="A184">
        <f t="shared" ca="1" si="18"/>
        <v>0.38261831471930252</v>
      </c>
      <c r="B184">
        <f t="shared" ca="1" si="19"/>
        <v>-0.29861131709194194</v>
      </c>
      <c r="C184">
        <f t="shared" ca="1" si="23"/>
        <v>-1.772818841812531</v>
      </c>
      <c r="D184" s="21">
        <f t="shared" ca="1" si="20"/>
        <v>0.38154636868922548</v>
      </c>
      <c r="F184">
        <f t="shared" si="21"/>
        <v>0.17800000000000013</v>
      </c>
      <c r="G184">
        <f t="shared" ca="1" si="22"/>
        <v>6.8903617893389217E-3</v>
      </c>
      <c r="H184">
        <f t="shared" ca="1" si="24"/>
        <v>6.8902038409679794E-3</v>
      </c>
      <c r="I184">
        <f t="shared" ca="1" si="25"/>
        <v>1.0121311390162317E-2</v>
      </c>
      <c r="J184" s="5">
        <f t="shared" ca="1" si="26"/>
        <v>3.2311075491943371E-3</v>
      </c>
    </row>
    <row r="185" spans="1:10" x14ac:dyDescent="0.2">
      <c r="A185">
        <f t="shared" ca="1" si="18"/>
        <v>0.10568961315077463</v>
      </c>
      <c r="B185">
        <f t="shared" ca="1" si="19"/>
        <v>-1.2497819093700324</v>
      </c>
      <c r="C185">
        <f t="shared" ca="1" si="23"/>
        <v>-3.0226007511825634</v>
      </c>
      <c r="D185" s="21">
        <f t="shared" ca="1" si="20"/>
        <v>0.18269888039941462</v>
      </c>
      <c r="F185">
        <f t="shared" si="21"/>
        <v>0.17900000000000013</v>
      </c>
      <c r="G185">
        <f t="shared" ca="1" si="22"/>
        <v>5.9554276031416765E-3</v>
      </c>
      <c r="H185">
        <f t="shared" ca="1" si="24"/>
        <v>5.9552229234705783E-3</v>
      </c>
      <c r="I185">
        <f t="shared" ca="1" si="25"/>
        <v>1.0112719091611726E-2</v>
      </c>
      <c r="J185" s="5">
        <f t="shared" ca="1" si="26"/>
        <v>4.1574961681411478E-3</v>
      </c>
    </row>
    <row r="186" spans="1:10" x14ac:dyDescent="0.2">
      <c r="A186">
        <f t="shared" ca="1" si="18"/>
        <v>0.70400956265406167</v>
      </c>
      <c r="B186">
        <f t="shared" ca="1" si="19"/>
        <v>0.53596769881471629</v>
      </c>
      <c r="C186">
        <f t="shared" ca="1" si="23"/>
        <v>-2.4866330523678473</v>
      </c>
      <c r="D186" s="21">
        <f t="shared" ca="1" si="20"/>
        <v>0.34556683151242013</v>
      </c>
      <c r="F186">
        <f t="shared" si="21"/>
        <v>0.18000000000000013</v>
      </c>
      <c r="G186">
        <f t="shared" ca="1" si="22"/>
        <v>2.0128717777280402E-3</v>
      </c>
      <c r="H186">
        <f t="shared" ca="1" si="24"/>
        <v>2.0124699890947959E-3</v>
      </c>
      <c r="I186">
        <f t="shared" ca="1" si="25"/>
        <v>1.0073787872398692E-2</v>
      </c>
      <c r="J186" s="5">
        <f t="shared" ca="1" si="26"/>
        <v>8.0613178833038972E-3</v>
      </c>
    </row>
    <row r="187" spans="1:10" x14ac:dyDescent="0.2">
      <c r="A187">
        <f t="shared" ca="1" si="18"/>
        <v>5.9357003793079177E-2</v>
      </c>
      <c r="B187">
        <f t="shared" ca="1" si="19"/>
        <v>-1.560194150310463</v>
      </c>
      <c r="C187">
        <f t="shared" ca="1" si="23"/>
        <v>-4.0468272026783101</v>
      </c>
      <c r="D187" s="21">
        <f t="shared" ca="1" si="20"/>
        <v>0.11812151142242751</v>
      </c>
      <c r="F187">
        <f t="shared" si="21"/>
        <v>0.18100000000000013</v>
      </c>
      <c r="G187">
        <f t="shared" ca="1" si="22"/>
        <v>3.7174639407614053E-3</v>
      </c>
      <c r="H187">
        <f t="shared" ca="1" si="24"/>
        <v>3.7171474226295178E-3</v>
      </c>
      <c r="I187">
        <f t="shared" ca="1" si="25"/>
        <v>1.0091834876699792E-2</v>
      </c>
      <c r="J187" s="5">
        <f t="shared" ca="1" si="26"/>
        <v>6.374687454070274E-3</v>
      </c>
    </row>
    <row r="188" spans="1:10" x14ac:dyDescent="0.2">
      <c r="A188">
        <f t="shared" ca="1" si="18"/>
        <v>0.18375618388752757</v>
      </c>
      <c r="B188">
        <f t="shared" ca="1" si="19"/>
        <v>-0.90114285878416978</v>
      </c>
      <c r="C188">
        <f t="shared" ca="1" si="23"/>
        <v>-4.9479700614624802</v>
      </c>
      <c r="D188" s="21">
        <f t="shared" ca="1" si="20"/>
        <v>0.26581152893415561</v>
      </c>
      <c r="F188">
        <f t="shared" si="21"/>
        <v>0.18200000000000013</v>
      </c>
      <c r="G188">
        <f t="shared" ca="1" si="22"/>
        <v>-1.2064287160043485E-3</v>
      </c>
      <c r="H188">
        <f t="shared" ca="1" si="24"/>
        <v>-1.2069913991649087E-3</v>
      </c>
      <c r="I188">
        <f t="shared" ca="1" si="25"/>
        <v>1.0043120791153921E-2</v>
      </c>
      <c r="J188" s="5">
        <f t="shared" ca="1" si="26"/>
        <v>1.125011219031883E-2</v>
      </c>
    </row>
    <row r="189" spans="1:10" x14ac:dyDescent="0.2">
      <c r="A189">
        <f t="shared" ca="1" si="18"/>
        <v>0.40421388627881549</v>
      </c>
      <c r="B189">
        <f t="shared" ca="1" si="19"/>
        <v>-0.24245480503914341</v>
      </c>
      <c r="C189">
        <f t="shared" ca="1" si="23"/>
        <v>-5.1904248665016235</v>
      </c>
      <c r="D189" s="21">
        <f t="shared" ca="1" si="20"/>
        <v>0.38738714959777593</v>
      </c>
      <c r="F189">
        <f t="shared" si="21"/>
        <v>0.18300000000000013</v>
      </c>
      <c r="G189">
        <f t="shared" ca="1" si="22"/>
        <v>-4.0458300328414659E-3</v>
      </c>
      <c r="H189">
        <f t="shared" ca="1" si="24"/>
        <v>-4.0465346309784406E-3</v>
      </c>
      <c r="I189">
        <f t="shared" ca="1" si="25"/>
        <v>1.0015493438062947E-2</v>
      </c>
      <c r="J189" s="5">
        <f t="shared" ca="1" si="26"/>
        <v>1.4062028069041388E-2</v>
      </c>
    </row>
    <row r="190" spans="1:10" x14ac:dyDescent="0.2">
      <c r="A190">
        <f t="shared" ca="1" si="18"/>
        <v>0.7246907356264547</v>
      </c>
      <c r="B190">
        <f t="shared" ca="1" si="19"/>
        <v>0.59683353083967594</v>
      </c>
      <c r="C190">
        <f t="shared" ca="1" si="23"/>
        <v>-4.593591335661948</v>
      </c>
      <c r="D190" s="21">
        <f t="shared" ca="1" si="20"/>
        <v>0.33385661820994988</v>
      </c>
      <c r="F190">
        <f t="shared" si="21"/>
        <v>0.18400000000000014</v>
      </c>
      <c r="G190">
        <f t="shared" ca="1" si="22"/>
        <v>-4.8020970497523168E-3</v>
      </c>
      <c r="H190">
        <f t="shared" ca="1" si="24"/>
        <v>-4.8028393910911054E-3</v>
      </c>
      <c r="I190">
        <f t="shared" ca="1" si="25"/>
        <v>1.0008768195796129E-2</v>
      </c>
      <c r="J190" s="5">
        <f t="shared" ca="1" si="26"/>
        <v>1.4811607586887234E-2</v>
      </c>
    </row>
    <row r="191" spans="1:10" x14ac:dyDescent="0.2">
      <c r="A191">
        <f t="shared" ca="1" si="18"/>
        <v>0.45628379432549304</v>
      </c>
      <c r="B191">
        <f t="shared" ca="1" si="19"/>
        <v>-0.10980050737601801</v>
      </c>
      <c r="C191">
        <f t="shared" ca="1" si="23"/>
        <v>-4.7033918430379664</v>
      </c>
      <c r="D191" s="21">
        <f t="shared" ca="1" si="20"/>
        <v>0.3965446599104977</v>
      </c>
      <c r="F191">
        <f t="shared" si="21"/>
        <v>0.18500000000000014</v>
      </c>
      <c r="G191">
        <f t="shared" ca="1" si="22"/>
        <v>-2.9043583863618935E-3</v>
      </c>
      <c r="H191">
        <f t="shared" ca="1" si="24"/>
        <v>-2.9050057657382736E-3</v>
      </c>
      <c r="I191">
        <f t="shared" ca="1" si="25"/>
        <v>1.0028628789725982E-2</v>
      </c>
      <c r="J191" s="5">
        <f t="shared" ca="1" si="26"/>
        <v>1.2933634555464256E-2</v>
      </c>
    </row>
    <row r="192" spans="1:10" x14ac:dyDescent="0.2">
      <c r="A192">
        <f t="shared" ca="1" si="18"/>
        <v>0.44553972824525989</v>
      </c>
      <c r="B192">
        <f t="shared" ca="1" si="19"/>
        <v>-0.13693843722948668</v>
      </c>
      <c r="C192">
        <f t="shared" ca="1" si="23"/>
        <v>-4.8403302802674535</v>
      </c>
      <c r="D192" s="21">
        <f t="shared" ca="1" si="20"/>
        <v>0.39521925149409654</v>
      </c>
      <c r="F192">
        <f t="shared" si="21"/>
        <v>0.18600000000000014</v>
      </c>
      <c r="G192">
        <f t="shared" ca="1" si="22"/>
        <v>-3.2412707963169994E-3</v>
      </c>
      <c r="H192">
        <f t="shared" ca="1" si="24"/>
        <v>-3.2419349567120348E-3</v>
      </c>
      <c r="I192">
        <f t="shared" ca="1" si="25"/>
        <v>1.0026099691023619E-2</v>
      </c>
      <c r="J192" s="5">
        <f t="shared" ca="1" si="26"/>
        <v>1.3268034647735653E-2</v>
      </c>
    </row>
    <row r="193" spans="1:10" x14ac:dyDescent="0.2">
      <c r="A193">
        <f t="shared" ca="1" si="18"/>
        <v>0.69410954093934596</v>
      </c>
      <c r="B193">
        <f t="shared" ca="1" si="19"/>
        <v>0.5075329569142103</v>
      </c>
      <c r="C193">
        <f t="shared" ca="1" si="23"/>
        <v>-4.3327973233532431</v>
      </c>
      <c r="D193" s="21">
        <f t="shared" ca="1" si="20"/>
        <v>0.35073182306897022</v>
      </c>
      <c r="F193">
        <f t="shared" si="21"/>
        <v>0.18700000000000014</v>
      </c>
      <c r="G193">
        <f t="shared" ca="1" si="22"/>
        <v>-3.6639628953297693E-3</v>
      </c>
      <c r="H193">
        <f t="shared" ca="1" si="24"/>
        <v>-3.6646481240855391E-3</v>
      </c>
      <c r="I193">
        <f t="shared" ca="1" si="25"/>
        <v>1.0022711067517195E-2</v>
      </c>
      <c r="J193" s="5">
        <f t="shared" ca="1" si="26"/>
        <v>1.3687359191602733E-2</v>
      </c>
    </row>
    <row r="194" spans="1:10" x14ac:dyDescent="0.2">
      <c r="A194">
        <f t="shared" ca="1" si="18"/>
        <v>0.68638218937456141</v>
      </c>
      <c r="B194">
        <f t="shared" ca="1" si="19"/>
        <v>0.48562139939811738</v>
      </c>
      <c r="C194">
        <f t="shared" ca="1" si="23"/>
        <v>-3.8471759239551258</v>
      </c>
      <c r="D194" s="21">
        <f t="shared" ca="1" si="20"/>
        <v>0.35456889598012808</v>
      </c>
      <c r="F194">
        <f t="shared" si="21"/>
        <v>0.18800000000000014</v>
      </c>
      <c r="G194">
        <f t="shared" ca="1" si="22"/>
        <v>-2.0487171305568178E-3</v>
      </c>
      <c r="H194">
        <f t="shared" ca="1" si="24"/>
        <v>-2.0493215278241227E-3</v>
      </c>
      <c r="I194">
        <f t="shared" ca="1" si="25"/>
        <v>1.0039763767089045E-2</v>
      </c>
      <c r="J194" s="5">
        <f t="shared" ca="1" si="26"/>
        <v>1.2089085294913168E-2</v>
      </c>
    </row>
    <row r="195" spans="1:10" x14ac:dyDescent="0.2">
      <c r="A195">
        <f t="shared" ca="1" si="18"/>
        <v>0.12150680604011743</v>
      </c>
      <c r="B195">
        <f t="shared" ca="1" si="19"/>
        <v>-1.1674873546365039</v>
      </c>
      <c r="C195">
        <f t="shared" ca="1" si="23"/>
        <v>-5.0146632785916294</v>
      </c>
      <c r="D195" s="21">
        <f t="shared" ca="1" si="20"/>
        <v>0.20180530261487484</v>
      </c>
      <c r="F195">
        <f t="shared" si="21"/>
        <v>0.18900000000000014</v>
      </c>
      <c r="G195">
        <f t="shared" ca="1" si="22"/>
        <v>-5.029198467399259E-4</v>
      </c>
      <c r="H195">
        <f t="shared" ca="1" si="24"/>
        <v>-5.0344689305496771E-4</v>
      </c>
      <c r="I195">
        <f t="shared" ca="1" si="25"/>
        <v>1.0056148661229959E-2</v>
      </c>
      <c r="J195" s="5">
        <f t="shared" ca="1" si="26"/>
        <v>1.0559595554284927E-2</v>
      </c>
    </row>
    <row r="196" spans="1:10" x14ac:dyDescent="0.2">
      <c r="A196">
        <f t="shared" ca="1" si="18"/>
        <v>0.62386982324325968</v>
      </c>
      <c r="B196">
        <f t="shared" ca="1" si="19"/>
        <v>0.31566031259284588</v>
      </c>
      <c r="C196">
        <f t="shared" ca="1" si="23"/>
        <v>-4.6990029659987833</v>
      </c>
      <c r="D196" s="21">
        <f t="shared" ca="1" si="20"/>
        <v>0.37955367741763685</v>
      </c>
      <c r="F196">
        <f t="shared" si="21"/>
        <v>0.19000000000000014</v>
      </c>
      <c r="G196">
        <f t="shared" ca="1" si="22"/>
        <v>-4.1846046490813527E-3</v>
      </c>
      <c r="H196">
        <f t="shared" ca="1" si="24"/>
        <v>-4.1853157284617564E-3</v>
      </c>
      <c r="I196">
        <f t="shared" ca="1" si="25"/>
        <v>1.0020042481665332E-2</v>
      </c>
      <c r="J196" s="5">
        <f t="shared" ca="1" si="26"/>
        <v>1.4205358210127089E-2</v>
      </c>
    </row>
    <row r="197" spans="1:10" x14ac:dyDescent="0.2">
      <c r="A197">
        <f t="shared" ca="1" si="18"/>
        <v>0.63395669425308776</v>
      </c>
      <c r="B197">
        <f t="shared" ca="1" si="19"/>
        <v>0.34235119634989031</v>
      </c>
      <c r="C197">
        <f t="shared" ca="1" si="23"/>
        <v>-4.3566517696488933</v>
      </c>
      <c r="D197" s="21">
        <f t="shared" ca="1" si="20"/>
        <v>0.37623523582327917</v>
      </c>
      <c r="F197">
        <f t="shared" si="21"/>
        <v>0.19100000000000014</v>
      </c>
      <c r="G197">
        <f t="shared" ca="1" si="22"/>
        <v>-3.1760310630062115E-3</v>
      </c>
      <c r="H197">
        <f t="shared" ca="1" si="24"/>
        <v>-3.1766916421747862E-3</v>
      </c>
      <c r="I197">
        <f t="shared" ca="1" si="25"/>
        <v>1.0031002437415493E-2</v>
      </c>
      <c r="J197" s="5">
        <f t="shared" ca="1" si="26"/>
        <v>1.320769407959028E-2</v>
      </c>
    </row>
    <row r="198" spans="1:10" x14ac:dyDescent="0.2">
      <c r="A198">
        <f t="shared" ca="1" si="18"/>
        <v>6.5568457634577859E-2</v>
      </c>
      <c r="B198">
        <f t="shared" ca="1" si="19"/>
        <v>-1.5096337079509072</v>
      </c>
      <c r="C198">
        <f t="shared" ca="1" si="23"/>
        <v>-5.866285477599801</v>
      </c>
      <c r="D198" s="21">
        <f t="shared" ca="1" si="20"/>
        <v>0.1276535277840406</v>
      </c>
      <c r="F198">
        <f t="shared" si="21"/>
        <v>0.19200000000000014</v>
      </c>
      <c r="G198">
        <f t="shared" ca="1" si="22"/>
        <v>-2.0831585638353637E-3</v>
      </c>
      <c r="H198">
        <f t="shared" ca="1" si="24"/>
        <v>-2.0837644328613918E-3</v>
      </c>
      <c r="I198">
        <f t="shared" ca="1" si="25"/>
        <v>1.0042821999631754E-2</v>
      </c>
      <c r="J198" s="5">
        <f t="shared" ca="1" si="26"/>
        <v>1.2126586432493147E-2</v>
      </c>
    </row>
    <row r="199" spans="1:10" x14ac:dyDescent="0.2">
      <c r="A199">
        <f t="shared" ref="A199:A262" ca="1" si="27">RAND()</f>
        <v>0.66023905305366837</v>
      </c>
      <c r="B199">
        <f t="shared" ref="B199:B262" ca="1" si="28">NORMSINV(A199)</f>
        <v>0.4131156362634561</v>
      </c>
      <c r="C199">
        <f t="shared" ca="1" si="23"/>
        <v>-5.4531698413363445</v>
      </c>
      <c r="D199" s="21">
        <f t="shared" ref="D199:D262" ca="1" si="29">_xlfn.NORM.DIST(B199,0,1,FALSE)</f>
        <v>0.36631165274878963</v>
      </c>
      <c r="F199">
        <f t="shared" ref="F199:F262" si="30">F198+$M$2/$N$2</f>
        <v>0.19300000000000014</v>
      </c>
      <c r="G199">
        <f t="shared" ref="G199:G262" ca="1" si="31">G198*EXP(-$M$4*$O$2) + $O$4*(1-EXP(-$M$4*$O$2)) + $N$4* SQRT((1-EXP(-2*$M$4*$O$2))/(2*$M$4)) *B198</f>
        <v>-6.8465930239657354E-3</v>
      </c>
      <c r="H199">
        <f t="shared" ca="1" si="24"/>
        <v>-6.8474370061084155E-3</v>
      </c>
      <c r="I199">
        <f t="shared" ca="1" si="25"/>
        <v>9.9959425882124135E-3</v>
      </c>
      <c r="J199" s="5">
        <f t="shared" ca="1" si="26"/>
        <v>1.6843379594320827E-2</v>
      </c>
    </row>
    <row r="200" spans="1:10" x14ac:dyDescent="0.2">
      <c r="A200">
        <f t="shared" ca="1" si="27"/>
        <v>0.42365670878861716</v>
      </c>
      <c r="B200">
        <f t="shared" ca="1" si="28"/>
        <v>-0.19254743198458674</v>
      </c>
      <c r="C200">
        <f t="shared" ref="C200:C263" ca="1" si="32">B200+C199</f>
        <v>-5.6457172733209315</v>
      </c>
      <c r="D200" s="21">
        <f t="shared" ca="1" si="29"/>
        <v>0.39161510756903328</v>
      </c>
      <c r="F200">
        <f t="shared" si="30"/>
        <v>0.19400000000000014</v>
      </c>
      <c r="G200">
        <f t="shared" ca="1" si="31"/>
        <v>-5.529587867852185E-3</v>
      </c>
      <c r="H200">
        <f t="shared" ref="H200:H263" ca="1" si="33">H199+($M$6 + $N$6*H199)*$O$2 + $O$6*H199^$P$6*SQRT($O$2)*B199</f>
        <v>-5.5303659147856316E-3</v>
      </c>
      <c r="I200">
        <f t="shared" ref="I200:I263" ca="1" si="34">I199*EXP(($M$8-0.5*($N$8^2))*$O$2 + $N$8*SQRT($O$2)*B199)</f>
        <v>1.0009960585708161E-2</v>
      </c>
      <c r="J200" s="5">
        <f t="shared" ref="J200:J263" ca="1" si="35">ABS(H200-I200)</f>
        <v>1.5540326500493792E-2</v>
      </c>
    </row>
    <row r="201" spans="1:10" x14ac:dyDescent="0.2">
      <c r="A201">
        <f t="shared" ca="1" si="27"/>
        <v>0.20469627576042626</v>
      </c>
      <c r="B201">
        <f t="shared" ca="1" si="28"/>
        <v>-0.8249630803508311</v>
      </c>
      <c r="C201">
        <f t="shared" ca="1" si="32"/>
        <v>-6.4706803536717628</v>
      </c>
      <c r="D201" s="21">
        <f t="shared" ca="1" si="29"/>
        <v>0.28387519967228803</v>
      </c>
      <c r="F201">
        <f t="shared" si="30"/>
        <v>0.19500000000000015</v>
      </c>
      <c r="G201">
        <f t="shared" ca="1" si="31"/>
        <v>-6.1278934362297283E-3</v>
      </c>
      <c r="H201">
        <f t="shared" ca="1" si="33"/>
        <v>-6.1287013208818015E-3</v>
      </c>
      <c r="I201">
        <f t="shared" ca="1" si="34"/>
        <v>1.000481790414689E-2</v>
      </c>
      <c r="J201" s="5">
        <f t="shared" ca="1" si="35"/>
        <v>1.6133519225028693E-2</v>
      </c>
    </row>
    <row r="202" spans="1:10" x14ac:dyDescent="0.2">
      <c r="A202">
        <f t="shared" ca="1" si="27"/>
        <v>0.15660787590990555</v>
      </c>
      <c r="B202">
        <f t="shared" ca="1" si="28"/>
        <v>-1.0084973655200733</v>
      </c>
      <c r="C202">
        <f t="shared" ca="1" si="32"/>
        <v>-7.4791777191918358</v>
      </c>
      <c r="D202" s="21">
        <f t="shared" ca="1" si="29"/>
        <v>0.2399146602094662</v>
      </c>
      <c r="F202">
        <f t="shared" si="30"/>
        <v>0.19600000000000015</v>
      </c>
      <c r="G202">
        <f t="shared" ca="1" si="31"/>
        <v>-8.7259130642837208E-3</v>
      </c>
      <c r="H202">
        <f t="shared" ca="1" si="33"/>
        <v>-8.7268507702068388E-3</v>
      </c>
      <c r="I202">
        <f t="shared" ca="1" si="34"/>
        <v>9.9796997536433507E-3</v>
      </c>
      <c r="J202" s="5">
        <f t="shared" ca="1" si="35"/>
        <v>1.8706550523850188E-2</v>
      </c>
    </row>
    <row r="203" spans="1:10" x14ac:dyDescent="0.2">
      <c r="A203">
        <f t="shared" ca="1" si="27"/>
        <v>0.79107529656198861</v>
      </c>
      <c r="B203">
        <f t="shared" ca="1" si="28"/>
        <v>0.81015794102069294</v>
      </c>
      <c r="C203">
        <f t="shared" ca="1" si="32"/>
        <v>-6.6690197781711431</v>
      </c>
      <c r="D203" s="21">
        <f t="shared" ca="1" si="29"/>
        <v>0.28733213201886476</v>
      </c>
      <c r="F203">
        <f t="shared" si="30"/>
        <v>0.19700000000000015</v>
      </c>
      <c r="G203">
        <f t="shared" ca="1" si="31"/>
        <v>-1.1904030255120834E-2</v>
      </c>
      <c r="H203">
        <f t="shared" ca="1" si="33"/>
        <v>-1.190512677445261E-2</v>
      </c>
      <c r="I203">
        <f t="shared" ca="1" si="34"/>
        <v>9.9488688011038079E-3</v>
      </c>
      <c r="J203" s="5">
        <f t="shared" ca="1" si="35"/>
        <v>2.1853995575556416E-2</v>
      </c>
    </row>
    <row r="204" spans="1:10" x14ac:dyDescent="0.2">
      <c r="A204">
        <f t="shared" ca="1" si="27"/>
        <v>0.54461001998499148</v>
      </c>
      <c r="B204">
        <f t="shared" ca="1" si="28"/>
        <v>0.11205479493002339</v>
      </c>
      <c r="C204">
        <f t="shared" ca="1" si="32"/>
        <v>-6.5569649832411194</v>
      </c>
      <c r="D204" s="21">
        <f t="shared" ca="1" si="29"/>
        <v>0.39644551123045663</v>
      </c>
      <c r="F204">
        <f t="shared" si="30"/>
        <v>0.19800000000000015</v>
      </c>
      <c r="G204">
        <f t="shared" ca="1" si="31"/>
        <v>-9.3310241453798282E-3</v>
      </c>
      <c r="H204">
        <f t="shared" ca="1" si="33"/>
        <v>-9.3319919036774154E-3</v>
      </c>
      <c r="I204">
        <f t="shared" ca="1" si="34"/>
        <v>9.9753375393457112E-3</v>
      </c>
      <c r="J204" s="5">
        <f t="shared" ca="1" si="35"/>
        <v>1.9307329443023127E-2</v>
      </c>
    </row>
    <row r="205" spans="1:10" x14ac:dyDescent="0.2">
      <c r="A205">
        <f t="shared" ca="1" si="27"/>
        <v>2.7692749558378082E-2</v>
      </c>
      <c r="B205">
        <f t="shared" ca="1" si="28"/>
        <v>-1.9158397285919189</v>
      </c>
      <c r="C205">
        <f t="shared" ca="1" si="32"/>
        <v>-8.4728047118330387</v>
      </c>
      <c r="D205" s="21">
        <f t="shared" ca="1" si="29"/>
        <v>6.366250768668473E-2</v>
      </c>
      <c r="F205">
        <f t="shared" si="30"/>
        <v>0.19900000000000015</v>
      </c>
      <c r="G205">
        <f t="shared" ca="1" si="31"/>
        <v>-8.9657609315607692E-3</v>
      </c>
      <c r="H205">
        <f t="shared" ca="1" si="33"/>
        <v>-8.9667103297650843E-3</v>
      </c>
      <c r="I205">
        <f t="shared" ca="1" si="34"/>
        <v>9.9798209482871401E-3</v>
      </c>
      <c r="J205" s="5">
        <f t="shared" ca="1" si="35"/>
        <v>1.8946531278052223E-2</v>
      </c>
    </row>
    <row r="206" spans="1:10" x14ac:dyDescent="0.2">
      <c r="A206">
        <f t="shared" ca="1" si="27"/>
        <v>0.32995821401167114</v>
      </c>
      <c r="B206">
        <f t="shared" ca="1" si="28"/>
        <v>-0.44002855210689262</v>
      </c>
      <c r="C206">
        <f t="shared" ca="1" si="32"/>
        <v>-8.9128332639399321</v>
      </c>
      <c r="D206" s="21">
        <f t="shared" ca="1" si="29"/>
        <v>0.36213033281995727</v>
      </c>
      <c r="F206">
        <f t="shared" si="30"/>
        <v>0.20000000000000015</v>
      </c>
      <c r="G206">
        <f t="shared" ca="1" si="31"/>
        <v>-1.5012979166229973E-2</v>
      </c>
      <c r="H206">
        <f t="shared" ca="1" si="33"/>
        <v>-1.5014230832921383E-2</v>
      </c>
      <c r="I206">
        <f t="shared" ca="1" si="34"/>
        <v>9.9204842133469046E-3</v>
      </c>
      <c r="J206" s="5">
        <f t="shared" ca="1" si="35"/>
        <v>2.4934715046268287E-2</v>
      </c>
    </row>
    <row r="207" spans="1:10" x14ac:dyDescent="0.2">
      <c r="A207">
        <f t="shared" ca="1" si="27"/>
        <v>0.21577184287235773</v>
      </c>
      <c r="B207">
        <f t="shared" ca="1" si="28"/>
        <v>-0.786552822514067</v>
      </c>
      <c r="C207">
        <f t="shared" ca="1" si="32"/>
        <v>-9.6993860864539982</v>
      </c>
      <c r="D207" s="21">
        <f t="shared" ca="1" si="29"/>
        <v>0.29279832881594203</v>
      </c>
      <c r="F207">
        <f t="shared" si="30"/>
        <v>0.20100000000000015</v>
      </c>
      <c r="G207">
        <f t="shared" ca="1" si="31"/>
        <v>-1.639290133179875E-2</v>
      </c>
      <c r="H207">
        <f t="shared" ca="1" si="33"/>
        <v>-1.6394221870001953E-2</v>
      </c>
      <c r="I207">
        <f t="shared" ca="1" si="34"/>
        <v>9.9076307143958105E-3</v>
      </c>
      <c r="J207" s="5">
        <f t="shared" ca="1" si="35"/>
        <v>2.6301852584397763E-2</v>
      </c>
    </row>
    <row r="208" spans="1:10" x14ac:dyDescent="0.2">
      <c r="A208">
        <f t="shared" ca="1" si="27"/>
        <v>0.74090856898979418</v>
      </c>
      <c r="B208">
        <f t="shared" ca="1" si="28"/>
        <v>0.64614900382838014</v>
      </c>
      <c r="C208">
        <f t="shared" ca="1" si="32"/>
        <v>-9.0532370826256177</v>
      </c>
      <c r="D208" s="21">
        <f t="shared" ca="1" si="29"/>
        <v>0.3237794189416634</v>
      </c>
      <c r="F208">
        <f t="shared" si="30"/>
        <v>0.20200000000000015</v>
      </c>
      <c r="G208">
        <f t="shared" ca="1" si="31"/>
        <v>-1.8868436683049983E-2</v>
      </c>
      <c r="H208">
        <f t="shared" ca="1" si="33"/>
        <v>-1.8869880866993569E-2</v>
      </c>
      <c r="I208">
        <f t="shared" ca="1" si="34"/>
        <v>9.8839570336450265E-3</v>
      </c>
      <c r="J208" s="5">
        <f t="shared" ca="1" si="35"/>
        <v>2.8753837900638596E-2</v>
      </c>
    </row>
    <row r="209" spans="1:10" x14ac:dyDescent="0.2">
      <c r="A209">
        <f t="shared" ca="1" si="27"/>
        <v>0.21595983588563417</v>
      </c>
      <c r="B209">
        <f t="shared" ca="1" si="28"/>
        <v>-0.78591092823267383</v>
      </c>
      <c r="C209">
        <f t="shared" ca="1" si="32"/>
        <v>-9.8391480108582918</v>
      </c>
      <c r="D209" s="21">
        <f t="shared" ca="1" si="29"/>
        <v>0.29294613491025245</v>
      </c>
      <c r="F209">
        <f t="shared" si="30"/>
        <v>0.20300000000000015</v>
      </c>
      <c r="G209">
        <f t="shared" ca="1" si="31"/>
        <v>-1.6813350034628815E-2</v>
      </c>
      <c r="H209">
        <f t="shared" ca="1" si="33"/>
        <v>-1.681469131896033E-2</v>
      </c>
      <c r="I209">
        <f t="shared" ca="1" si="34"/>
        <v>9.9051145367824289E-3</v>
      </c>
      <c r="J209" s="5">
        <f t="shared" ca="1" si="35"/>
        <v>2.6719805855742761E-2</v>
      </c>
    </row>
    <row r="210" spans="1:10" x14ac:dyDescent="0.2">
      <c r="A210">
        <f t="shared" ca="1" si="27"/>
        <v>0.13708126105538732</v>
      </c>
      <c r="B210">
        <f t="shared" ca="1" si="28"/>
        <v>-1.0935269062936457</v>
      </c>
      <c r="C210">
        <f t="shared" ca="1" si="32"/>
        <v>-10.932674917151937</v>
      </c>
      <c r="D210" s="21">
        <f t="shared" ca="1" si="29"/>
        <v>0.21940431137133179</v>
      </c>
      <c r="F210">
        <f t="shared" si="30"/>
        <v>0.20400000000000015</v>
      </c>
      <c r="G210">
        <f t="shared" ca="1" si="31"/>
        <v>-1.9286813596653865E-2</v>
      </c>
      <c r="H210">
        <f t="shared" ca="1" si="33"/>
        <v>-1.9288278421060814E-2</v>
      </c>
      <c r="I210">
        <f t="shared" ca="1" si="34"/>
        <v>9.881466926139941E-3</v>
      </c>
      <c r="J210" s="5">
        <f t="shared" ca="1" si="35"/>
        <v>2.9169745347200755E-2</v>
      </c>
    </row>
    <row r="211" spans="1:10" x14ac:dyDescent="0.2">
      <c r="A211">
        <f t="shared" ca="1" si="27"/>
        <v>0.42889313064215484</v>
      </c>
      <c r="B211">
        <f t="shared" ca="1" si="28"/>
        <v>-0.17919287095330369</v>
      </c>
      <c r="C211">
        <f t="shared" ca="1" si="32"/>
        <v>-11.11186778810524</v>
      </c>
      <c r="D211" s="21">
        <f t="shared" ca="1" si="29"/>
        <v>0.39258838762706555</v>
      </c>
      <c r="F211">
        <f t="shared" si="30"/>
        <v>0.20500000000000015</v>
      </c>
      <c r="G211">
        <f t="shared" ca="1" si="31"/>
        <v>-2.2732748323692421E-2</v>
      </c>
      <c r="H211">
        <f t="shared" ca="1" si="33"/>
        <v>-2.2734385299784145E-2</v>
      </c>
      <c r="I211">
        <f t="shared" ca="1" si="34"/>
        <v>9.8482910171856057E-3</v>
      </c>
      <c r="J211" s="5">
        <f t="shared" ca="1" si="35"/>
        <v>3.2582676316969747E-2</v>
      </c>
    </row>
    <row r="212" spans="1:10" x14ac:dyDescent="0.2">
      <c r="A212">
        <f t="shared" ca="1" si="27"/>
        <v>0.72339348925548463</v>
      </c>
      <c r="B212">
        <f t="shared" ca="1" si="28"/>
        <v>0.59295238047725551</v>
      </c>
      <c r="C212">
        <f t="shared" ca="1" si="32"/>
        <v>-10.518915407627984</v>
      </c>
      <c r="D212" s="21">
        <f t="shared" ca="1" si="29"/>
        <v>0.33462833996906799</v>
      </c>
      <c r="F212">
        <f t="shared" si="30"/>
        <v>0.20600000000000016</v>
      </c>
      <c r="G212">
        <f t="shared" ca="1" si="31"/>
        <v>-2.3287104943480255E-2</v>
      </c>
      <c r="H212">
        <f t="shared" ca="1" si="33"/>
        <v>-2.3288769473931232E-2</v>
      </c>
      <c r="I212">
        <f t="shared" ca="1" si="34"/>
        <v>9.8436470910131472E-3</v>
      </c>
      <c r="J212" s="5">
        <f t="shared" ca="1" si="35"/>
        <v>3.3132416564944381E-2</v>
      </c>
    </row>
    <row r="213" spans="1:10" x14ac:dyDescent="0.2">
      <c r="A213">
        <f t="shared" ca="1" si="27"/>
        <v>0.79259806616702966</v>
      </c>
      <c r="B213">
        <f t="shared" ca="1" si="28"/>
        <v>0.8154690603573258</v>
      </c>
      <c r="C213">
        <f t="shared" ca="1" si="32"/>
        <v>-9.703446347270658</v>
      </c>
      <c r="D213" s="21">
        <f t="shared" ca="1" si="29"/>
        <v>0.28609440723492913</v>
      </c>
      <c r="F213">
        <f t="shared" si="30"/>
        <v>0.20700000000000016</v>
      </c>
      <c r="G213">
        <f t="shared" ca="1" si="31"/>
        <v>-2.1399790533171068E-2</v>
      </c>
      <c r="H213">
        <f t="shared" ca="1" si="33"/>
        <v>-2.1401360530656954E-2</v>
      </c>
      <c r="I213">
        <f t="shared" ca="1" si="34"/>
        <v>9.8630589791355531E-3</v>
      </c>
      <c r="J213" s="5">
        <f t="shared" ca="1" si="35"/>
        <v>3.1264419509792508E-2</v>
      </c>
    </row>
    <row r="214" spans="1:10" x14ac:dyDescent="0.2">
      <c r="A214">
        <f t="shared" ca="1" si="27"/>
        <v>0.53458736900585424</v>
      </c>
      <c r="B214">
        <f t="shared" ca="1" si="28"/>
        <v>8.6806574085332211E-2</v>
      </c>
      <c r="C214">
        <f t="shared" ca="1" si="32"/>
        <v>-9.6166397731853266</v>
      </c>
      <c r="D214" s="21">
        <f t="shared" ca="1" si="29"/>
        <v>0.39744201733909573</v>
      </c>
      <c r="F214">
        <f t="shared" si="30"/>
        <v>0.20800000000000016</v>
      </c>
      <c r="G214">
        <f t="shared" ca="1" si="31"/>
        <v>-1.8809040500577467E-2</v>
      </c>
      <c r="H214">
        <f t="shared" ca="1" si="33"/>
        <v>-1.8810480802477415E-2</v>
      </c>
      <c r="I214">
        <f t="shared" ca="1" si="34"/>
        <v>9.8894655167987289E-3</v>
      </c>
      <c r="J214" s="5">
        <f t="shared" ca="1" si="35"/>
        <v>2.8699946319276144E-2</v>
      </c>
    </row>
    <row r="215" spans="1:10" x14ac:dyDescent="0.2">
      <c r="A215">
        <f t="shared" ca="1" si="27"/>
        <v>0.89876455610206074</v>
      </c>
      <c r="B215">
        <f t="shared" ca="1" si="28"/>
        <v>1.2745434398900313</v>
      </c>
      <c r="C215">
        <f t="shared" ca="1" si="32"/>
        <v>-8.3420963332952951</v>
      </c>
      <c r="D215" s="21">
        <f t="shared" ca="1" si="29"/>
        <v>0.1770772814586338</v>
      </c>
      <c r="F215">
        <f t="shared" si="30"/>
        <v>0.20900000000000016</v>
      </c>
      <c r="G215">
        <f t="shared" ca="1" si="31"/>
        <v>-1.8522667425319647E-2</v>
      </c>
      <c r="H215">
        <f t="shared" ca="1" si="33"/>
        <v>-1.8524093264411373E-2</v>
      </c>
      <c r="I215">
        <f t="shared" ca="1" si="34"/>
        <v>9.8931204137021542E-3</v>
      </c>
      <c r="J215" s="5">
        <f t="shared" ca="1" si="35"/>
        <v>2.8417213678113527E-2</v>
      </c>
    </row>
    <row r="216" spans="1:10" x14ac:dyDescent="0.2">
      <c r="A216">
        <f t="shared" ca="1" si="27"/>
        <v>0.95912659738216399</v>
      </c>
      <c r="B216">
        <f t="shared" ca="1" si="28"/>
        <v>1.7406394088181514</v>
      </c>
      <c r="C216">
        <f t="shared" ca="1" si="32"/>
        <v>-6.6014569244771435</v>
      </c>
      <c r="D216" s="21">
        <f t="shared" ca="1" si="29"/>
        <v>8.7698427608691287E-2</v>
      </c>
      <c r="F216">
        <f t="shared" si="30"/>
        <v>0.21000000000000016</v>
      </c>
      <c r="G216">
        <f t="shared" ca="1" si="31"/>
        <v>-1.448055701890821E-2</v>
      </c>
      <c r="H216">
        <f t="shared" ca="1" si="33"/>
        <v>-1.4481780608206526E-2</v>
      </c>
      <c r="I216">
        <f t="shared" ca="1" si="34"/>
        <v>9.9340183921736627E-3</v>
      </c>
      <c r="J216" s="5">
        <f t="shared" ca="1" si="35"/>
        <v>2.4415799000380191E-2</v>
      </c>
    </row>
    <row r="217" spans="1:10" x14ac:dyDescent="0.2">
      <c r="A217">
        <f t="shared" ca="1" si="27"/>
        <v>0.37999100445759026</v>
      </c>
      <c r="B217">
        <f t="shared" ca="1" si="28"/>
        <v>-0.30550441369218628</v>
      </c>
      <c r="C217">
        <f t="shared" ca="1" si="32"/>
        <v>-6.9069613381693298</v>
      </c>
      <c r="D217" s="21">
        <f t="shared" ca="1" si="29"/>
        <v>0.38075277210215458</v>
      </c>
      <c r="F217">
        <f t="shared" si="30"/>
        <v>0.21100000000000016</v>
      </c>
      <c r="G217">
        <f t="shared" ca="1" si="31"/>
        <v>-8.9649996264645655E-3</v>
      </c>
      <c r="H217">
        <f t="shared" ca="1" si="33"/>
        <v>-8.9659473132313715E-3</v>
      </c>
      <c r="I217">
        <f t="shared" ca="1" si="34"/>
        <v>9.9897988091876382E-3</v>
      </c>
      <c r="J217" s="5">
        <f t="shared" ca="1" si="35"/>
        <v>1.8955746122419008E-2</v>
      </c>
    </row>
    <row r="218" spans="1:10" x14ac:dyDescent="0.2">
      <c r="A218">
        <f t="shared" ca="1" si="27"/>
        <v>4.5941827440763583E-2</v>
      </c>
      <c r="B218">
        <f t="shared" ca="1" si="28"/>
        <v>-1.6855440429290529</v>
      </c>
      <c r="C218">
        <f t="shared" ca="1" si="32"/>
        <v>-8.5925053810983822</v>
      </c>
      <c r="D218" s="21">
        <f t="shared" ca="1" si="29"/>
        <v>9.6378908429285107E-2</v>
      </c>
      <c r="F218">
        <f t="shared" si="30"/>
        <v>0.21200000000000016</v>
      </c>
      <c r="G218">
        <f t="shared" ca="1" si="31"/>
        <v>-9.9201451513338708E-3</v>
      </c>
      <c r="H218">
        <f t="shared" ca="1" si="33"/>
        <v>-9.9211405010016882E-3</v>
      </c>
      <c r="I218">
        <f t="shared" ca="1" si="34"/>
        <v>9.9811005865321645E-3</v>
      </c>
      <c r="J218" s="5">
        <f t="shared" ca="1" si="35"/>
        <v>1.9902241087533853E-2</v>
      </c>
    </row>
    <row r="219" spans="1:10" x14ac:dyDescent="0.2">
      <c r="A219">
        <f t="shared" ca="1" si="27"/>
        <v>0.81097083547276505</v>
      </c>
      <c r="B219">
        <f t="shared" ca="1" si="28"/>
        <v>0.88147952924801398</v>
      </c>
      <c r="C219">
        <f t="shared" ca="1" si="32"/>
        <v>-7.7110258518503683</v>
      </c>
      <c r="D219" s="21">
        <f t="shared" ca="1" si="29"/>
        <v>0.2705112441746228</v>
      </c>
      <c r="F219">
        <f t="shared" si="30"/>
        <v>0.21300000000000016</v>
      </c>
      <c r="G219">
        <f t="shared" ca="1" si="31"/>
        <v>-1.5239045461775982E-2</v>
      </c>
      <c r="H219">
        <f t="shared" ca="1" si="33"/>
        <v>-1.5240306659136024E-2</v>
      </c>
      <c r="I219">
        <f t="shared" ca="1" si="34"/>
        <v>9.9289844822864765E-3</v>
      </c>
      <c r="J219" s="5">
        <f t="shared" ca="1" si="35"/>
        <v>2.5169291141422502E-2</v>
      </c>
    </row>
    <row r="220" spans="1:10" x14ac:dyDescent="0.2">
      <c r="A220">
        <f t="shared" ca="1" si="27"/>
        <v>0.32566837860520115</v>
      </c>
      <c r="B220">
        <f t="shared" ca="1" si="28"/>
        <v>-0.45190592314157996</v>
      </c>
      <c r="C220">
        <f t="shared" ca="1" si="32"/>
        <v>-8.1629317749919483</v>
      </c>
      <c r="D220" s="21">
        <f t="shared" ca="1" si="29"/>
        <v>0.36021722926445554</v>
      </c>
      <c r="F220">
        <f t="shared" si="30"/>
        <v>0.21400000000000016</v>
      </c>
      <c r="G220">
        <f t="shared" ca="1" si="31"/>
        <v>-1.244017847851325E-2</v>
      </c>
      <c r="H220">
        <f t="shared" ca="1" si="33"/>
        <v>-1.2441299605233377E-2</v>
      </c>
      <c r="I220">
        <f t="shared" ca="1" si="34"/>
        <v>9.9576458996742251E-3</v>
      </c>
      <c r="J220" s="5">
        <f t="shared" ca="1" si="35"/>
        <v>2.2398945504907602E-2</v>
      </c>
    </row>
    <row r="221" spans="1:10" x14ac:dyDescent="0.2">
      <c r="A221">
        <f t="shared" ca="1" si="27"/>
        <v>0.4918495210955206</v>
      </c>
      <c r="B221">
        <f t="shared" ca="1" si="28"/>
        <v>-2.0431642323094863E-2</v>
      </c>
      <c r="C221">
        <f t="shared" ca="1" si="32"/>
        <v>-8.1833634173150429</v>
      </c>
      <c r="D221" s="21">
        <f t="shared" ca="1" si="29"/>
        <v>0.39885901946307784</v>
      </c>
      <c r="F221">
        <f t="shared" si="30"/>
        <v>0.21500000000000016</v>
      </c>
      <c r="G221">
        <f t="shared" ca="1" si="31"/>
        <v>-1.3857915578472737E-2</v>
      </c>
      <c r="H221">
        <f t="shared" ca="1" si="33"/>
        <v>-1.385910748052124E-2</v>
      </c>
      <c r="I221">
        <f t="shared" ca="1" si="34"/>
        <v>9.9443707390403542E-3</v>
      </c>
      <c r="J221" s="5">
        <f t="shared" ca="1" si="35"/>
        <v>2.3803478219561594E-2</v>
      </c>
    </row>
    <row r="222" spans="1:10" x14ac:dyDescent="0.2">
      <c r="A222">
        <f t="shared" ca="1" si="27"/>
        <v>0.77518279497160558</v>
      </c>
      <c r="B222">
        <f t="shared" ca="1" si="28"/>
        <v>0.7560246610645085</v>
      </c>
      <c r="C222">
        <f t="shared" ca="1" si="32"/>
        <v>-7.4273387562505349</v>
      </c>
      <c r="D222" s="21">
        <f t="shared" ca="1" si="29"/>
        <v>0.29977437300419052</v>
      </c>
      <c r="F222">
        <f t="shared" si="30"/>
        <v>0.21600000000000016</v>
      </c>
      <c r="G222">
        <f t="shared" ca="1" si="31"/>
        <v>-1.3911137651872659E-2</v>
      </c>
      <c r="H222">
        <f t="shared" ca="1" si="33"/>
        <v>-1.391233209585206E-2</v>
      </c>
      <c r="I222">
        <f t="shared" ca="1" si="34"/>
        <v>9.9446729478275507E-3</v>
      </c>
      <c r="J222" s="5">
        <f t="shared" ca="1" si="35"/>
        <v>2.3857005043679609E-2</v>
      </c>
    </row>
    <row r="223" spans="1:10" x14ac:dyDescent="0.2">
      <c r="A223">
        <f t="shared" ca="1" si="27"/>
        <v>0.82023927402395125</v>
      </c>
      <c r="B223">
        <f t="shared" ca="1" si="28"/>
        <v>0.91627733615381635</v>
      </c>
      <c r="C223">
        <f t="shared" ca="1" si="32"/>
        <v>-6.5110614200967181</v>
      </c>
      <c r="D223" s="21">
        <f t="shared" ca="1" si="29"/>
        <v>0.26218088528719602</v>
      </c>
      <c r="F223">
        <f t="shared" si="30"/>
        <v>0.21700000000000016</v>
      </c>
      <c r="G223">
        <f t="shared" ca="1" si="31"/>
        <v>-1.1509106744437786E-2</v>
      </c>
      <c r="H223">
        <f t="shared" ca="1" si="33"/>
        <v>-1.1510180966421809E-2</v>
      </c>
      <c r="I223">
        <f t="shared" ca="1" si="34"/>
        <v>9.9694237665739968E-3</v>
      </c>
      <c r="J223" s="5">
        <f t="shared" ca="1" si="35"/>
        <v>2.1479604732995806E-2</v>
      </c>
    </row>
    <row r="224" spans="1:10" x14ac:dyDescent="0.2">
      <c r="A224">
        <f t="shared" ca="1" si="27"/>
        <v>0.34033608731326348</v>
      </c>
      <c r="B224">
        <f t="shared" ca="1" si="28"/>
        <v>-0.41154605977414066</v>
      </c>
      <c r="C224">
        <f t="shared" ca="1" si="32"/>
        <v>-6.9226074798708588</v>
      </c>
      <c r="D224" s="21">
        <f t="shared" ca="1" si="29"/>
        <v>0.36654880081533059</v>
      </c>
      <c r="F224">
        <f t="shared" si="30"/>
        <v>0.21800000000000017</v>
      </c>
      <c r="G224">
        <f t="shared" ca="1" si="31"/>
        <v>-8.6005779107837729E-3</v>
      </c>
      <c r="H224">
        <f t="shared" ca="1" si="33"/>
        <v>-8.6015065976873615E-3</v>
      </c>
      <c r="I224">
        <f t="shared" ca="1" si="34"/>
        <v>9.9993021836209672E-3</v>
      </c>
      <c r="J224" s="5">
        <f t="shared" ca="1" si="35"/>
        <v>1.8600808781308327E-2</v>
      </c>
    </row>
    <row r="225" spans="1:10" x14ac:dyDescent="0.2">
      <c r="A225">
        <f t="shared" ca="1" si="27"/>
        <v>0.37995112710065637</v>
      </c>
      <c r="B225">
        <f t="shared" ca="1" si="28"/>
        <v>-0.3056091483071588</v>
      </c>
      <c r="C225">
        <f t="shared" ca="1" si="32"/>
        <v>-7.2282166281780178</v>
      </c>
      <c r="D225" s="21">
        <f t="shared" ca="1" si="29"/>
        <v>0.38074058730534621</v>
      </c>
      <c r="F225">
        <f t="shared" si="30"/>
        <v>0.21900000000000017</v>
      </c>
      <c r="G225">
        <f t="shared" ca="1" si="31"/>
        <v>-9.8910762384971998E-3</v>
      </c>
      <c r="H225">
        <f t="shared" ca="1" si="33"/>
        <v>-9.8920693579816789E-3</v>
      </c>
      <c r="I225">
        <f t="shared" ca="1" si="34"/>
        <v>9.9872460702210668E-3</v>
      </c>
      <c r="J225" s="5">
        <f t="shared" ca="1" si="35"/>
        <v>1.9879315428202746E-2</v>
      </c>
    </row>
    <row r="226" spans="1:10" x14ac:dyDescent="0.2">
      <c r="A226">
        <f t="shared" ca="1" si="27"/>
        <v>0.74666814803359727</v>
      </c>
      <c r="B226">
        <f t="shared" ca="1" si="28"/>
        <v>0.66404157226564187</v>
      </c>
      <c r="C226">
        <f t="shared" ca="1" si="32"/>
        <v>-6.5641750559123757</v>
      </c>
      <c r="D226" s="21">
        <f t="shared" ca="1" si="29"/>
        <v>0.32000644650819005</v>
      </c>
      <c r="F226">
        <f t="shared" si="30"/>
        <v>0.22000000000000017</v>
      </c>
      <c r="G226">
        <f t="shared" ca="1" si="31"/>
        <v>-1.0846460343709396E-2</v>
      </c>
      <c r="H226">
        <f t="shared" ca="1" si="33"/>
        <v>-1.0847501133480694E-2</v>
      </c>
      <c r="I226">
        <f t="shared" ca="1" si="34"/>
        <v>9.97854676536763E-3</v>
      </c>
      <c r="J226" s="5">
        <f t="shared" ca="1" si="35"/>
        <v>2.0826047898848322E-2</v>
      </c>
    </row>
    <row r="227" spans="1:10" x14ac:dyDescent="0.2">
      <c r="A227">
        <f t="shared" ca="1" si="27"/>
        <v>0.99760415524877144</v>
      </c>
      <c r="B227">
        <f t="shared" ca="1" si="28"/>
        <v>2.8207140438687142</v>
      </c>
      <c r="C227">
        <f t="shared" ca="1" si="32"/>
        <v>-3.7434610120436616</v>
      </c>
      <c r="D227" s="21">
        <f t="shared" ca="1" si="29"/>
        <v>7.4678182419868682E-3</v>
      </c>
      <c r="F227">
        <f t="shared" si="30"/>
        <v>0.22100000000000017</v>
      </c>
      <c r="G227">
        <f t="shared" ca="1" si="31"/>
        <v>-8.73559741230703E-3</v>
      </c>
      <c r="H227">
        <f t="shared" ca="1" si="33"/>
        <v>-8.736532553968621E-3</v>
      </c>
      <c r="I227">
        <f t="shared" ca="1" si="34"/>
        <v>1.0000472569798306E-2</v>
      </c>
      <c r="J227" s="5">
        <f t="shared" ca="1" si="35"/>
        <v>1.8737005123766928E-2</v>
      </c>
    </row>
    <row r="228" spans="1:10" x14ac:dyDescent="0.2">
      <c r="A228">
        <f t="shared" ca="1" si="27"/>
        <v>0.41464698564546787</v>
      </c>
      <c r="B228">
        <f t="shared" ca="1" si="28"/>
        <v>-0.21560716372680067</v>
      </c>
      <c r="C228">
        <f t="shared" ca="1" si="32"/>
        <v>-3.9590681757704624</v>
      </c>
      <c r="D228" s="21">
        <f t="shared" ca="1" si="29"/>
        <v>0.38977650909077083</v>
      </c>
      <c r="F228">
        <f t="shared" si="30"/>
        <v>0.22200000000000017</v>
      </c>
      <c r="G228">
        <f t="shared" ca="1" si="31"/>
        <v>1.947106349555229E-4</v>
      </c>
      <c r="H228">
        <f t="shared" ca="1" si="33"/>
        <v>1.9422210593602121E-4</v>
      </c>
      <c r="I228">
        <f t="shared" ca="1" si="34"/>
        <v>1.0091033223476993E-2</v>
      </c>
      <c r="J228" s="5">
        <f t="shared" ca="1" si="35"/>
        <v>9.8968111175409719E-3</v>
      </c>
    </row>
    <row r="229" spans="1:10" x14ac:dyDescent="0.2">
      <c r="A229">
        <f t="shared" ca="1" si="27"/>
        <v>0.96982790059257018</v>
      </c>
      <c r="B229">
        <f t="shared" ca="1" si="28"/>
        <v>1.8782702893604171</v>
      </c>
      <c r="C229">
        <f t="shared" ca="1" si="32"/>
        <v>-2.0807978864100454</v>
      </c>
      <c r="D229" s="21">
        <f t="shared" ca="1" si="29"/>
        <v>6.8365417579438939E-2</v>
      </c>
      <c r="F229">
        <f t="shared" si="30"/>
        <v>0.22300000000000017</v>
      </c>
      <c r="G229">
        <f t="shared" ca="1" si="31"/>
        <v>-4.7708496327782704E-4</v>
      </c>
      <c r="H229">
        <f t="shared" ca="1" si="33"/>
        <v>-4.7760703350010027E-4</v>
      </c>
      <c r="I229">
        <f t="shared" ca="1" si="34"/>
        <v>1.0085113444186488E-2</v>
      </c>
      <c r="J229" s="5">
        <f t="shared" ca="1" si="35"/>
        <v>1.0562720477686588E-2</v>
      </c>
    </row>
    <row r="230" spans="1:10" x14ac:dyDescent="0.2">
      <c r="A230">
        <f t="shared" ca="1" si="27"/>
        <v>0.13712649587757997</v>
      </c>
      <c r="B230">
        <f t="shared" ca="1" si="28"/>
        <v>-1.0933207584571716</v>
      </c>
      <c r="C230">
        <f t="shared" ca="1" si="32"/>
        <v>-3.174118644867217</v>
      </c>
      <c r="D230" s="21">
        <f t="shared" ca="1" si="29"/>
        <v>0.21945377220379547</v>
      </c>
      <c r="F230">
        <f t="shared" si="30"/>
        <v>0.22400000000000017</v>
      </c>
      <c r="G230">
        <f t="shared" ca="1" si="31"/>
        <v>5.4722774504171283E-3</v>
      </c>
      <c r="H230">
        <f t="shared" ca="1" si="33"/>
        <v>5.4720529030056943E-3</v>
      </c>
      <c r="I230">
        <f t="shared" ca="1" si="34"/>
        <v>1.0146157195001998E-2</v>
      </c>
      <c r="J230" s="5">
        <f t="shared" ca="1" si="35"/>
        <v>4.674104291996304E-3</v>
      </c>
    </row>
    <row r="231" spans="1:10" x14ac:dyDescent="0.2">
      <c r="A231">
        <f t="shared" ca="1" si="27"/>
        <v>0.95353642496637847</v>
      </c>
      <c r="B231">
        <f t="shared" ca="1" si="28"/>
        <v>1.6801550621189183</v>
      </c>
      <c r="C231">
        <f t="shared" ca="1" si="32"/>
        <v>-1.4939635827482987</v>
      </c>
      <c r="D231" s="21">
        <f t="shared" ca="1" si="29"/>
        <v>9.7256929007565024E-2</v>
      </c>
      <c r="F231">
        <f t="shared" si="30"/>
        <v>0.22500000000000017</v>
      </c>
      <c r="G231">
        <f t="shared" ca="1" si="31"/>
        <v>2.0245188021696904E-3</v>
      </c>
      <c r="H231">
        <f t="shared" ca="1" si="33"/>
        <v>2.0241218878479308E-3</v>
      </c>
      <c r="I231">
        <f t="shared" ca="1" si="34"/>
        <v>1.0112099210412371E-2</v>
      </c>
      <c r="J231" s="5">
        <f t="shared" ca="1" si="35"/>
        <v>8.0879773225644401E-3</v>
      </c>
    </row>
    <row r="232" spans="1:10" x14ac:dyDescent="0.2">
      <c r="A232">
        <f t="shared" ca="1" si="27"/>
        <v>0.81835986271403049</v>
      </c>
      <c r="B232">
        <f t="shared" ca="1" si="28"/>
        <v>0.90913233807139426</v>
      </c>
      <c r="C232">
        <f t="shared" ca="1" si="32"/>
        <v>-0.58483124467690439</v>
      </c>
      <c r="D232" s="21">
        <f t="shared" ca="1" si="29"/>
        <v>0.26389622578318461</v>
      </c>
      <c r="F232">
        <f t="shared" si="30"/>
        <v>0.22600000000000017</v>
      </c>
      <c r="G232">
        <f t="shared" ca="1" si="31"/>
        <v>7.3471670342134497E-3</v>
      </c>
      <c r="H232">
        <f t="shared" ca="1" si="33"/>
        <v>7.3470362942166176E-3</v>
      </c>
      <c r="I232">
        <f t="shared" ca="1" si="34"/>
        <v>1.0166934769125566E-2</v>
      </c>
      <c r="J232" s="5">
        <f t="shared" ca="1" si="35"/>
        <v>2.8198984749089485E-3</v>
      </c>
    </row>
    <row r="233" spans="1:10" x14ac:dyDescent="0.2">
      <c r="A233">
        <f t="shared" ca="1" si="27"/>
        <v>0.4655752444763579</v>
      </c>
      <c r="B233">
        <f t="shared" ca="1" si="28"/>
        <v>-8.6397431136279401E-2</v>
      </c>
      <c r="C233">
        <f t="shared" ca="1" si="32"/>
        <v>-0.67122867581318379</v>
      </c>
      <c r="D233" s="21">
        <f t="shared" ca="1" si="29"/>
        <v>0.39745609999211035</v>
      </c>
      <c r="F233">
        <f t="shared" si="30"/>
        <v>0.22700000000000017</v>
      </c>
      <c r="G233">
        <f t="shared" ca="1" si="31"/>
        <v>1.0231216996626154E-2</v>
      </c>
      <c r="H233">
        <f t="shared" ca="1" si="33"/>
        <v>1.0231230473407012E-2</v>
      </c>
      <c r="I233">
        <f t="shared" ca="1" si="34"/>
        <v>1.0197174725378315E-2</v>
      </c>
      <c r="J233" s="5">
        <f t="shared" ca="1" si="35"/>
        <v>3.405574802869786E-5</v>
      </c>
    </row>
    <row r="234" spans="1:10" x14ac:dyDescent="0.2">
      <c r="A234">
        <f t="shared" ca="1" si="27"/>
        <v>0.74235192468655864</v>
      </c>
      <c r="B234">
        <f t="shared" ca="1" si="28"/>
        <v>0.65061328771230964</v>
      </c>
      <c r="C234">
        <f t="shared" ca="1" si="32"/>
        <v>-2.0615388100874155E-2</v>
      </c>
      <c r="D234" s="21">
        <f t="shared" ca="1" si="29"/>
        <v>0.32284357587550855</v>
      </c>
      <c r="F234">
        <f t="shared" si="30"/>
        <v>0.22800000000000017</v>
      </c>
      <c r="G234">
        <f t="shared" ca="1" si="31"/>
        <v>9.9669944197834977E-3</v>
      </c>
      <c r="H234">
        <f t="shared" ca="1" si="33"/>
        <v>9.9669946839814789E-3</v>
      </c>
      <c r="I234">
        <f t="shared" ca="1" si="34"/>
        <v>1.0195357621601245E-2</v>
      </c>
      <c r="J234" s="5">
        <f t="shared" ca="1" si="35"/>
        <v>2.2836293761976587E-4</v>
      </c>
    </row>
    <row r="235" spans="1:10" x14ac:dyDescent="0.2">
      <c r="A235">
        <f t="shared" ca="1" si="27"/>
        <v>0.34685809362887277</v>
      </c>
      <c r="B235">
        <f t="shared" ca="1" si="28"/>
        <v>-0.39381695281875417</v>
      </c>
      <c r="C235">
        <f t="shared" ca="1" si="32"/>
        <v>-0.41443234091962833</v>
      </c>
      <c r="D235" s="21">
        <f t="shared" ca="1" si="29"/>
        <v>0.36917502335176011</v>
      </c>
      <c r="F235">
        <f t="shared" si="30"/>
        <v>0.22900000000000018</v>
      </c>
      <c r="G235">
        <f t="shared" ca="1" si="31"/>
        <v>1.2033314268625684E-2</v>
      </c>
      <c r="H235">
        <f t="shared" ca="1" si="33"/>
        <v>1.2033417849654421E-2</v>
      </c>
      <c r="I235">
        <f t="shared" ca="1" si="34"/>
        <v>1.0217325945925599E-2</v>
      </c>
      <c r="J235" s="5">
        <f t="shared" ca="1" si="35"/>
        <v>1.8160919037288215E-3</v>
      </c>
    </row>
    <row r="236" spans="1:10" x14ac:dyDescent="0.2">
      <c r="A236">
        <f t="shared" ca="1" si="27"/>
        <v>0.15820749589778393</v>
      </c>
      <c r="B236">
        <f t="shared" ca="1" si="28"/>
        <v>-1.0018521789472661</v>
      </c>
      <c r="C236">
        <f t="shared" ca="1" si="32"/>
        <v>-1.4162845198668945</v>
      </c>
      <c r="D236" s="21">
        <f t="shared" ca="1" si="29"/>
        <v>0.24152255194959263</v>
      </c>
      <c r="F236">
        <f t="shared" si="30"/>
        <v>0.23000000000000018</v>
      </c>
      <c r="G236">
        <f t="shared" ca="1" si="31"/>
        <v>1.0796814210618944E-2</v>
      </c>
      <c r="H236">
        <f t="shared" ca="1" si="33"/>
        <v>1.0796855955775125E-2</v>
      </c>
      <c r="I236">
        <f t="shared" ca="1" si="34"/>
        <v>1.0205579115473009E-2</v>
      </c>
      <c r="J236" s="5">
        <f t="shared" ca="1" si="35"/>
        <v>5.9127684030211604E-4</v>
      </c>
    </row>
    <row r="237" spans="1:10" x14ac:dyDescent="0.2">
      <c r="A237">
        <f t="shared" ca="1" si="27"/>
        <v>9.1371690519370108E-2</v>
      </c>
      <c r="B237">
        <f t="shared" ca="1" si="28"/>
        <v>-1.3323555504844269</v>
      </c>
      <c r="C237">
        <f t="shared" ca="1" si="32"/>
        <v>-2.7486400703513212</v>
      </c>
      <c r="D237" s="21">
        <f t="shared" ca="1" si="29"/>
        <v>0.16422395726416117</v>
      </c>
      <c r="F237">
        <f t="shared" si="30"/>
        <v>0.23100000000000018</v>
      </c>
      <c r="G237">
        <f t="shared" ca="1" si="31"/>
        <v>7.6377577190590903E-3</v>
      </c>
      <c r="H237">
        <f t="shared" ca="1" si="33"/>
        <v>7.6376415059035939E-3</v>
      </c>
      <c r="I237">
        <f t="shared" ca="1" si="34"/>
        <v>1.0174264137722358E-2</v>
      </c>
      <c r="J237" s="5">
        <f t="shared" ca="1" si="35"/>
        <v>2.5366226318187645E-3</v>
      </c>
    </row>
    <row r="238" spans="1:10" x14ac:dyDescent="0.2">
      <c r="A238">
        <f t="shared" ca="1" si="27"/>
        <v>0.62822128577660008</v>
      </c>
      <c r="B238">
        <f t="shared" ca="1" si="28"/>
        <v>0.32714604341307402</v>
      </c>
      <c r="C238">
        <f t="shared" ca="1" si="32"/>
        <v>-2.4214940269382472</v>
      </c>
      <c r="D238" s="21">
        <f t="shared" ca="1" si="29"/>
        <v>0.37815511890561276</v>
      </c>
      <c r="F238">
        <f t="shared" si="30"/>
        <v>0.23200000000000018</v>
      </c>
      <c r="G238">
        <f t="shared" ca="1" si="31"/>
        <v>3.4339259439254751E-3</v>
      </c>
      <c r="H238">
        <f t="shared" ca="1" si="33"/>
        <v>3.4335995490547572E-3</v>
      </c>
      <c r="I238">
        <f t="shared" ca="1" si="34"/>
        <v>1.0132449848133966E-2</v>
      </c>
      <c r="J238" s="5">
        <f t="shared" ca="1" si="35"/>
        <v>6.6988502990792086E-3</v>
      </c>
    </row>
    <row r="239" spans="1:10" x14ac:dyDescent="0.2">
      <c r="A239">
        <f t="shared" ca="1" si="27"/>
        <v>9.4051137800123641E-2</v>
      </c>
      <c r="B239">
        <f t="shared" ca="1" si="28"/>
        <v>-1.3162138523434479</v>
      </c>
      <c r="C239">
        <f t="shared" ca="1" si="32"/>
        <v>-3.7377078792816949</v>
      </c>
      <c r="D239" s="21">
        <f t="shared" ca="1" si="29"/>
        <v>0.16777223126268553</v>
      </c>
      <c r="F239">
        <f t="shared" si="30"/>
        <v>0.23300000000000018</v>
      </c>
      <c r="G239">
        <f t="shared" ca="1" si="31"/>
        <v>4.4780569690383801E-3</v>
      </c>
      <c r="H239">
        <f t="shared" ca="1" si="33"/>
        <v>4.4777828137974908E-3</v>
      </c>
      <c r="I239">
        <f t="shared" ca="1" si="34"/>
        <v>1.0143901186088903E-2</v>
      </c>
      <c r="J239" s="5">
        <f t="shared" ca="1" si="35"/>
        <v>5.6661183722914125E-3</v>
      </c>
    </row>
    <row r="240" spans="1:10" x14ac:dyDescent="0.2">
      <c r="A240">
        <f t="shared" ca="1" si="27"/>
        <v>2.6357361147261615E-2</v>
      </c>
      <c r="B240">
        <f t="shared" ca="1" si="28"/>
        <v>-1.9372505621316261</v>
      </c>
      <c r="C240">
        <f t="shared" ca="1" si="32"/>
        <v>-5.6749584414133212</v>
      </c>
      <c r="D240" s="21">
        <f t="shared" ca="1" si="29"/>
        <v>6.1089919903495792E-2</v>
      </c>
      <c r="F240">
        <f t="shared" si="30"/>
        <v>0.23400000000000018</v>
      </c>
      <c r="G240">
        <f t="shared" ca="1" si="31"/>
        <v>3.2558312748995604E-4</v>
      </c>
      <c r="H240">
        <f t="shared" ca="1" si="33"/>
        <v>3.251013742462637E-4</v>
      </c>
      <c r="I240">
        <f t="shared" ca="1" si="34"/>
        <v>1.010272735827691E-2</v>
      </c>
      <c r="J240" s="5">
        <f t="shared" ca="1" si="35"/>
        <v>9.7776259840306468E-3</v>
      </c>
    </row>
    <row r="241" spans="1:10" x14ac:dyDescent="0.2">
      <c r="A241">
        <f t="shared" ca="1" si="27"/>
        <v>0.53985522424970467</v>
      </c>
      <c r="B241">
        <f t="shared" ca="1" si="28"/>
        <v>0.10006899330246771</v>
      </c>
      <c r="C241">
        <f t="shared" ca="1" si="32"/>
        <v>-5.5748894481108531</v>
      </c>
      <c r="D241" s="21">
        <f t="shared" ca="1" si="29"/>
        <v>0.39694980783498646</v>
      </c>
      <c r="F241">
        <f t="shared" si="30"/>
        <v>0.23500000000000018</v>
      </c>
      <c r="G241">
        <f t="shared" ca="1" si="31"/>
        <v>-5.790267810509204E-3</v>
      </c>
      <c r="H241">
        <f t="shared" ca="1" si="33"/>
        <v>-5.7910553106686373E-3</v>
      </c>
      <c r="I241">
        <f t="shared" ca="1" si="34"/>
        <v>1.0041979926864095E-2</v>
      </c>
      <c r="J241" s="5">
        <f t="shared" ca="1" si="35"/>
        <v>1.5833035237532732E-2</v>
      </c>
    </row>
    <row r="242" spans="1:10" x14ac:dyDescent="0.2">
      <c r="A242">
        <f t="shared" ca="1" si="27"/>
        <v>4.3813570837308413E-2</v>
      </c>
      <c r="B242">
        <f t="shared" ca="1" si="28"/>
        <v>-1.7080495883706504</v>
      </c>
      <c r="C242">
        <f t="shared" ca="1" si="32"/>
        <v>-7.282939036481503</v>
      </c>
      <c r="D242" s="21">
        <f t="shared" ca="1" si="29"/>
        <v>9.2767841818787652E-2</v>
      </c>
      <c r="F242">
        <f t="shared" si="30"/>
        <v>0.23600000000000018</v>
      </c>
      <c r="G242">
        <f t="shared" ca="1" si="31"/>
        <v>-5.4632591923037942E-3</v>
      </c>
      <c r="H242">
        <f t="shared" ca="1" si="33"/>
        <v>-5.4640302631416377E-3</v>
      </c>
      <c r="I242">
        <f t="shared" ca="1" si="34"/>
        <v>1.0046112508863355E-2</v>
      </c>
      <c r="J242" s="5">
        <f t="shared" ca="1" si="35"/>
        <v>1.5510142772004992E-2</v>
      </c>
    </row>
    <row r="243" spans="1:10" x14ac:dyDescent="0.2">
      <c r="A243">
        <f t="shared" ca="1" si="27"/>
        <v>0.54975664949421976</v>
      </c>
      <c r="B243">
        <f t="shared" ca="1" si="28"/>
        <v>0.12504654614333366</v>
      </c>
      <c r="C243">
        <f t="shared" ca="1" si="32"/>
        <v>-7.1578924903381695</v>
      </c>
      <c r="D243" s="21">
        <f t="shared" ca="1" si="29"/>
        <v>0.395835383432938</v>
      </c>
      <c r="F243">
        <f t="shared" si="30"/>
        <v>0.23700000000000018</v>
      </c>
      <c r="G243">
        <f t="shared" ca="1" si="31"/>
        <v>-1.0853770394347071E-2</v>
      </c>
      <c r="H243">
        <f t="shared" ca="1" si="33"/>
        <v>-1.0854810915879629E-2</v>
      </c>
      <c r="I243">
        <f t="shared" ca="1" si="34"/>
        <v>9.9929457351490541E-3</v>
      </c>
      <c r="J243" s="5">
        <f t="shared" ca="1" si="35"/>
        <v>2.0847756651028684E-2</v>
      </c>
    </row>
    <row r="244" spans="1:10" x14ac:dyDescent="0.2">
      <c r="A244">
        <f t="shared" ca="1" si="27"/>
        <v>0.46267220306540968</v>
      </c>
      <c r="B244">
        <f t="shared" ca="1" si="28"/>
        <v>-9.3703857236088248E-2</v>
      </c>
      <c r="C244">
        <f t="shared" ca="1" si="32"/>
        <v>-7.2515963475742575</v>
      </c>
      <c r="D244" s="21">
        <f t="shared" ca="1" si="29"/>
        <v>0.39719468040592404</v>
      </c>
      <c r="F244">
        <f t="shared" si="30"/>
        <v>0.23800000000000018</v>
      </c>
      <c r="G244">
        <f t="shared" ca="1" si="31"/>
        <v>-1.0447273442978921E-2</v>
      </c>
      <c r="H244">
        <f t="shared" ca="1" si="33"/>
        <v>-1.0448293535437763E-2</v>
      </c>
      <c r="I244">
        <f t="shared" ca="1" si="34"/>
        <v>9.9978477964714155E-3</v>
      </c>
      <c r="J244" s="5">
        <f t="shared" ca="1" si="35"/>
        <v>2.0446141331909178E-2</v>
      </c>
    </row>
    <row r="245" spans="1:10" x14ac:dyDescent="0.2">
      <c r="A245">
        <f t="shared" ca="1" si="27"/>
        <v>0.41627886211166276</v>
      </c>
      <c r="B245">
        <f t="shared" ca="1" si="28"/>
        <v>-0.21142234217348266</v>
      </c>
      <c r="C245">
        <f t="shared" ca="1" si="32"/>
        <v>-7.4630186897477397</v>
      </c>
      <c r="D245" s="21">
        <f t="shared" ca="1" si="29"/>
        <v>0.39012493828279954</v>
      </c>
      <c r="F245">
        <f t="shared" si="30"/>
        <v>0.23900000000000018</v>
      </c>
      <c r="G245">
        <f t="shared" ca="1" si="31"/>
        <v>-1.0732532066998451E-2</v>
      </c>
      <c r="H245">
        <f t="shared" ca="1" si="33"/>
        <v>-1.0733566320493507E-2</v>
      </c>
      <c r="I245">
        <f t="shared" ca="1" si="34"/>
        <v>9.9958352561905044E-3</v>
      </c>
      <c r="J245" s="5">
        <f t="shared" ca="1" si="35"/>
        <v>2.0729401576684011E-2</v>
      </c>
    </row>
    <row r="246" spans="1:10" x14ac:dyDescent="0.2">
      <c r="A246">
        <f t="shared" ca="1" si="27"/>
        <v>0.99554356589290305</v>
      </c>
      <c r="B246">
        <f t="shared" ca="1" si="28"/>
        <v>2.6153782824414047</v>
      </c>
      <c r="C246">
        <f t="shared" ca="1" si="32"/>
        <v>-4.8476404073063346</v>
      </c>
      <c r="D246" s="21">
        <f t="shared" ca="1" si="29"/>
        <v>1.3049045190908921E-2</v>
      </c>
      <c r="F246">
        <f t="shared" si="30"/>
        <v>0.24000000000000019</v>
      </c>
      <c r="G246">
        <f t="shared" ca="1" si="31"/>
        <v>-1.1390002089536966E-2</v>
      </c>
      <c r="H246">
        <f t="shared" ca="1" si="33"/>
        <v>-1.1391069113377138E-2</v>
      </c>
      <c r="I246">
        <f t="shared" ca="1" si="34"/>
        <v>9.9901035274416582E-3</v>
      </c>
      <c r="J246" s="5">
        <f t="shared" ca="1" si="35"/>
        <v>2.1381172640818798E-2</v>
      </c>
    </row>
    <row r="247" spans="1:10" x14ac:dyDescent="0.2">
      <c r="A247">
        <f t="shared" ca="1" si="27"/>
        <v>0.77239337120120466</v>
      </c>
      <c r="B247">
        <f t="shared" ca="1" si="28"/>
        <v>0.7467520282297696</v>
      </c>
      <c r="C247">
        <f t="shared" ca="1" si="32"/>
        <v>-4.1008883790765651</v>
      </c>
      <c r="D247" s="21">
        <f t="shared" ca="1" si="29"/>
        <v>0.30187029849589248</v>
      </c>
      <c r="F247">
        <f t="shared" si="30"/>
        <v>0.24100000000000019</v>
      </c>
      <c r="G247">
        <f t="shared" ca="1" si="31"/>
        <v>-3.1087248411916634E-3</v>
      </c>
      <c r="H247">
        <f t="shared" ca="1" si="33"/>
        <v>-3.1093776910117998E-3</v>
      </c>
      <c r="I247">
        <f t="shared" ca="1" si="34"/>
        <v>1.0074026803988246E-2</v>
      </c>
      <c r="J247" s="5">
        <f t="shared" ca="1" si="35"/>
        <v>1.3183404495000045E-2</v>
      </c>
    </row>
    <row r="248" spans="1:10" x14ac:dyDescent="0.2">
      <c r="A248">
        <f t="shared" ca="1" si="27"/>
        <v>0.37871705807858069</v>
      </c>
      <c r="B248">
        <f t="shared" ca="1" si="28"/>
        <v>-0.30885199352918224</v>
      </c>
      <c r="C248">
        <f t="shared" ca="1" si="32"/>
        <v>-4.4097403726057474</v>
      </c>
      <c r="D248" s="21">
        <f t="shared" ca="1" si="29"/>
        <v>0.38036144390739907</v>
      </c>
      <c r="F248">
        <f t="shared" si="30"/>
        <v>0.24200000000000019</v>
      </c>
      <c r="G248">
        <f t="shared" ca="1" si="31"/>
        <v>-7.37095294620938E-4</v>
      </c>
      <c r="H248">
        <f t="shared" ca="1" si="33"/>
        <v>-7.376294966862716E-4</v>
      </c>
      <c r="I248">
        <f t="shared" ca="1" si="34"/>
        <v>1.0098803437417144E-2</v>
      </c>
      <c r="J248" s="5">
        <f t="shared" ca="1" si="35"/>
        <v>1.0836432934103416E-2</v>
      </c>
    </row>
    <row r="249" spans="1:10" x14ac:dyDescent="0.2">
      <c r="A249">
        <f t="shared" ca="1" si="27"/>
        <v>0.35104343087835432</v>
      </c>
      <c r="B249">
        <f t="shared" ca="1" si="28"/>
        <v>-0.38250494490541515</v>
      </c>
      <c r="C249">
        <f t="shared" ca="1" si="32"/>
        <v>-4.7922453175111626</v>
      </c>
      <c r="D249" s="21">
        <f t="shared" ca="1" si="29"/>
        <v>0.37079959050621414</v>
      </c>
      <c r="F249">
        <f t="shared" si="30"/>
        <v>0.24300000000000019</v>
      </c>
      <c r="G249">
        <f t="shared" ca="1" si="31"/>
        <v>-1.7036490164426456E-3</v>
      </c>
      <c r="H249">
        <f t="shared" ca="1" si="33"/>
        <v>-1.7042314931724049E-3</v>
      </c>
      <c r="I249">
        <f t="shared" ca="1" si="34"/>
        <v>1.0089903491237003E-2</v>
      </c>
      <c r="J249" s="5">
        <f t="shared" ca="1" si="35"/>
        <v>1.1794134984409408E-2</v>
      </c>
    </row>
    <row r="250" spans="1:10" x14ac:dyDescent="0.2">
      <c r="A250">
        <f t="shared" ca="1" si="27"/>
        <v>4.5433617972584717E-2</v>
      </c>
      <c r="B250">
        <f t="shared" ca="1" si="28"/>
        <v>-1.6908406768803146</v>
      </c>
      <c r="C250">
        <f t="shared" ca="1" si="32"/>
        <v>-6.4830859943914767</v>
      </c>
      <c r="D250" s="21">
        <f t="shared" ca="1" si="29"/>
        <v>9.5520955093650023E-2</v>
      </c>
      <c r="F250">
        <f t="shared" si="30"/>
        <v>0.24400000000000019</v>
      </c>
      <c r="G250">
        <f t="shared" ca="1" si="31"/>
        <v>-2.9030055253983812E-3</v>
      </c>
      <c r="H250">
        <f t="shared" ca="1" si="33"/>
        <v>-2.9036479122014187E-3</v>
      </c>
      <c r="I250">
        <f t="shared" ca="1" si="34"/>
        <v>1.0078663682601833E-2</v>
      </c>
      <c r="J250" s="5">
        <f t="shared" ca="1" si="35"/>
        <v>1.2982311594803252E-2</v>
      </c>
    </row>
    <row r="251" spans="1:10" x14ac:dyDescent="0.2">
      <c r="A251">
        <f t="shared" ca="1" si="27"/>
        <v>0.48067725218497281</v>
      </c>
      <c r="B251">
        <f t="shared" ca="1" si="28"/>
        <v>-4.8453899193586329E-2</v>
      </c>
      <c r="C251">
        <f t="shared" ca="1" si="32"/>
        <v>-6.5315398935850633</v>
      </c>
      <c r="D251" s="21">
        <f t="shared" ca="1" si="29"/>
        <v>0.39847424074598681</v>
      </c>
      <c r="F251">
        <f t="shared" si="30"/>
        <v>0.24500000000000019</v>
      </c>
      <c r="G251">
        <f t="shared" ca="1" si="31"/>
        <v>-8.2393561045002537E-3</v>
      </c>
      <c r="H251">
        <f t="shared" ca="1" si="33"/>
        <v>-8.2402652468127977E-3</v>
      </c>
      <c r="I251">
        <f t="shared" ca="1" si="34"/>
        <v>1.0025870225736836E-2</v>
      </c>
      <c r="J251" s="5">
        <f t="shared" ca="1" si="35"/>
        <v>1.8266135472549634E-2</v>
      </c>
    </row>
    <row r="252" spans="1:10" x14ac:dyDescent="0.2">
      <c r="A252">
        <f t="shared" ca="1" si="27"/>
        <v>0.9282746892336996</v>
      </c>
      <c r="B252">
        <f t="shared" ca="1" si="28"/>
        <v>1.4630612437355655</v>
      </c>
      <c r="C252">
        <f t="shared" ca="1" si="32"/>
        <v>-5.0684786498494976</v>
      </c>
      <c r="D252" s="21">
        <f t="shared" ca="1" si="29"/>
        <v>0.13680309706783397</v>
      </c>
      <c r="F252">
        <f t="shared" si="30"/>
        <v>0.24600000000000019</v>
      </c>
      <c r="G252">
        <f t="shared" ca="1" si="31"/>
        <v>-8.3817497321215292E-3</v>
      </c>
      <c r="H252">
        <f t="shared" ca="1" si="33"/>
        <v>-8.3826659032560456E-3</v>
      </c>
      <c r="I252">
        <f t="shared" ca="1" si="34"/>
        <v>1.0025286489615556E-2</v>
      </c>
      <c r="J252" s="5">
        <f t="shared" ca="1" si="35"/>
        <v>1.8407952392871602E-2</v>
      </c>
    </row>
    <row r="253" spans="1:10" x14ac:dyDescent="0.2">
      <c r="A253">
        <f t="shared" ca="1" si="27"/>
        <v>0.65004026373805035</v>
      </c>
      <c r="B253">
        <f t="shared" ca="1" si="28"/>
        <v>0.38542917237306318</v>
      </c>
      <c r="C253">
        <f t="shared" ca="1" si="32"/>
        <v>-4.683049477476434</v>
      </c>
      <c r="D253" s="21">
        <f t="shared" ca="1" si="29"/>
        <v>0.37038348776840174</v>
      </c>
      <c r="F253">
        <f t="shared" si="30"/>
        <v>0.24700000000000019</v>
      </c>
      <c r="G253">
        <f t="shared" ca="1" si="31"/>
        <v>-3.7445375331718435E-3</v>
      </c>
      <c r="H253">
        <f t="shared" ca="1" si="33"/>
        <v>-3.7452217501425774E-3</v>
      </c>
      <c r="I253">
        <f t="shared" ca="1" si="34"/>
        <v>1.0072733867079818E-2</v>
      </c>
      <c r="J253" s="5">
        <f t="shared" ca="1" si="35"/>
        <v>1.3817955617222395E-2</v>
      </c>
    </row>
    <row r="254" spans="1:10" x14ac:dyDescent="0.2">
      <c r="A254">
        <f t="shared" ca="1" si="27"/>
        <v>5.7595303667247411E-2</v>
      </c>
      <c r="B254">
        <f t="shared" ca="1" si="28"/>
        <v>-1.5752852921731371</v>
      </c>
      <c r="C254">
        <f t="shared" ca="1" si="32"/>
        <v>-6.2583347696495712</v>
      </c>
      <c r="D254" s="21">
        <f t="shared" ca="1" si="29"/>
        <v>0.11535967657396452</v>
      </c>
      <c r="F254">
        <f t="shared" si="30"/>
        <v>0.24800000000000019</v>
      </c>
      <c r="G254">
        <f t="shared" ca="1" si="31"/>
        <v>-2.5153904759153403E-3</v>
      </c>
      <c r="H254">
        <f t="shared" ca="1" si="33"/>
        <v>-2.5160131665950382E-3</v>
      </c>
      <c r="I254">
        <f t="shared" ca="1" si="34"/>
        <v>1.0085976465308932E-2</v>
      </c>
      <c r="J254" s="5">
        <f t="shared" ca="1" si="35"/>
        <v>1.2601989631903971E-2</v>
      </c>
    </row>
    <row r="255" spans="1:10" x14ac:dyDescent="0.2">
      <c r="A255">
        <f t="shared" ca="1" si="27"/>
        <v>0.97475058261662395</v>
      </c>
      <c r="B255">
        <f t="shared" ca="1" si="28"/>
        <v>1.9557141681561216</v>
      </c>
      <c r="C255">
        <f t="shared" ca="1" si="32"/>
        <v>-4.3026206014934498</v>
      </c>
      <c r="D255" s="21">
        <f t="shared" ca="1" si="29"/>
        <v>5.8933388169572332E-2</v>
      </c>
      <c r="F255">
        <f t="shared" si="30"/>
        <v>0.24900000000000019</v>
      </c>
      <c r="G255">
        <f t="shared" ca="1" si="31"/>
        <v>-7.4863798731618037E-3</v>
      </c>
      <c r="H255">
        <f t="shared" ca="1" si="33"/>
        <v>-7.4872510531093089E-3</v>
      </c>
      <c r="I255">
        <f t="shared" ca="1" si="34"/>
        <v>1.0036811666801041E-2</v>
      </c>
      <c r="J255" s="5">
        <f t="shared" ca="1" si="35"/>
        <v>1.752406271991035E-2</v>
      </c>
    </row>
    <row r="256" spans="1:10" x14ac:dyDescent="0.2">
      <c r="A256">
        <f t="shared" ca="1" si="27"/>
        <v>0.4235780914797157</v>
      </c>
      <c r="B256">
        <f t="shared" ca="1" si="28"/>
        <v>-0.1927481873369544</v>
      </c>
      <c r="C256">
        <f t="shared" ca="1" si="32"/>
        <v>-4.4953687888304046</v>
      </c>
      <c r="D256" s="21">
        <f t="shared" ca="1" si="29"/>
        <v>0.39159996211672288</v>
      </c>
      <c r="F256">
        <f t="shared" si="30"/>
        <v>0.25000000000000017</v>
      </c>
      <c r="G256">
        <f t="shared" ca="1" si="31"/>
        <v>-1.2914297616309304E-3</v>
      </c>
      <c r="H256">
        <f t="shared" ca="1" si="33"/>
        <v>-1.2919911043691099E-3</v>
      </c>
      <c r="I256">
        <f t="shared" ca="1" si="34"/>
        <v>1.0100036240264376E-2</v>
      </c>
      <c r="J256" s="5">
        <f t="shared" ca="1" si="35"/>
        <v>1.1392027344633486E-2</v>
      </c>
    </row>
    <row r="257" spans="1:10" x14ac:dyDescent="0.2">
      <c r="A257">
        <f t="shared" ca="1" si="27"/>
        <v>0.36028431015726659</v>
      </c>
      <c r="B257">
        <f t="shared" ca="1" si="28"/>
        <v>-0.35769894819557602</v>
      </c>
      <c r="C257">
        <f t="shared" ca="1" si="32"/>
        <v>-4.8530677370259809</v>
      </c>
      <c r="D257" s="21">
        <f t="shared" ca="1" si="29"/>
        <v>0.37421948254438486</v>
      </c>
      <c r="F257">
        <f t="shared" si="30"/>
        <v>0.25100000000000017</v>
      </c>
      <c r="G257">
        <f t="shared" ca="1" si="31"/>
        <v>-1.8907939370540771E-3</v>
      </c>
      <c r="H257">
        <f t="shared" ca="1" si="33"/>
        <v>-1.8913851921122736E-3</v>
      </c>
      <c r="I257">
        <f t="shared" ca="1" si="34"/>
        <v>1.0094840873104005E-2</v>
      </c>
      <c r="J257" s="5">
        <f t="shared" ca="1" si="35"/>
        <v>1.1986226065216278E-2</v>
      </c>
    </row>
    <row r="258" spans="1:10" x14ac:dyDescent="0.2">
      <c r="A258">
        <f t="shared" ca="1" si="27"/>
        <v>8.3480212702862211E-3</v>
      </c>
      <c r="B258">
        <f t="shared" ca="1" si="28"/>
        <v>-2.3933338243946549</v>
      </c>
      <c r="C258">
        <f t="shared" ca="1" si="32"/>
        <v>-7.2464015614206359</v>
      </c>
      <c r="D258" s="21">
        <f t="shared" ca="1" si="29"/>
        <v>2.2755192208043562E-2</v>
      </c>
      <c r="F258">
        <f t="shared" si="30"/>
        <v>0.25200000000000017</v>
      </c>
      <c r="G258">
        <f t="shared" ca="1" si="31"/>
        <v>-3.0116922052287548E-3</v>
      </c>
      <c r="H258">
        <f t="shared" ca="1" si="33"/>
        <v>-3.0123394465376586E-3</v>
      </c>
      <c r="I258">
        <f t="shared" ca="1" si="34"/>
        <v>1.0084386587435327E-2</v>
      </c>
      <c r="J258" s="5">
        <f t="shared" ca="1" si="35"/>
        <v>1.3096726033972985E-2</v>
      </c>
    </row>
    <row r="259" spans="1:10" x14ac:dyDescent="0.2">
      <c r="A259">
        <f t="shared" ca="1" si="27"/>
        <v>0.74953502343003142</v>
      </c>
      <c r="B259">
        <f t="shared" ca="1" si="28"/>
        <v>0.67302725271295794</v>
      </c>
      <c r="C259">
        <f t="shared" ca="1" si="32"/>
        <v>-6.5733743087076775</v>
      </c>
      <c r="D259" s="21">
        <f t="shared" ca="1" si="29"/>
        <v>0.31808985454526056</v>
      </c>
      <c r="F259">
        <f t="shared" si="30"/>
        <v>0.25300000000000017</v>
      </c>
      <c r="G259">
        <f t="shared" ca="1" si="31"/>
        <v>-1.0569399233720566E-2</v>
      </c>
      <c r="H259">
        <f t="shared" ca="1" si="33"/>
        <v>-1.0570424298801574E-2</v>
      </c>
      <c r="I259">
        <f t="shared" ca="1" si="34"/>
        <v>1.0009302986853433E-2</v>
      </c>
      <c r="J259" s="5">
        <f t="shared" ca="1" si="35"/>
        <v>2.0579727285655006E-2</v>
      </c>
    </row>
    <row r="260" spans="1:10" x14ac:dyDescent="0.2">
      <c r="A260">
        <f t="shared" ca="1" si="27"/>
        <v>0.16308098667506998</v>
      </c>
      <c r="B260">
        <f t="shared" ca="1" si="28"/>
        <v>-0.98187390417244791</v>
      </c>
      <c r="C260">
        <f t="shared" ca="1" si="32"/>
        <v>-7.5552482128801257</v>
      </c>
      <c r="D260" s="21">
        <f t="shared" ca="1" si="29"/>
        <v>0.24635622656017378</v>
      </c>
      <c r="F260">
        <f t="shared" si="30"/>
        <v>0.25400000000000017</v>
      </c>
      <c r="G260">
        <f t="shared" ca="1" si="31"/>
        <v>-8.4301502112056094E-3</v>
      </c>
      <c r="H260">
        <f t="shared" ca="1" si="33"/>
        <v>-8.4310682104330077E-3</v>
      </c>
      <c r="I260">
        <f t="shared" ca="1" si="34"/>
        <v>1.003158141726419E-2</v>
      </c>
      <c r="J260" s="5">
        <f t="shared" ca="1" si="35"/>
        <v>1.8462649627697197E-2</v>
      </c>
    </row>
    <row r="261" spans="1:10" x14ac:dyDescent="0.2">
      <c r="A261">
        <f t="shared" ca="1" si="27"/>
        <v>0.47757108541652205</v>
      </c>
      <c r="B261">
        <f t="shared" ca="1" si="28"/>
        <v>-5.6250601427825127E-2</v>
      </c>
      <c r="C261">
        <f t="shared" ca="1" si="32"/>
        <v>-7.6114988143079509</v>
      </c>
      <c r="D261" s="21">
        <f t="shared" ca="1" si="29"/>
        <v>0.39831162674957654</v>
      </c>
      <c r="F261">
        <f t="shared" si="30"/>
        <v>0.25500000000000017</v>
      </c>
      <c r="G261">
        <f t="shared" ca="1" si="31"/>
        <v>-1.1524110409156773E-2</v>
      </c>
      <c r="H261">
        <f t="shared" ca="1" si="33"/>
        <v>-1.1525183015878805E-2</v>
      </c>
      <c r="I261">
        <f t="shared" ca="1" si="34"/>
        <v>1.000143217614047E-2</v>
      </c>
      <c r="J261" s="5">
        <f t="shared" ca="1" si="35"/>
        <v>2.1526615192019274E-2</v>
      </c>
    </row>
    <row r="262" spans="1:10" x14ac:dyDescent="0.2">
      <c r="A262">
        <f t="shared" ca="1" si="27"/>
        <v>0.52986720453738612</v>
      </c>
      <c r="B262">
        <f t="shared" ca="1" si="28"/>
        <v>7.4936053146155646E-2</v>
      </c>
      <c r="C262">
        <f t="shared" ca="1" si="32"/>
        <v>-7.5365627611617949</v>
      </c>
      <c r="D262" s="21">
        <f t="shared" ca="1" si="29"/>
        <v>0.39782373875777116</v>
      </c>
      <c r="F262">
        <f t="shared" si="30"/>
        <v>0.25600000000000017</v>
      </c>
      <c r="G262">
        <f t="shared" ca="1" si="31"/>
        <v>-1.1690829682353623E-2</v>
      </c>
      <c r="H262">
        <f t="shared" ca="1" si="33"/>
        <v>-1.1691910517843464E-2</v>
      </c>
      <c r="I262">
        <f t="shared" ca="1" si="34"/>
        <v>1.0000603291588478E-2</v>
      </c>
      <c r="J262" s="5">
        <f t="shared" ca="1" si="35"/>
        <v>2.1692513809431942E-2</v>
      </c>
    </row>
    <row r="263" spans="1:10" x14ac:dyDescent="0.2">
      <c r="A263">
        <f t="shared" ref="A263:A326" ca="1" si="36">RAND()</f>
        <v>0.73646309908783902</v>
      </c>
      <c r="B263">
        <f t="shared" ref="B263:B326" ca="1" si="37">NORMSINV(A263)</f>
        <v>0.6324791908085492</v>
      </c>
      <c r="C263">
        <f t="shared" ca="1" si="32"/>
        <v>-6.9040835703532455</v>
      </c>
      <c r="D263" s="21">
        <f t="shared" ref="D263:D326" ca="1" si="38">_xlfn.NORM.DIST(B263,0,1,FALSE)</f>
        <v>0.32662142626314339</v>
      </c>
      <c r="F263">
        <f t="shared" ref="F263:F326" si="39">F262+$M$2/$N$2</f>
        <v>0.25700000000000017</v>
      </c>
      <c r="G263">
        <f t="shared" ref="G263:G326" ca="1" si="40">G262*EXP(-$M$4*$O$2) + $O$4*(1-EXP(-$M$4*$O$2)) + $N$4* SQRT((1-EXP(-2*$M$4*$O$2))/(2*$M$4)) *B262</f>
        <v>-1.1442704398952319E-2</v>
      </c>
      <c r="H263">
        <f t="shared" ca="1" si="33"/>
        <v>-1.1443772719986402E-2</v>
      </c>
      <c r="I263">
        <f t="shared" ca="1" si="34"/>
        <v>1.0003923729040402E-2</v>
      </c>
      <c r="J263" s="5">
        <f t="shared" ca="1" si="35"/>
        <v>2.1447696449026804E-2</v>
      </c>
    </row>
    <row r="264" spans="1:10" x14ac:dyDescent="0.2">
      <c r="A264">
        <f t="shared" ca="1" si="36"/>
        <v>0.50195769614484642</v>
      </c>
      <c r="B264">
        <f t="shared" ca="1" si="37"/>
        <v>4.907236204902664E-3</v>
      </c>
      <c r="C264">
        <f t="shared" ref="C264:C327" ca="1" si="41">B264+C263</f>
        <v>-6.8991763341483425</v>
      </c>
      <c r="D264" s="21">
        <f t="shared" ca="1" si="38"/>
        <v>0.39893747697237186</v>
      </c>
      <c r="F264">
        <f t="shared" si="39"/>
        <v>0.25800000000000017</v>
      </c>
      <c r="G264">
        <f t="shared" ca="1" si="40"/>
        <v>-9.4315858696662619E-3</v>
      </c>
      <c r="H264">
        <f t="shared" ref="H264:H327" ca="1" si="42">H263+($M$6 + $N$6*H263)*$O$2 + $O$6*H263^$P$6*SQRT($O$2)*B263</f>
        <v>-9.4325535270991523E-3</v>
      </c>
      <c r="I264">
        <f t="shared" ref="I264:I327" ca="1" si="43">I263*EXP(($M$8-0.5*($N$8^2))*$O$2 + $N$8*SQRT($O$2)*B263)</f>
        <v>1.0024904668346856E-2</v>
      </c>
      <c r="J264" s="5">
        <f t="shared" ref="J264:J327" ca="1" si="44">ABS(H264-I264)</f>
        <v>1.945745819544601E-2</v>
      </c>
    </row>
    <row r="265" spans="1:10" x14ac:dyDescent="0.2">
      <c r="A265">
        <f t="shared" ca="1" si="36"/>
        <v>0.6541155768194028</v>
      </c>
      <c r="B265">
        <f t="shared" ca="1" si="37"/>
        <v>0.39645574885043361</v>
      </c>
      <c r="C265">
        <f t="shared" ca="1" si="41"/>
        <v>-6.5027205852979089</v>
      </c>
      <c r="D265" s="21">
        <f t="shared" ca="1" si="38"/>
        <v>0.36879029098716193</v>
      </c>
      <c r="F265">
        <f t="shared" si="39"/>
        <v>0.25900000000000017</v>
      </c>
      <c r="G265">
        <f t="shared" ca="1" si="40"/>
        <v>-9.4051259906648959E-3</v>
      </c>
      <c r="H265">
        <f t="shared" ca="1" si="42"/>
        <v>-9.406092228322508E-3</v>
      </c>
      <c r="I265">
        <f t="shared" ca="1" si="43"/>
        <v>1.0026012662421856E-2</v>
      </c>
      <c r="J265" s="5">
        <f t="shared" ca="1" si="44"/>
        <v>1.9432104890744366E-2</v>
      </c>
    </row>
    <row r="266" spans="1:10" x14ac:dyDescent="0.2">
      <c r="A266">
        <f t="shared" ca="1" si="36"/>
        <v>0.68766337923771259</v>
      </c>
      <c r="B266">
        <f t="shared" ca="1" si="37"/>
        <v>0.4892379547786373</v>
      </c>
      <c r="C266">
        <f t="shared" ca="1" si="41"/>
        <v>-6.0134826305192712</v>
      </c>
      <c r="D266" s="21">
        <f t="shared" ca="1" si="38"/>
        <v>0.35394440669950966</v>
      </c>
      <c r="F266">
        <f t="shared" si="39"/>
        <v>0.26000000000000018</v>
      </c>
      <c r="G266">
        <f t="shared" ca="1" si="40"/>
        <v>-8.140545549784297E-3</v>
      </c>
      <c r="H266">
        <f t="shared" ca="1" si="42"/>
        <v>-8.1414484612646228E-3</v>
      </c>
      <c r="I266">
        <f t="shared" ca="1" si="43"/>
        <v>1.0039543900120554E-2</v>
      </c>
      <c r="J266" s="5">
        <f t="shared" ca="1" si="44"/>
        <v>1.8180992361385179E-2</v>
      </c>
    </row>
    <row r="267" spans="1:10" x14ac:dyDescent="0.2">
      <c r="A267">
        <f t="shared" ca="1" si="36"/>
        <v>0.46657474901158424</v>
      </c>
      <c r="B267">
        <f t="shared" ca="1" si="37"/>
        <v>-8.3882947087079912E-2</v>
      </c>
      <c r="C267">
        <f t="shared" ca="1" si="41"/>
        <v>-6.0973655776063511</v>
      </c>
      <c r="D267" s="21">
        <f t="shared" ca="1" si="38"/>
        <v>0.3975411979524206</v>
      </c>
      <c r="F267">
        <f t="shared" si="39"/>
        <v>0.26100000000000018</v>
      </c>
      <c r="G267">
        <f t="shared" ca="1" si="40"/>
        <v>-6.5827031331008173E-3</v>
      </c>
      <c r="H267">
        <f t="shared" ca="1" si="42"/>
        <v>-6.5835280615155443E-3</v>
      </c>
      <c r="I267">
        <f t="shared" ca="1" si="43"/>
        <v>1.0056043441247556E-2</v>
      </c>
      <c r="J267" s="5">
        <f t="shared" ca="1" si="44"/>
        <v>1.6639571502763101E-2</v>
      </c>
    </row>
    <row r="268" spans="1:10" x14ac:dyDescent="0.2">
      <c r="A268">
        <f t="shared" ca="1" si="36"/>
        <v>0.65018041196624332</v>
      </c>
      <c r="B268">
        <f t="shared" ca="1" si="37"/>
        <v>0.38580758679179833</v>
      </c>
      <c r="C268">
        <f t="shared" ca="1" si="41"/>
        <v>-5.7115579908145531</v>
      </c>
      <c r="D268" s="21">
        <f t="shared" ca="1" si="38"/>
        <v>0.37032944403638957</v>
      </c>
      <c r="F268">
        <f t="shared" si="39"/>
        <v>0.26200000000000018</v>
      </c>
      <c r="G268">
        <f t="shared" ca="1" si="40"/>
        <v>-6.8372933028199405E-3</v>
      </c>
      <c r="H268">
        <f t="shared" ca="1" si="42"/>
        <v>-6.8381308783519515E-3</v>
      </c>
      <c r="I268">
        <f t="shared" ca="1" si="43"/>
        <v>1.005433143327765E-2</v>
      </c>
      <c r="J268" s="5">
        <f t="shared" ca="1" si="44"/>
        <v>1.6892462311629601E-2</v>
      </c>
    </row>
    <row r="269" spans="1:10" x14ac:dyDescent="0.2">
      <c r="A269">
        <f t="shared" ca="1" si="36"/>
        <v>0.75492925184531556</v>
      </c>
      <c r="B269">
        <f t="shared" ca="1" si="37"/>
        <v>0.69008379016762578</v>
      </c>
      <c r="C269">
        <f t="shared" ca="1" si="41"/>
        <v>-5.0214742006469271</v>
      </c>
      <c r="D269" s="21">
        <f t="shared" ca="1" si="38"/>
        <v>0.3144134775153189</v>
      </c>
      <c r="F269">
        <f t="shared" si="39"/>
        <v>0.26300000000000018</v>
      </c>
      <c r="G269">
        <f t="shared" ca="1" si="40"/>
        <v>-5.6066403938171642E-3</v>
      </c>
      <c r="H269">
        <f t="shared" ca="1" si="42"/>
        <v>-5.6074163524289398E-3</v>
      </c>
      <c r="I269">
        <f t="shared" ca="1" si="43"/>
        <v>1.0067561885228138E-2</v>
      </c>
      <c r="J269" s="5">
        <f t="shared" ca="1" si="44"/>
        <v>1.5674978237657077E-2</v>
      </c>
    </row>
    <row r="270" spans="1:10" x14ac:dyDescent="0.2">
      <c r="A270">
        <f t="shared" ca="1" si="36"/>
        <v>0.13915135458118744</v>
      </c>
      <c r="B270">
        <f t="shared" ca="1" si="37"/>
        <v>-1.0841400465709112</v>
      </c>
      <c r="C270">
        <f t="shared" ca="1" si="41"/>
        <v>-6.1056142472178383</v>
      </c>
      <c r="D270" s="21">
        <f t="shared" ca="1" si="38"/>
        <v>0.22165828195115661</v>
      </c>
      <c r="F270">
        <f t="shared" si="39"/>
        <v>0.26400000000000018</v>
      </c>
      <c r="G270">
        <f t="shared" ca="1" si="40"/>
        <v>-3.4139528117835142E-3</v>
      </c>
      <c r="H270">
        <f t="shared" ca="1" si="42"/>
        <v>-3.4146190575022909E-3</v>
      </c>
      <c r="I270">
        <f t="shared" ca="1" si="43"/>
        <v>1.0090514229195168E-2</v>
      </c>
      <c r="J270" s="5">
        <f t="shared" ca="1" si="44"/>
        <v>1.350513328669746E-2</v>
      </c>
    </row>
    <row r="271" spans="1:10" x14ac:dyDescent="0.2">
      <c r="A271">
        <f t="shared" ca="1" si="36"/>
        <v>0.74751233190725286</v>
      </c>
      <c r="B271">
        <f t="shared" ca="1" si="37"/>
        <v>0.66668191008291677</v>
      </c>
      <c r="C271">
        <f t="shared" ca="1" si="41"/>
        <v>-5.4389323371349212</v>
      </c>
      <c r="D271" s="21">
        <f t="shared" ca="1" si="38"/>
        <v>0.3194447591824548</v>
      </c>
      <c r="F271">
        <f t="shared" si="39"/>
        <v>0.26500000000000018</v>
      </c>
      <c r="G271">
        <f t="shared" ca="1" si="40"/>
        <v>-6.8317923728695631E-3</v>
      </c>
      <c r="H271">
        <f t="shared" ca="1" si="42"/>
        <v>-6.8326294453616397E-3</v>
      </c>
      <c r="I271">
        <f t="shared" ca="1" si="43"/>
        <v>1.0056934991723096E-2</v>
      </c>
      <c r="J271" s="5">
        <f t="shared" ca="1" si="44"/>
        <v>1.6889564437084736E-2</v>
      </c>
    </row>
    <row r="272" spans="1:10" x14ac:dyDescent="0.2">
      <c r="A272">
        <f t="shared" ca="1" si="36"/>
        <v>0.21613260902814457</v>
      </c>
      <c r="B272">
        <f t="shared" ca="1" si="37"/>
        <v>-0.78532128698803549</v>
      </c>
      <c r="C272">
        <f t="shared" ca="1" si="41"/>
        <v>-6.2242536241229569</v>
      </c>
      <c r="D272" s="21">
        <f t="shared" ca="1" si="38"/>
        <v>0.2930818682700384</v>
      </c>
      <c r="F272">
        <f t="shared" si="39"/>
        <v>0.26600000000000018</v>
      </c>
      <c r="G272">
        <f t="shared" ca="1" si="40"/>
        <v>-4.7129818243534152E-3</v>
      </c>
      <c r="H272">
        <f t="shared" ca="1" si="42"/>
        <v>-4.7137128717235112E-3</v>
      </c>
      <c r="I272">
        <f t="shared" ca="1" si="43"/>
        <v>1.0079117193209813E-2</v>
      </c>
      <c r="J272" s="5">
        <f t="shared" ca="1" si="44"/>
        <v>1.4792830064933324E-2</v>
      </c>
    </row>
    <row r="273" spans="1:10" x14ac:dyDescent="0.2">
      <c r="A273">
        <f t="shared" ca="1" si="36"/>
        <v>0.59766995571860504</v>
      </c>
      <c r="B273">
        <f t="shared" ca="1" si="37"/>
        <v>0.24732063726882977</v>
      </c>
      <c r="C273">
        <f t="shared" ca="1" si="41"/>
        <v>-5.976932986854127</v>
      </c>
      <c r="D273" s="21">
        <f t="shared" ca="1" si="38"/>
        <v>0.38692582073422876</v>
      </c>
      <c r="F273">
        <f t="shared" si="39"/>
        <v>0.26700000000000018</v>
      </c>
      <c r="G273">
        <f t="shared" ca="1" si="40"/>
        <v>-7.1857908465908201E-3</v>
      </c>
      <c r="H273">
        <f t="shared" ca="1" si="42"/>
        <v>-7.1866454623332838E-3</v>
      </c>
      <c r="I273">
        <f t="shared" ca="1" si="43"/>
        <v>1.0055072914927876E-2</v>
      </c>
      <c r="J273" s="5">
        <f t="shared" ca="1" si="44"/>
        <v>1.7241718377261159E-2</v>
      </c>
    </row>
    <row r="274" spans="1:10" x14ac:dyDescent="0.2">
      <c r="A274">
        <f t="shared" ca="1" si="36"/>
        <v>0.99103639402637989</v>
      </c>
      <c r="B274">
        <f t="shared" ca="1" si="37"/>
        <v>2.3671180839210466</v>
      </c>
      <c r="C274">
        <f t="shared" ca="1" si="41"/>
        <v>-3.6098149029330804</v>
      </c>
      <c r="D274" s="21">
        <f t="shared" ca="1" si="38"/>
        <v>2.4220338986448795E-2</v>
      </c>
      <c r="F274">
        <f t="shared" si="39"/>
        <v>0.26800000000000018</v>
      </c>
      <c r="G274">
        <f t="shared" ca="1" si="40"/>
        <v>-6.3930153804804338E-3</v>
      </c>
      <c r="H274">
        <f t="shared" ca="1" si="42"/>
        <v>-6.393830271653223E-3</v>
      </c>
      <c r="I274">
        <f t="shared" ca="1" si="43"/>
        <v>1.0063896053257937E-2</v>
      </c>
      <c r="J274" s="5">
        <f t="shared" ca="1" si="44"/>
        <v>1.6457726324911159E-2</v>
      </c>
    </row>
    <row r="275" spans="1:10" x14ac:dyDescent="0.2">
      <c r="A275">
        <f t="shared" ca="1" si="36"/>
        <v>0.86695521457112312</v>
      </c>
      <c r="B275">
        <f t="shared" ca="1" si="37"/>
        <v>1.1121129931749285</v>
      </c>
      <c r="C275">
        <f t="shared" ca="1" si="41"/>
        <v>-2.4977019097581517</v>
      </c>
      <c r="D275" s="21">
        <f t="shared" ca="1" si="38"/>
        <v>0.2149529336664161</v>
      </c>
      <c r="F275">
        <f t="shared" si="39"/>
        <v>0.26900000000000018</v>
      </c>
      <c r="G275">
        <f t="shared" ca="1" si="40"/>
        <v>1.1027337662366651E-3</v>
      </c>
      <c r="H275">
        <f t="shared" ca="1" si="42"/>
        <v>1.1022937471380475E-3</v>
      </c>
      <c r="I275">
        <f t="shared" ca="1" si="43"/>
        <v>1.0140475149286217E-2</v>
      </c>
      <c r="J275" s="5">
        <f t="shared" ca="1" si="44"/>
        <v>9.0381814021481682E-3</v>
      </c>
    </row>
    <row r="276" spans="1:10" x14ac:dyDescent="0.2">
      <c r="A276">
        <f t="shared" ca="1" si="36"/>
        <v>0.82705099237900814</v>
      </c>
      <c r="B276">
        <f t="shared" ca="1" si="37"/>
        <v>0.94257561944043888</v>
      </c>
      <c r="C276">
        <f t="shared" ca="1" si="41"/>
        <v>-1.5551262903177128</v>
      </c>
      <c r="D276" s="21">
        <f t="shared" ca="1" si="38"/>
        <v>0.25585025875264678</v>
      </c>
      <c r="F276">
        <f t="shared" si="39"/>
        <v>0.27000000000000018</v>
      </c>
      <c r="G276">
        <f t="shared" ca="1" si="40"/>
        <v>4.629257239112932E-3</v>
      </c>
      <c r="H276">
        <f t="shared" ca="1" si="42"/>
        <v>4.6289935916633993E-3</v>
      </c>
      <c r="I276">
        <f t="shared" ca="1" si="43"/>
        <v>1.0177166841408715E-2</v>
      </c>
      <c r="J276" s="5">
        <f t="shared" ca="1" si="44"/>
        <v>5.5481732497453156E-3</v>
      </c>
    </row>
    <row r="277" spans="1:10" x14ac:dyDescent="0.2">
      <c r="A277">
        <f t="shared" ca="1" si="36"/>
        <v>0.98067318949285587</v>
      </c>
      <c r="B277">
        <f t="shared" ca="1" si="37"/>
        <v>2.0678554145869872</v>
      </c>
      <c r="C277">
        <f t="shared" ca="1" si="41"/>
        <v>0.51272912426927442</v>
      </c>
      <c r="D277" s="21">
        <f t="shared" ca="1" si="38"/>
        <v>4.7030848523015506E-2</v>
      </c>
      <c r="F277">
        <f t="shared" si="39"/>
        <v>0.27100000000000019</v>
      </c>
      <c r="G277">
        <f t="shared" ca="1" si="40"/>
        <v>7.6193306328453461E-3</v>
      </c>
      <c r="H277">
        <f t="shared" ca="1" si="42"/>
        <v>7.6192165166801048E-3</v>
      </c>
      <c r="I277">
        <f t="shared" ca="1" si="43"/>
        <v>1.0208516795786479E-2</v>
      </c>
      <c r="J277" s="5">
        <f t="shared" ca="1" si="44"/>
        <v>2.5893002791063744E-3</v>
      </c>
    </row>
    <row r="278" spans="1:10" x14ac:dyDescent="0.2">
      <c r="A278">
        <f t="shared" ca="1" si="36"/>
        <v>0.82943752482852051</v>
      </c>
      <c r="B278">
        <f t="shared" ca="1" si="37"/>
        <v>0.95194485342589252</v>
      </c>
      <c r="C278">
        <f t="shared" ca="1" si="41"/>
        <v>1.4646739776951669</v>
      </c>
      <c r="D278" s="21">
        <f t="shared" ca="1" si="38"/>
        <v>0.25358960799745661</v>
      </c>
      <c r="F278">
        <f t="shared" si="39"/>
        <v>0.27200000000000019</v>
      </c>
      <c r="G278">
        <f t="shared" ca="1" si="40"/>
        <v>1.4167374276874263E-2</v>
      </c>
      <c r="H278">
        <f t="shared" ca="1" si="42"/>
        <v>1.4167587577035089E-2</v>
      </c>
      <c r="I278">
        <f t="shared" ca="1" si="43"/>
        <v>1.0276466598557157E-2</v>
      </c>
      <c r="J278" s="5">
        <f t="shared" ca="1" si="44"/>
        <v>3.891120978477932E-3</v>
      </c>
    </row>
    <row r="279" spans="1:10" x14ac:dyDescent="0.2">
      <c r="A279">
        <f t="shared" ca="1" si="36"/>
        <v>0.90310969890444781</v>
      </c>
      <c r="B279">
        <f t="shared" ca="1" si="37"/>
        <v>1.2994760654285236</v>
      </c>
      <c r="C279">
        <f t="shared" ca="1" si="41"/>
        <v>2.7641500431236903</v>
      </c>
      <c r="D279" s="21">
        <f t="shared" ca="1" si="38"/>
        <v>0.17148532997907392</v>
      </c>
      <c r="F279">
        <f t="shared" si="39"/>
        <v>0.27300000000000019</v>
      </c>
      <c r="G279">
        <f t="shared" ca="1" si="40"/>
        <v>1.7186120544572744E-2</v>
      </c>
      <c r="H279">
        <f t="shared" ca="1" si="42"/>
        <v>1.7186484761978347E-2</v>
      </c>
      <c r="I279">
        <f t="shared" ca="1" si="43"/>
        <v>1.0308427852758336E-2</v>
      </c>
      <c r="J279" s="5">
        <f t="shared" ca="1" si="44"/>
        <v>6.8780569092200105E-3</v>
      </c>
    </row>
    <row r="280" spans="1:10" x14ac:dyDescent="0.2">
      <c r="A280">
        <f t="shared" ca="1" si="36"/>
        <v>0.49032121394617145</v>
      </c>
      <c r="B280">
        <f t="shared" ca="1" si="37"/>
        <v>-2.4263499300439844E-2</v>
      </c>
      <c r="C280">
        <f t="shared" ca="1" si="41"/>
        <v>2.7398865438232503</v>
      </c>
      <c r="D280" s="21">
        <f t="shared" ca="1" si="38"/>
        <v>0.3988248655526262</v>
      </c>
      <c r="F280">
        <f t="shared" si="39"/>
        <v>0.27400000000000019</v>
      </c>
      <c r="G280">
        <f t="shared" ca="1" si="40"/>
        <v>2.1303500193444909E-2</v>
      </c>
      <c r="H280">
        <f t="shared" ca="1" si="42"/>
        <v>2.1304070245130272E-2</v>
      </c>
      <c r="I280">
        <f t="shared" ca="1" si="43"/>
        <v>1.0351858853163028E-2</v>
      </c>
      <c r="J280" s="5">
        <f t="shared" ca="1" si="44"/>
        <v>1.0952211391967243E-2</v>
      </c>
    </row>
    <row r="281" spans="1:10" x14ac:dyDescent="0.2">
      <c r="A281">
        <f t="shared" ca="1" si="36"/>
        <v>0.45906832092375605</v>
      </c>
      <c r="B281">
        <f t="shared" ca="1" si="37"/>
        <v>-0.10278118061125027</v>
      </c>
      <c r="C281">
        <f t="shared" ca="1" si="41"/>
        <v>2.6371053632120001</v>
      </c>
      <c r="D281" s="21">
        <f t="shared" ca="1" si="38"/>
        <v>0.39684062837752626</v>
      </c>
      <c r="F281">
        <f t="shared" si="39"/>
        <v>0.27500000000000019</v>
      </c>
      <c r="G281">
        <f t="shared" ca="1" si="40"/>
        <v>2.1234645364397137E-2</v>
      </c>
      <c r="H281">
        <f t="shared" ca="1" si="42"/>
        <v>2.1235211916310465E-2</v>
      </c>
      <c r="I281">
        <f t="shared" ca="1" si="43"/>
        <v>1.0352048004865649E-2</v>
      </c>
      <c r="J281" s="5">
        <f t="shared" ca="1" si="44"/>
        <v>1.0883163911444817E-2</v>
      </c>
    </row>
    <row r="282" spans="1:10" x14ac:dyDescent="0.2">
      <c r="A282">
        <f t="shared" ca="1" si="36"/>
        <v>0.10522187895584556</v>
      </c>
      <c r="B282">
        <f t="shared" ca="1" si="37"/>
        <v>-1.2523461538358172</v>
      </c>
      <c r="C282">
        <f t="shared" ca="1" si="41"/>
        <v>1.3847592093761829</v>
      </c>
      <c r="D282" s="21">
        <f t="shared" ca="1" si="38"/>
        <v>0.18211371529242698</v>
      </c>
      <c r="F282">
        <f t="shared" si="39"/>
        <v>0.27600000000000019</v>
      </c>
      <c r="G282">
        <f t="shared" ca="1" si="40"/>
        <v>2.0917515125168828E-2</v>
      </c>
      <c r="H282">
        <f t="shared" ca="1" si="42"/>
        <v>2.0918065763786145E-2</v>
      </c>
      <c r="I282">
        <f t="shared" ca="1" si="43"/>
        <v>1.0349667073388446E-2</v>
      </c>
      <c r="J282" s="5">
        <f t="shared" ca="1" si="44"/>
        <v>1.0568398690397699E-2</v>
      </c>
    </row>
    <row r="283" spans="1:10" x14ac:dyDescent="0.2">
      <c r="A283">
        <f t="shared" ca="1" si="36"/>
        <v>1.2220754186045957E-2</v>
      </c>
      <c r="B283">
        <f t="shared" ca="1" si="37"/>
        <v>-2.2501171707618557</v>
      </c>
      <c r="C283">
        <f t="shared" ca="1" si="41"/>
        <v>-0.86535796138567278</v>
      </c>
      <c r="D283" s="21">
        <f t="shared" ca="1" si="38"/>
        <v>3.1731285062581882E-2</v>
      </c>
      <c r="F283">
        <f t="shared" si="39"/>
        <v>0.27700000000000019</v>
      </c>
      <c r="G283">
        <f t="shared" ca="1" si="40"/>
        <v>1.6965354718247332E-2</v>
      </c>
      <c r="H283">
        <f t="shared" ca="1" si="42"/>
        <v>1.6965707692136969E-2</v>
      </c>
      <c r="I283">
        <f t="shared" ca="1" si="43"/>
        <v>1.03097400683578E-2</v>
      </c>
      <c r="J283" s="5">
        <f t="shared" ca="1" si="44"/>
        <v>6.6559676237791694E-3</v>
      </c>
    </row>
    <row r="284" spans="1:10" x14ac:dyDescent="0.2">
      <c r="A284">
        <f t="shared" ca="1" si="36"/>
        <v>4.7855470425851254E-2</v>
      </c>
      <c r="B284">
        <f t="shared" ca="1" si="37"/>
        <v>-1.6660124192475794</v>
      </c>
      <c r="C284">
        <f t="shared" ca="1" si="41"/>
        <v>-2.5313703806332519</v>
      </c>
      <c r="D284" s="21">
        <f t="shared" ca="1" si="38"/>
        <v>9.9585647742247388E-2</v>
      </c>
      <c r="F284">
        <f t="shared" si="39"/>
        <v>0.27800000000000019</v>
      </c>
      <c r="G284">
        <f t="shared" ca="1" si="40"/>
        <v>9.8585182656944163E-3</v>
      </c>
      <c r="H284">
        <f t="shared" ca="1" si="42"/>
        <v>9.858515859506263E-3</v>
      </c>
      <c r="I284">
        <f t="shared" ca="1" si="43"/>
        <v>1.0237614063436191E-2</v>
      </c>
      <c r="J284" s="5">
        <f t="shared" ca="1" si="44"/>
        <v>3.7909820392992809E-4</v>
      </c>
    </row>
    <row r="285" spans="1:10" x14ac:dyDescent="0.2">
      <c r="A285">
        <f t="shared" ca="1" si="36"/>
        <v>0.9497664222354979</v>
      </c>
      <c r="B285">
        <f t="shared" ca="1" si="37"/>
        <v>1.6425930701046541</v>
      </c>
      <c r="C285">
        <f t="shared" ca="1" si="41"/>
        <v>-0.88877731052859787</v>
      </c>
      <c r="D285" s="21">
        <f t="shared" ca="1" si="38"/>
        <v>0.10351957743708345</v>
      </c>
      <c r="F285">
        <f t="shared" si="39"/>
        <v>0.27900000000000019</v>
      </c>
      <c r="G285">
        <f t="shared" ca="1" si="40"/>
        <v>4.5994015169431718E-3</v>
      </c>
      <c r="H285">
        <f t="shared" ca="1" si="42"/>
        <v>4.5991361529706164E-3</v>
      </c>
      <c r="I285">
        <f t="shared" ca="1" si="43"/>
        <v>1.0184787617576805E-2</v>
      </c>
      <c r="J285" s="5">
        <f t="shared" ca="1" si="44"/>
        <v>5.5856514646061882E-3</v>
      </c>
    </row>
    <row r="286" spans="1:10" x14ac:dyDescent="0.2">
      <c r="A286">
        <f t="shared" ca="1" si="36"/>
        <v>0.82071164701474708</v>
      </c>
      <c r="B286">
        <f t="shared" ca="1" si="37"/>
        <v>0.91808053240032028</v>
      </c>
      <c r="C286">
        <f t="shared" ca="1" si="41"/>
        <v>2.9303221871722407E-2</v>
      </c>
      <c r="D286" s="21">
        <f t="shared" ca="1" si="38"/>
        <v>0.26174763484831026</v>
      </c>
      <c r="F286">
        <f t="shared" si="39"/>
        <v>0.28000000000000019</v>
      </c>
      <c r="G286">
        <f t="shared" ca="1" si="40"/>
        <v>9.8030167641962665E-3</v>
      </c>
      <c r="H286">
        <f t="shared" ca="1" si="42"/>
        <v>9.8030116096946597E-3</v>
      </c>
      <c r="I286">
        <f t="shared" ca="1" si="43"/>
        <v>1.0238801096736569E-2</v>
      </c>
      <c r="J286" s="5">
        <f t="shared" ca="1" si="44"/>
        <v>4.357894870419092E-4</v>
      </c>
    </row>
    <row r="287" spans="1:10" x14ac:dyDescent="0.2">
      <c r="A287">
        <f t="shared" ca="1" si="36"/>
        <v>0.47173446000018426</v>
      </c>
      <c r="B287">
        <f t="shared" ca="1" si="37"/>
        <v>-7.0910583708933383E-2</v>
      </c>
      <c r="C287">
        <f t="shared" ca="1" si="41"/>
        <v>-4.1607361837210977E-2</v>
      </c>
      <c r="D287" s="21">
        <f t="shared" ca="1" si="38"/>
        <v>0.3979405372931375</v>
      </c>
      <c r="F287">
        <f t="shared" si="39"/>
        <v>0.28100000000000019</v>
      </c>
      <c r="G287">
        <f t="shared" ca="1" si="40"/>
        <v>1.2715116414165218E-2</v>
      </c>
      <c r="H287">
        <f t="shared" ca="1" si="42"/>
        <v>1.2715256866378715E-2</v>
      </c>
      <c r="I287">
        <f t="shared" ca="1" si="43"/>
        <v>1.0269545398010461E-2</v>
      </c>
      <c r="J287" s="5">
        <f t="shared" ca="1" si="44"/>
        <v>2.4457114683682536E-3</v>
      </c>
    </row>
    <row r="288" spans="1:10" x14ac:dyDescent="0.2">
      <c r="A288">
        <f t="shared" ca="1" si="36"/>
        <v>0.98166084047384106</v>
      </c>
      <c r="B288">
        <f t="shared" ca="1" si="37"/>
        <v>2.089326760629878</v>
      </c>
      <c r="C288">
        <f t="shared" ca="1" si="41"/>
        <v>2.0477193987926672</v>
      </c>
      <c r="D288" s="21">
        <f t="shared" ca="1" si="38"/>
        <v>4.497800486208163E-2</v>
      </c>
      <c r="F288">
        <f t="shared" si="39"/>
        <v>0.28200000000000019</v>
      </c>
      <c r="G288">
        <f t="shared" ca="1" si="40"/>
        <v>1.2499616722862265E-2</v>
      </c>
      <c r="H288">
        <f t="shared" ca="1" si="42"/>
        <v>1.2499746385959817E-2</v>
      </c>
      <c r="I288">
        <f t="shared" ca="1" si="43"/>
        <v>1.0268218258458559E-2</v>
      </c>
      <c r="J288" s="5">
        <f t="shared" ca="1" si="44"/>
        <v>2.2315281275012578E-3</v>
      </c>
    </row>
    <row r="289" spans="1:10" x14ac:dyDescent="0.2">
      <c r="A289">
        <f t="shared" ca="1" si="36"/>
        <v>0.44692465217558963</v>
      </c>
      <c r="B289">
        <f t="shared" ca="1" si="37"/>
        <v>-0.13343507908193439</v>
      </c>
      <c r="C289">
        <f t="shared" ca="1" si="41"/>
        <v>1.9142843197107329</v>
      </c>
      <c r="D289" s="21">
        <f t="shared" ca="1" si="38"/>
        <v>0.39540647467903933</v>
      </c>
      <c r="F289">
        <f t="shared" si="39"/>
        <v>0.2830000000000002</v>
      </c>
      <c r="G289">
        <f t="shared" ca="1" si="40"/>
        <v>1.9115067325831528E-2</v>
      </c>
      <c r="H289">
        <f t="shared" ca="1" si="42"/>
        <v>1.9115527751253053E-2</v>
      </c>
      <c r="I289">
        <f t="shared" ca="1" si="43"/>
        <v>1.0337267305011574E-2</v>
      </c>
      <c r="J289" s="5">
        <f t="shared" ca="1" si="44"/>
        <v>8.7782604462414791E-3</v>
      </c>
    </row>
    <row r="290" spans="1:10" x14ac:dyDescent="0.2">
      <c r="A290">
        <f t="shared" ca="1" si="36"/>
        <v>0.55812737452616101</v>
      </c>
      <c r="B290">
        <f t="shared" ca="1" si="37"/>
        <v>0.14622312462523013</v>
      </c>
      <c r="C290">
        <f t="shared" ca="1" si="41"/>
        <v>2.060507444335963</v>
      </c>
      <c r="D290" s="21">
        <f t="shared" ca="1" si="38"/>
        <v>0.39470006394972551</v>
      </c>
      <c r="F290">
        <f t="shared" si="39"/>
        <v>0.2840000000000002</v>
      </c>
      <c r="G290">
        <f t="shared" ca="1" si="40"/>
        <v>1.8701217742083602E-2</v>
      </c>
      <c r="H290">
        <f t="shared" ca="1" si="42"/>
        <v>1.8701657428814324E-2</v>
      </c>
      <c r="I290">
        <f t="shared" ca="1" si="43"/>
        <v>1.0333887997289097E-2</v>
      </c>
      <c r="J290" s="5">
        <f t="shared" ca="1" si="44"/>
        <v>8.3677694315252276E-3</v>
      </c>
    </row>
    <row r="291" spans="1:10" x14ac:dyDescent="0.2">
      <c r="A291">
        <f t="shared" ca="1" si="36"/>
        <v>0.19430335253685616</v>
      </c>
      <c r="B291">
        <f t="shared" ca="1" si="37"/>
        <v>-0.86214686466441015</v>
      </c>
      <c r="C291">
        <f t="shared" ca="1" si="41"/>
        <v>1.1983605796715529</v>
      </c>
      <c r="D291" s="21">
        <f t="shared" ca="1" si="38"/>
        <v>0.2751092076745002</v>
      </c>
      <c r="F291">
        <f t="shared" si="39"/>
        <v>0.2850000000000002</v>
      </c>
      <c r="G291">
        <f t="shared" ca="1" si="40"/>
        <v>1.9171722215288681E-2</v>
      </c>
      <c r="H291">
        <f t="shared" ca="1" si="42"/>
        <v>1.9172185383473823E-2</v>
      </c>
      <c r="I291">
        <f t="shared" ca="1" si="43"/>
        <v>1.0339649692665143E-2</v>
      </c>
      <c r="J291" s="5">
        <f t="shared" ca="1" si="44"/>
        <v>8.8325356908086801E-3</v>
      </c>
    </row>
    <row r="292" spans="1:10" x14ac:dyDescent="0.2">
      <c r="A292">
        <f t="shared" ca="1" si="36"/>
        <v>0.86353568289681371</v>
      </c>
      <c r="B292">
        <f t="shared" ca="1" si="37"/>
        <v>1.0963431464714073</v>
      </c>
      <c r="C292">
        <f t="shared" ca="1" si="41"/>
        <v>2.2947037261429601</v>
      </c>
      <c r="D292" s="21">
        <f t="shared" ca="1" si="38"/>
        <v>0.21872879827522171</v>
      </c>
      <c r="F292">
        <f t="shared" si="39"/>
        <v>0.2860000000000002</v>
      </c>
      <c r="G292">
        <f t="shared" ca="1" si="40"/>
        <v>1.6453593180735613E-2</v>
      </c>
      <c r="H292">
        <f t="shared" ca="1" si="42"/>
        <v>1.6453920395023001E-2</v>
      </c>
      <c r="I292">
        <f t="shared" ca="1" si="43"/>
        <v>1.0312478242949384E-2</v>
      </c>
      <c r="J292" s="5">
        <f t="shared" ca="1" si="44"/>
        <v>6.1414421520736163E-3</v>
      </c>
    </row>
    <row r="293" spans="1:10" x14ac:dyDescent="0.2">
      <c r="A293">
        <f t="shared" ca="1" si="36"/>
        <v>0.95752863030484292</v>
      </c>
      <c r="B293">
        <f t="shared" ca="1" si="37"/>
        <v>1.7227002816070944</v>
      </c>
      <c r="C293">
        <f t="shared" ca="1" si="41"/>
        <v>4.0174040077500548</v>
      </c>
      <c r="D293" s="21">
        <f t="shared" ca="1" si="38"/>
        <v>9.046550480351058E-2</v>
      </c>
      <c r="F293">
        <f t="shared" si="39"/>
        <v>0.2870000000000002</v>
      </c>
      <c r="G293">
        <f t="shared" ca="1" si="40"/>
        <v>1.9928715503815152E-2</v>
      </c>
      <c r="H293">
        <f t="shared" ca="1" si="42"/>
        <v>1.992921644294874E-2</v>
      </c>
      <c r="I293">
        <f t="shared" ca="1" si="43"/>
        <v>1.0349276183700797E-2</v>
      </c>
      <c r="J293" s="5">
        <f t="shared" ca="1" si="44"/>
        <v>9.5799402592479429E-3</v>
      </c>
    </row>
    <row r="294" spans="1:10" x14ac:dyDescent="0.2">
      <c r="A294">
        <f t="shared" ca="1" si="36"/>
        <v>0.15449399286680654</v>
      </c>
      <c r="B294">
        <f t="shared" ca="1" si="37"/>
        <v>-1.017347840335683</v>
      </c>
      <c r="C294">
        <f t="shared" ca="1" si="41"/>
        <v>3.000056167414372</v>
      </c>
      <c r="D294" s="21">
        <f t="shared" ca="1" si="38"/>
        <v>0.23777347427195442</v>
      </c>
      <c r="F294">
        <f t="shared" si="39"/>
        <v>0.2880000000000002</v>
      </c>
      <c r="G294">
        <f t="shared" ca="1" si="40"/>
        <v>2.5384106476131589E-2</v>
      </c>
      <c r="H294">
        <f t="shared" ca="1" si="42"/>
        <v>2.5384880136996336E-2</v>
      </c>
      <c r="I294">
        <f t="shared" ca="1" si="43"/>
        <v>1.0406797932197337E-2</v>
      </c>
      <c r="J294" s="5">
        <f t="shared" ca="1" si="44"/>
        <v>1.4978082204798999E-2</v>
      </c>
    </row>
    <row r="295" spans="1:10" x14ac:dyDescent="0.2">
      <c r="A295">
        <f t="shared" ca="1" si="36"/>
        <v>0.29722271183504401</v>
      </c>
      <c r="B295">
        <f t="shared" ca="1" si="37"/>
        <v>-0.53240514334025379</v>
      </c>
      <c r="C295">
        <f t="shared" ca="1" si="41"/>
        <v>2.4676510240741183</v>
      </c>
      <c r="D295" s="21">
        <f t="shared" ca="1" si="38"/>
        <v>0.34622509511532762</v>
      </c>
      <c r="F295">
        <f t="shared" si="39"/>
        <v>0.2890000000000002</v>
      </c>
      <c r="G295">
        <f t="shared" ca="1" si="40"/>
        <v>2.2174592194418197E-2</v>
      </c>
      <c r="H295">
        <f t="shared" ca="1" si="42"/>
        <v>2.2175205300868559E-2</v>
      </c>
      <c r="I295">
        <f t="shared" ca="1" si="43"/>
        <v>1.037435715871677E-2</v>
      </c>
      <c r="J295" s="5">
        <f t="shared" ca="1" si="44"/>
        <v>1.180084814215179E-2</v>
      </c>
    </row>
    <row r="296" spans="1:10" x14ac:dyDescent="0.2">
      <c r="A296">
        <f t="shared" ca="1" si="36"/>
        <v>0.49164508676506868</v>
      </c>
      <c r="B296">
        <f t="shared" ca="1" si="37"/>
        <v>-2.0944192873220968E-2</v>
      </c>
      <c r="C296">
        <f t="shared" ca="1" si="41"/>
        <v>2.4467068312008973</v>
      </c>
      <c r="D296" s="21">
        <f t="shared" ca="1" si="38"/>
        <v>0.39885479014258785</v>
      </c>
      <c r="F296">
        <f t="shared" si="39"/>
        <v>0.2900000000000002</v>
      </c>
      <c r="G296">
        <f t="shared" ca="1" si="40"/>
        <v>2.0498845632278231E-2</v>
      </c>
      <c r="H296">
        <f t="shared" ca="1" si="42"/>
        <v>2.0499374889394843E-2</v>
      </c>
      <c r="I296">
        <f t="shared" ca="1" si="43"/>
        <v>1.0357889405105307E-2</v>
      </c>
      <c r="J296" s="5">
        <f t="shared" ca="1" si="44"/>
        <v>1.0141485484289536E-2</v>
      </c>
    </row>
    <row r="297" spans="1:10" x14ac:dyDescent="0.2">
      <c r="A297">
        <f t="shared" ca="1" si="36"/>
        <v>0.78091096614802369</v>
      </c>
      <c r="B297">
        <f t="shared" ca="1" si="37"/>
        <v>0.77527349511406862</v>
      </c>
      <c r="C297">
        <f t="shared" ca="1" si="41"/>
        <v>3.221980326314966</v>
      </c>
      <c r="D297" s="21">
        <f t="shared" ca="1" si="38"/>
        <v>0.29538873943871985</v>
      </c>
      <c r="F297">
        <f t="shared" si="39"/>
        <v>0.2910000000000002</v>
      </c>
      <c r="G297">
        <f t="shared" ca="1" si="40"/>
        <v>2.0440567308418922E-2</v>
      </c>
      <c r="H297">
        <f t="shared" ca="1" si="42"/>
        <v>2.0441093598672661E-2</v>
      </c>
      <c r="I297">
        <f t="shared" ca="1" si="43"/>
        <v>1.0358187391853169E-2</v>
      </c>
      <c r="J297" s="5">
        <f t="shared" ca="1" si="44"/>
        <v>1.0082906206819491E-2</v>
      </c>
    </row>
    <row r="298" spans="1:10" x14ac:dyDescent="0.2">
      <c r="A298">
        <f t="shared" ca="1" si="36"/>
        <v>0.93519236702134267</v>
      </c>
      <c r="B298">
        <f t="shared" ca="1" si="37"/>
        <v>1.5156207941489623</v>
      </c>
      <c r="C298">
        <f t="shared" ca="1" si="41"/>
        <v>4.7376011204639283</v>
      </c>
      <c r="D298" s="21">
        <f t="shared" ca="1" si="38"/>
        <v>0.1265026871139022</v>
      </c>
      <c r="F298">
        <f t="shared" si="39"/>
        <v>0.2920000000000002</v>
      </c>
      <c r="G298">
        <f t="shared" ca="1" si="40"/>
        <v>2.2900030331628688E-2</v>
      </c>
      <c r="H298">
        <f t="shared" ca="1" si="42"/>
        <v>2.2900679543432671E-2</v>
      </c>
      <c r="I298">
        <f t="shared" ca="1" si="43"/>
        <v>1.0384599479805709E-2</v>
      </c>
      <c r="J298" s="5">
        <f t="shared" ca="1" si="44"/>
        <v>1.2516080063626962E-2</v>
      </c>
    </row>
    <row r="299" spans="1:10" x14ac:dyDescent="0.2">
      <c r="A299">
        <f t="shared" ca="1" si="36"/>
        <v>0.88069296177749468</v>
      </c>
      <c r="B299">
        <f t="shared" ca="1" si="37"/>
        <v>1.1784579758646381</v>
      </c>
      <c r="C299">
        <f t="shared" ca="1" si="41"/>
        <v>5.9160590963285662</v>
      </c>
      <c r="D299" s="21">
        <f t="shared" ca="1" si="38"/>
        <v>0.19922506097364986</v>
      </c>
      <c r="F299">
        <f t="shared" si="39"/>
        <v>0.2930000000000002</v>
      </c>
      <c r="G299">
        <f t="shared" ca="1" si="40"/>
        <v>2.7700314091028112E-2</v>
      </c>
      <c r="H299">
        <f t="shared" ca="1" si="42"/>
        <v>2.770120325410225E-2</v>
      </c>
      <c r="I299">
        <f t="shared" ca="1" si="43"/>
        <v>1.0435481718380909E-2</v>
      </c>
      <c r="J299" s="5">
        <f t="shared" ca="1" si="44"/>
        <v>1.726572153572134E-2</v>
      </c>
    </row>
    <row r="300" spans="1:10" x14ac:dyDescent="0.2">
      <c r="A300">
        <f t="shared" ca="1" si="36"/>
        <v>0.85208496648849652</v>
      </c>
      <c r="B300">
        <f t="shared" ca="1" si="37"/>
        <v>1.0454174675760184</v>
      </c>
      <c r="C300">
        <f t="shared" ca="1" si="41"/>
        <v>6.9614765639045846</v>
      </c>
      <c r="D300" s="21">
        <f t="shared" ca="1" si="38"/>
        <v>0.23098849521580517</v>
      </c>
      <c r="F300">
        <f t="shared" si="39"/>
        <v>0.29400000000000021</v>
      </c>
      <c r="G300">
        <f t="shared" ca="1" si="40"/>
        <v>3.1433968705853528E-2</v>
      </c>
      <c r="H300">
        <f t="shared" ca="1" si="42"/>
        <v>3.1435044464300836E-2</v>
      </c>
      <c r="I300">
        <f t="shared" ca="1" si="43"/>
        <v>1.0475438374330287E-2</v>
      </c>
      <c r="J300" s="5">
        <f t="shared" ca="1" si="44"/>
        <v>2.0959606089970551E-2</v>
      </c>
    </row>
    <row r="301" spans="1:10" x14ac:dyDescent="0.2">
      <c r="A301">
        <f t="shared" ca="1" si="36"/>
        <v>0.79719250281604837</v>
      </c>
      <c r="B301">
        <f t="shared" ca="1" si="37"/>
        <v>0.83163501008758289</v>
      </c>
      <c r="C301">
        <f t="shared" ca="1" si="41"/>
        <v>7.7931115739921673</v>
      </c>
      <c r="D301" s="21">
        <f t="shared" ca="1" si="38"/>
        <v>0.28231073198425066</v>
      </c>
      <c r="F301">
        <f t="shared" si="39"/>
        <v>0.29500000000000021</v>
      </c>
      <c r="G301">
        <f t="shared" ca="1" si="40"/>
        <v>3.4746559981301481E-2</v>
      </c>
      <c r="H301">
        <f t="shared" ca="1" si="42"/>
        <v>3.4747801263119847E-2</v>
      </c>
      <c r="I301">
        <f t="shared" ca="1" si="43"/>
        <v>1.0511124944712137E-2</v>
      </c>
      <c r="J301" s="5">
        <f t="shared" ca="1" si="44"/>
        <v>2.4236676318407709E-2</v>
      </c>
    </row>
    <row r="302" spans="1:10" x14ac:dyDescent="0.2">
      <c r="A302">
        <f t="shared" ca="1" si="36"/>
        <v>0.77546633054551939</v>
      </c>
      <c r="B302">
        <f t="shared" ca="1" si="37"/>
        <v>0.75697082946359329</v>
      </c>
      <c r="C302">
        <f t="shared" ca="1" si="41"/>
        <v>8.550082403455761</v>
      </c>
      <c r="D302" s="21">
        <f t="shared" ca="1" si="38"/>
        <v>0.29955987899782432</v>
      </c>
      <c r="F302">
        <f t="shared" si="39"/>
        <v>0.29600000000000021</v>
      </c>
      <c r="G302">
        <f t="shared" ca="1" si="40"/>
        <v>3.7382814325298837E-2</v>
      </c>
      <c r="H302">
        <f t="shared" ca="1" si="42"/>
        <v>3.7384187296807404E-2</v>
      </c>
      <c r="I302">
        <f t="shared" ca="1" si="43"/>
        <v>1.053980535449978E-2</v>
      </c>
      <c r="J302" s="5">
        <f t="shared" ca="1" si="44"/>
        <v>2.6844381942307625E-2</v>
      </c>
    </row>
    <row r="303" spans="1:10" x14ac:dyDescent="0.2">
      <c r="A303">
        <f t="shared" ca="1" si="36"/>
        <v>0.92704826903473103</v>
      </c>
      <c r="B303">
        <f t="shared" ca="1" si="37"/>
        <v>1.4541545524415505</v>
      </c>
      <c r="C303">
        <f t="shared" ca="1" si="41"/>
        <v>10.004236955897312</v>
      </c>
      <c r="D303" s="21">
        <f t="shared" ca="1" si="38"/>
        <v>0.13859195143072003</v>
      </c>
      <c r="F303">
        <f t="shared" si="39"/>
        <v>0.29700000000000021</v>
      </c>
      <c r="G303">
        <f t="shared" ca="1" si="40"/>
        <v>3.9782707991592253E-2</v>
      </c>
      <c r="H303">
        <f t="shared" ca="1" si="42"/>
        <v>3.978420082148957E-2</v>
      </c>
      <c r="I303">
        <f t="shared" ca="1" si="43"/>
        <v>1.0566068983832087E-2</v>
      </c>
      <c r="J303" s="5">
        <f t="shared" ca="1" si="44"/>
        <v>2.9218131837657483E-2</v>
      </c>
    </row>
    <row r="304" spans="1:10" x14ac:dyDescent="0.2">
      <c r="A304">
        <f t="shared" ca="1" si="36"/>
        <v>4.8239820754625962E-2</v>
      </c>
      <c r="B304">
        <f t="shared" ca="1" si="37"/>
        <v>-1.6621652698583869</v>
      </c>
      <c r="C304">
        <f t="shared" ca="1" si="41"/>
        <v>8.3420716860389259</v>
      </c>
      <c r="D304" s="21">
        <f t="shared" ca="1" si="38"/>
        <v>0.10022524004790125</v>
      </c>
      <c r="F304">
        <f t="shared" si="39"/>
        <v>0.29800000000000021</v>
      </c>
      <c r="G304">
        <f t="shared" ca="1" si="40"/>
        <v>4.4386939962891614E-2</v>
      </c>
      <c r="H304">
        <f t="shared" ca="1" si="42"/>
        <v>4.4388662857025488E-2</v>
      </c>
      <c r="I304">
        <f t="shared" ca="1" si="43"/>
        <v>1.061577675844937E-2</v>
      </c>
      <c r="J304" s="5">
        <f t="shared" ca="1" si="44"/>
        <v>3.3772886098576121E-2</v>
      </c>
    </row>
    <row r="305" spans="1:10" x14ac:dyDescent="0.2">
      <c r="A305">
        <f t="shared" ca="1" si="36"/>
        <v>6.2572190899551128E-2</v>
      </c>
      <c r="B305">
        <f t="shared" ca="1" si="37"/>
        <v>-1.5335338139615275</v>
      </c>
      <c r="C305">
        <f t="shared" ca="1" si="41"/>
        <v>6.8085378720773981</v>
      </c>
      <c r="D305" s="21">
        <f t="shared" ca="1" si="38"/>
        <v>0.12309467398511043</v>
      </c>
      <c r="F305">
        <f t="shared" si="39"/>
        <v>0.29900000000000021</v>
      </c>
      <c r="G305">
        <f t="shared" ca="1" si="40"/>
        <v>3.9136535690913389E-2</v>
      </c>
      <c r="H305">
        <f t="shared" ca="1" si="42"/>
        <v>3.9137995890358865E-2</v>
      </c>
      <c r="I305">
        <f t="shared" ca="1" si="43"/>
        <v>1.0561127463189001E-2</v>
      </c>
      <c r="J305" s="5">
        <f t="shared" ca="1" si="44"/>
        <v>2.8576868427169864E-2</v>
      </c>
    </row>
    <row r="306" spans="1:10" x14ac:dyDescent="0.2">
      <c r="A306">
        <f t="shared" ca="1" si="36"/>
        <v>0.17306711792827989</v>
      </c>
      <c r="B306">
        <f t="shared" ca="1" si="37"/>
        <v>-0.94211408141858699</v>
      </c>
      <c r="C306">
        <f t="shared" ca="1" si="41"/>
        <v>5.8664237906588115</v>
      </c>
      <c r="D306" s="21">
        <f t="shared" ca="1" si="38"/>
        <v>0.25596155939052639</v>
      </c>
      <c r="F306">
        <f t="shared" si="39"/>
        <v>0.30000000000000021</v>
      </c>
      <c r="G306">
        <f t="shared" ca="1" si="40"/>
        <v>3.4293404474917216E-2</v>
      </c>
      <c r="H306">
        <f t="shared" ca="1" si="42"/>
        <v>3.4294622369766478E-2</v>
      </c>
      <c r="I306">
        <f t="shared" ca="1" si="43"/>
        <v>1.0511034185654756E-2</v>
      </c>
      <c r="J306" s="5">
        <f t="shared" ca="1" si="44"/>
        <v>2.378358818411172E-2</v>
      </c>
    </row>
    <row r="307" spans="1:10" x14ac:dyDescent="0.2">
      <c r="A307">
        <f t="shared" ca="1" si="36"/>
        <v>0.83445672965438389</v>
      </c>
      <c r="B307">
        <f t="shared" ca="1" si="37"/>
        <v>0.97192765483968935</v>
      </c>
      <c r="C307">
        <f t="shared" ca="1" si="41"/>
        <v>6.8383514454985006</v>
      </c>
      <c r="D307" s="21">
        <f t="shared" ca="1" si="38"/>
        <v>0.24876161356724313</v>
      </c>
      <c r="F307">
        <f t="shared" si="39"/>
        <v>0.30100000000000021</v>
      </c>
      <c r="G307">
        <f t="shared" ca="1" si="40"/>
        <v>3.1320897448056842E-2</v>
      </c>
      <c r="H307">
        <f t="shared" ca="1" si="42"/>
        <v>3.1321966594529453E-2</v>
      </c>
      <c r="I307">
        <f t="shared" ca="1" si="43"/>
        <v>1.0480761661670588E-2</v>
      </c>
      <c r="J307" s="5">
        <f t="shared" ca="1" si="44"/>
        <v>2.0841204932858865E-2</v>
      </c>
    </row>
    <row r="308" spans="1:10" x14ac:dyDescent="0.2">
      <c r="A308">
        <f t="shared" ca="1" si="36"/>
        <v>0.14746922428659803</v>
      </c>
      <c r="B308">
        <f t="shared" ca="1" si="37"/>
        <v>-1.0473494246387176</v>
      </c>
      <c r="C308">
        <f t="shared" ca="1" si="41"/>
        <v>5.791002020859783</v>
      </c>
      <c r="D308" s="21">
        <f t="shared" ca="1" si="38"/>
        <v>0.23052200796783689</v>
      </c>
      <c r="F308">
        <f t="shared" si="39"/>
        <v>0.30200000000000021</v>
      </c>
      <c r="G308">
        <f t="shared" ca="1" si="40"/>
        <v>3.4401116456274708E-2</v>
      </c>
      <c r="H308">
        <f t="shared" ca="1" si="42"/>
        <v>3.4402339508069396E-2</v>
      </c>
      <c r="I308">
        <f t="shared" ca="1" si="43"/>
        <v>1.0514022674572267E-2</v>
      </c>
      <c r="J308" s="5">
        <f t="shared" ca="1" si="44"/>
        <v>2.3888316833497129E-2</v>
      </c>
    </row>
    <row r="309" spans="1:10" x14ac:dyDescent="0.2">
      <c r="A309">
        <f t="shared" ca="1" si="36"/>
        <v>0.70090196466973187</v>
      </c>
      <c r="B309">
        <f t="shared" ca="1" si="37"/>
        <v>0.52699642561185445</v>
      </c>
      <c r="C309">
        <f t="shared" ca="1" si="41"/>
        <v>6.3179984464716377</v>
      </c>
      <c r="D309" s="21">
        <f t="shared" ca="1" si="38"/>
        <v>0.34721845302023113</v>
      </c>
      <c r="F309">
        <f t="shared" si="39"/>
        <v>0.30300000000000021</v>
      </c>
      <c r="G309">
        <f t="shared" ca="1" si="40"/>
        <v>3.1095831922305049E-2</v>
      </c>
      <c r="H309">
        <f t="shared" ca="1" si="42"/>
        <v>3.1096889586193367E-2</v>
      </c>
      <c r="I309">
        <f t="shared" ca="1" si="43"/>
        <v>1.0480253309080758E-2</v>
      </c>
      <c r="J309" s="5">
        <f t="shared" ca="1" si="44"/>
        <v>2.0616636277112611E-2</v>
      </c>
    </row>
    <row r="310" spans="1:10" x14ac:dyDescent="0.2">
      <c r="A310">
        <f t="shared" ca="1" si="36"/>
        <v>9.1209628771673934E-2</v>
      </c>
      <c r="B310">
        <f t="shared" ca="1" si="37"/>
        <v>-1.3333430337403704</v>
      </c>
      <c r="C310">
        <f t="shared" ca="1" si="41"/>
        <v>4.984655412731267</v>
      </c>
      <c r="D310" s="21">
        <f t="shared" ca="1" si="38"/>
        <v>0.16400795339601867</v>
      </c>
      <c r="F310">
        <f t="shared" si="39"/>
        <v>0.30400000000000021</v>
      </c>
      <c r="G310">
        <f t="shared" ca="1" si="40"/>
        <v>3.2769147696324975E-2</v>
      </c>
      <c r="H310">
        <f t="shared" ca="1" si="42"/>
        <v>3.2770288920935697E-2</v>
      </c>
      <c r="I310">
        <f t="shared" ca="1" si="43"/>
        <v>1.0498730639069333E-2</v>
      </c>
      <c r="J310" s="5">
        <f t="shared" ca="1" si="44"/>
        <v>2.2271558281866364E-2</v>
      </c>
    </row>
    <row r="311" spans="1:10" x14ac:dyDescent="0.2">
      <c r="A311">
        <f t="shared" ca="1" si="36"/>
        <v>0.97343118649506688</v>
      </c>
      <c r="B311">
        <f t="shared" ca="1" si="37"/>
        <v>1.9338007788338016</v>
      </c>
      <c r="C311">
        <f t="shared" ca="1" si="41"/>
        <v>6.9184561915650686</v>
      </c>
      <c r="D311" s="21">
        <f t="shared" ca="1" si="38"/>
        <v>6.1499190963958325E-2</v>
      </c>
      <c r="F311">
        <f t="shared" si="39"/>
        <v>0.30500000000000022</v>
      </c>
      <c r="G311">
        <f t="shared" ca="1" si="40"/>
        <v>2.8559680367734638E-2</v>
      </c>
      <c r="H311">
        <f t="shared" ca="1" si="42"/>
        <v>2.8560611003105293E-2</v>
      </c>
      <c r="I311">
        <f t="shared" ca="1" si="43"/>
        <v>1.0455550204343472E-2</v>
      </c>
      <c r="J311" s="5">
        <f t="shared" ca="1" si="44"/>
        <v>1.810506079876182E-2</v>
      </c>
    </row>
    <row r="312" spans="1:10" x14ac:dyDescent="0.2">
      <c r="A312">
        <f t="shared" ca="1" si="36"/>
        <v>0.45115187850234106</v>
      </c>
      <c r="B312">
        <f t="shared" ca="1" si="37"/>
        <v>-0.12275165670446342</v>
      </c>
      <c r="C312">
        <f t="shared" ca="1" si="41"/>
        <v>6.7957045348606053</v>
      </c>
      <c r="D312" s="21">
        <f t="shared" ca="1" si="38"/>
        <v>0.39594794918592791</v>
      </c>
      <c r="F312">
        <f t="shared" si="39"/>
        <v>0.30600000000000022</v>
      </c>
      <c r="G312">
        <f t="shared" ca="1" si="40"/>
        <v>3.4681733296619888E-2</v>
      </c>
      <c r="H312">
        <f t="shared" ca="1" si="42"/>
        <v>3.4682969944127326E-2</v>
      </c>
      <c r="I312">
        <f t="shared" ca="1" si="43"/>
        <v>1.0520683455493183E-2</v>
      </c>
      <c r="J312" s="5">
        <f t="shared" ca="1" si="44"/>
        <v>2.4162286488634145E-2</v>
      </c>
    </row>
    <row r="313" spans="1:10" x14ac:dyDescent="0.2">
      <c r="A313">
        <f t="shared" ca="1" si="36"/>
        <v>7.8476820428061034E-2</v>
      </c>
      <c r="B313">
        <f t="shared" ca="1" si="37"/>
        <v>-1.4153918398086538</v>
      </c>
      <c r="C313">
        <f t="shared" ca="1" si="41"/>
        <v>5.380312695051952</v>
      </c>
      <c r="D313" s="21">
        <f t="shared" ca="1" si="38"/>
        <v>0.14651820920956793</v>
      </c>
      <c r="F313">
        <f t="shared" si="39"/>
        <v>0.30700000000000022</v>
      </c>
      <c r="G313">
        <f t="shared" ca="1" si="40"/>
        <v>3.4300109382897022E-2</v>
      </c>
      <c r="H313">
        <f t="shared" ca="1" si="42"/>
        <v>3.430132682538773E-2</v>
      </c>
      <c r="I313">
        <f t="shared" ca="1" si="43"/>
        <v>1.0517599508086435E-2</v>
      </c>
      <c r="J313" s="5">
        <f t="shared" ca="1" si="44"/>
        <v>2.3783727317301294E-2</v>
      </c>
    </row>
    <row r="314" spans="1:10" x14ac:dyDescent="0.2">
      <c r="A314">
        <f t="shared" ca="1" si="36"/>
        <v>0.52337028175976086</v>
      </c>
      <c r="B314">
        <f t="shared" ca="1" si="37"/>
        <v>5.861415440728019E-2</v>
      </c>
      <c r="C314">
        <f t="shared" ca="1" si="41"/>
        <v>5.4389268494592322</v>
      </c>
      <c r="D314" s="21">
        <f t="shared" ca="1" si="38"/>
        <v>0.39825756181931804</v>
      </c>
      <c r="F314">
        <f t="shared" si="39"/>
        <v>0.30800000000000022</v>
      </c>
      <c r="G314">
        <f t="shared" ca="1" si="40"/>
        <v>2.9831040831834164E-2</v>
      </c>
      <c r="H314">
        <f t="shared" ca="1" si="42"/>
        <v>2.9832034697293661E-2</v>
      </c>
      <c r="I314">
        <f t="shared" ca="1" si="43"/>
        <v>1.0471624135529418E-2</v>
      </c>
      <c r="J314" s="5">
        <f t="shared" ca="1" si="44"/>
        <v>1.9360410561764241E-2</v>
      </c>
    </row>
    <row r="315" spans="1:10" x14ac:dyDescent="0.2">
      <c r="A315">
        <f t="shared" ca="1" si="36"/>
        <v>0.74921732166711297</v>
      </c>
      <c r="B315">
        <f t="shared" ca="1" si="37"/>
        <v>0.67202880815889876</v>
      </c>
      <c r="C315">
        <f t="shared" ca="1" si="41"/>
        <v>6.1109556576181312</v>
      </c>
      <c r="D315" s="21">
        <f t="shared" ca="1" si="38"/>
        <v>0.31830351786839212</v>
      </c>
      <c r="F315">
        <f t="shared" si="39"/>
        <v>0.30900000000000022</v>
      </c>
      <c r="G315">
        <f t="shared" ca="1" si="40"/>
        <v>3.0023402340644267E-2</v>
      </c>
      <c r="H315">
        <f t="shared" ca="1" si="42"/>
        <v>3.0024405724875733E-2</v>
      </c>
      <c r="I315">
        <f t="shared" ca="1" si="43"/>
        <v>1.0474560311227206E-2</v>
      </c>
      <c r="J315" s="5">
        <f t="shared" ca="1" si="44"/>
        <v>1.9549845413648528E-2</v>
      </c>
    </row>
    <row r="316" spans="1:10" x14ac:dyDescent="0.2">
      <c r="A316">
        <f t="shared" ca="1" si="36"/>
        <v>0.87396592151954966</v>
      </c>
      <c r="B316">
        <f t="shared" ca="1" si="37"/>
        <v>1.1453404477301348</v>
      </c>
      <c r="C316">
        <f t="shared" ca="1" si="41"/>
        <v>7.256296105348266</v>
      </c>
      <c r="D316" s="21">
        <f t="shared" ca="1" si="38"/>
        <v>0.20704048941448328</v>
      </c>
      <c r="F316">
        <f t="shared" si="39"/>
        <v>0.31000000000000022</v>
      </c>
      <c r="G316">
        <f t="shared" ca="1" si="40"/>
        <v>3.2155435084912178E-2</v>
      </c>
      <c r="H316">
        <f t="shared" ca="1" si="42"/>
        <v>3.215654497133371E-2</v>
      </c>
      <c r="I316">
        <f t="shared" ca="1" si="43"/>
        <v>1.0497841153048533E-2</v>
      </c>
      <c r="J316" s="5">
        <f t="shared" ca="1" si="44"/>
        <v>2.1658703818285177E-2</v>
      </c>
    </row>
    <row r="317" spans="1:10" x14ac:dyDescent="0.2">
      <c r="A317">
        <f t="shared" ca="1" si="36"/>
        <v>0.82758702036120202</v>
      </c>
      <c r="B317">
        <f t="shared" ca="1" si="37"/>
        <v>0.94467277714386699</v>
      </c>
      <c r="C317">
        <f t="shared" ca="1" si="41"/>
        <v>8.2009688824921323</v>
      </c>
      <c r="D317" s="21">
        <f t="shared" ca="1" si="38"/>
        <v>0.25534444996306876</v>
      </c>
      <c r="F317">
        <f t="shared" si="39"/>
        <v>0.31100000000000022</v>
      </c>
      <c r="G317">
        <f t="shared" ca="1" si="40"/>
        <v>3.5783922626656126E-2</v>
      </c>
      <c r="H317">
        <f t="shared" ca="1" si="42"/>
        <v>3.5785213827980833E-2</v>
      </c>
      <c r="I317">
        <f t="shared" ca="1" si="43"/>
        <v>1.053693302120513E-2</v>
      </c>
      <c r="J317" s="5">
        <f t="shared" ca="1" si="44"/>
        <v>2.5248280806775703E-2</v>
      </c>
    </row>
    <row r="318" spans="1:10" x14ac:dyDescent="0.2">
      <c r="A318">
        <f t="shared" ca="1" si="36"/>
        <v>0.43367213359725443</v>
      </c>
      <c r="B318">
        <f t="shared" ca="1" si="37"/>
        <v>-0.16703276643605283</v>
      </c>
      <c r="C318">
        <f t="shared" ca="1" si="41"/>
        <v>8.0339361160560792</v>
      </c>
      <c r="D318" s="21">
        <f t="shared" ca="1" si="38"/>
        <v>0.39341568410486566</v>
      </c>
      <c r="F318">
        <f t="shared" si="39"/>
        <v>0.31200000000000022</v>
      </c>
      <c r="G318">
        <f t="shared" ca="1" si="40"/>
        <v>3.8777512172997387E-2</v>
      </c>
      <c r="H318">
        <f t="shared" ca="1" si="42"/>
        <v>3.8778952925929304E-2</v>
      </c>
      <c r="I318">
        <f t="shared" ca="1" si="43"/>
        <v>1.0569461301001675E-2</v>
      </c>
      <c r="J318" s="5">
        <f t="shared" ca="1" si="44"/>
        <v>2.8209491624927627E-2</v>
      </c>
    </row>
    <row r="319" spans="1:10" x14ac:dyDescent="0.2">
      <c r="A319">
        <f t="shared" ca="1" si="36"/>
        <v>0.9855201631147199</v>
      </c>
      <c r="B319">
        <f t="shared" ca="1" si="37"/>
        <v>2.1840350344307953</v>
      </c>
      <c r="C319">
        <f t="shared" ca="1" si="41"/>
        <v>10.217971150486875</v>
      </c>
      <c r="D319" s="21">
        <f t="shared" ca="1" si="38"/>
        <v>3.6738021610878767E-2</v>
      </c>
      <c r="F319">
        <f t="shared" si="39"/>
        <v>0.31300000000000022</v>
      </c>
      <c r="G319">
        <f t="shared" ca="1" si="40"/>
        <v>3.8255456538959905E-2</v>
      </c>
      <c r="H319">
        <f t="shared" ca="1" si="42"/>
        <v>3.8256871044819861E-2</v>
      </c>
      <c r="I319">
        <f t="shared" ca="1" si="43"/>
        <v>1.056488355985759E-2</v>
      </c>
      <c r="J319" s="5">
        <f t="shared" ca="1" si="44"/>
        <v>2.7691987484962273E-2</v>
      </c>
    </row>
    <row r="320" spans="1:10" x14ac:dyDescent="0.2">
      <c r="A320">
        <f t="shared" ca="1" si="36"/>
        <v>0.11970963890653374</v>
      </c>
      <c r="B320">
        <f t="shared" ca="1" si="37"/>
        <v>-1.1764395434220041</v>
      </c>
      <c r="C320">
        <f t="shared" ca="1" si="41"/>
        <v>9.0415316070648704</v>
      </c>
      <c r="D320" s="21">
        <f t="shared" ca="1" si="38"/>
        <v>0.19969910248875081</v>
      </c>
      <c r="F320">
        <f t="shared" si="39"/>
        <v>0.31400000000000022</v>
      </c>
      <c r="G320">
        <f t="shared" ca="1" si="40"/>
        <v>4.5167810571127211E-2</v>
      </c>
      <c r="H320">
        <f t="shared" ca="1" si="42"/>
        <v>4.5169570556120961E-2</v>
      </c>
      <c r="I320">
        <f t="shared" ca="1" si="43"/>
        <v>1.0639113416187842E-2</v>
      </c>
      <c r="J320" s="5">
        <f t="shared" ca="1" si="44"/>
        <v>3.4530457139933121E-2</v>
      </c>
    </row>
    <row r="321" spans="1:10" x14ac:dyDescent="0.2">
      <c r="A321">
        <f t="shared" ca="1" si="36"/>
        <v>0.62046323027847072</v>
      </c>
      <c r="B321">
        <f t="shared" ca="1" si="37"/>
        <v>0.30669762270708995</v>
      </c>
      <c r="C321">
        <f t="shared" ca="1" si="41"/>
        <v>9.3482292297719596</v>
      </c>
      <c r="D321" s="21">
        <f t="shared" ca="1" si="38"/>
        <v>0.38061373040344137</v>
      </c>
      <c r="F321">
        <f t="shared" si="39"/>
        <v>0.31500000000000022</v>
      </c>
      <c r="G321">
        <f t="shared" ca="1" si="40"/>
        <v>4.1453251032890388E-2</v>
      </c>
      <c r="H321">
        <f t="shared" ca="1" si="42"/>
        <v>4.1454825112363251E-2</v>
      </c>
      <c r="I321">
        <f t="shared" ca="1" si="43"/>
        <v>1.0600614025865625E-2</v>
      </c>
      <c r="J321" s="5">
        <f t="shared" ca="1" si="44"/>
        <v>3.0854211086497628E-2</v>
      </c>
    </row>
    <row r="322" spans="1:10" x14ac:dyDescent="0.2">
      <c r="A322">
        <f t="shared" ca="1" si="36"/>
        <v>0.22445073223197687</v>
      </c>
      <c r="B322">
        <f t="shared" ca="1" si="37"/>
        <v>-0.75724772207000701</v>
      </c>
      <c r="C322">
        <f t="shared" ca="1" si="41"/>
        <v>8.5909815077019527</v>
      </c>
      <c r="D322" s="21">
        <f t="shared" ca="1" si="38"/>
        <v>0.29949708645776157</v>
      </c>
      <c r="F322">
        <f t="shared" si="39"/>
        <v>0.31600000000000023</v>
      </c>
      <c r="G322">
        <f t="shared" ca="1" si="40"/>
        <v>4.2428919964644915E-2</v>
      </c>
      <c r="H322">
        <f t="shared" ca="1" si="42"/>
        <v>4.2430542670565397E-2</v>
      </c>
      <c r="I322">
        <f t="shared" ca="1" si="43"/>
        <v>1.0611908240279147E-2</v>
      </c>
      <c r="J322" s="5">
        <f t="shared" ca="1" si="44"/>
        <v>3.1818634430286249E-2</v>
      </c>
    </row>
    <row r="323" spans="1:10" x14ac:dyDescent="0.2">
      <c r="A323">
        <f t="shared" ca="1" si="36"/>
        <v>0.21556964916651411</v>
      </c>
      <c r="B323">
        <f t="shared" ca="1" si="37"/>
        <v>-0.78724356639330328</v>
      </c>
      <c r="C323">
        <f t="shared" ca="1" si="41"/>
        <v>7.8037379413086496</v>
      </c>
      <c r="D323" s="21">
        <f t="shared" ca="1" si="38"/>
        <v>0.29263922296021</v>
      </c>
      <c r="F323">
        <f t="shared" si="39"/>
        <v>0.31700000000000023</v>
      </c>
      <c r="G323">
        <f t="shared" ca="1" si="40"/>
        <v>4.0040168956476413E-2</v>
      </c>
      <c r="H323">
        <f t="shared" ca="1" si="42"/>
        <v>4.0041672061582968E-2</v>
      </c>
      <c r="I323">
        <f t="shared" ca="1" si="43"/>
        <v>1.0587532841592934E-2</v>
      </c>
      <c r="J323" s="5">
        <f t="shared" ca="1" si="44"/>
        <v>2.9454139219990034E-2</v>
      </c>
    </row>
    <row r="324" spans="1:10" x14ac:dyDescent="0.2">
      <c r="A324">
        <f t="shared" ca="1" si="36"/>
        <v>0.67498980076725479</v>
      </c>
      <c r="B324">
        <f t="shared" ca="1" si="37"/>
        <v>0.45373385242483788</v>
      </c>
      <c r="C324">
        <f t="shared" ca="1" si="41"/>
        <v>8.2574717937334867</v>
      </c>
      <c r="D324" s="21">
        <f t="shared" ca="1" si="38"/>
        <v>0.35991919263786532</v>
      </c>
      <c r="F324">
        <f t="shared" si="39"/>
        <v>0.31800000000000023</v>
      </c>
      <c r="G324">
        <f t="shared" ca="1" si="40"/>
        <v>3.7556806365625736E-2</v>
      </c>
      <c r="H324">
        <f t="shared" ca="1" si="42"/>
        <v>3.7558185151259985E-2</v>
      </c>
      <c r="I324">
        <f t="shared" ca="1" si="43"/>
        <v>1.0562211504762017E-2</v>
      </c>
      <c r="J324" s="5">
        <f t="shared" ca="1" si="44"/>
        <v>2.6995973646497966E-2</v>
      </c>
    </row>
    <row r="325" spans="1:10" x14ac:dyDescent="0.2">
      <c r="A325">
        <f t="shared" ca="1" si="36"/>
        <v>0.33211866516753263</v>
      </c>
      <c r="B325">
        <f t="shared" ca="1" si="37"/>
        <v>-0.43407038490618172</v>
      </c>
      <c r="C325">
        <f t="shared" ca="1" si="41"/>
        <v>7.8234014088273049</v>
      </c>
      <c r="D325" s="21">
        <f t="shared" ca="1" si="38"/>
        <v>0.36307455405605421</v>
      </c>
      <c r="F325">
        <f t="shared" si="39"/>
        <v>0.31900000000000023</v>
      </c>
      <c r="G325">
        <f t="shared" ca="1" si="40"/>
        <v>3.8997811059336654E-2</v>
      </c>
      <c r="H325">
        <f t="shared" ca="1" si="42"/>
        <v>3.8999261757930059E-2</v>
      </c>
      <c r="I325">
        <f t="shared" ca="1" si="43"/>
        <v>1.0578382284541466E-2</v>
      </c>
      <c r="J325" s="5">
        <f t="shared" ca="1" si="44"/>
        <v>2.8420879473388595E-2</v>
      </c>
    </row>
    <row r="326" spans="1:10" x14ac:dyDescent="0.2">
      <c r="A326">
        <f t="shared" ca="1" si="36"/>
        <v>2.86143755704521E-2</v>
      </c>
      <c r="B326">
        <f t="shared" ca="1" si="37"/>
        <v>-1.9015596203801068</v>
      </c>
      <c r="C326">
        <f t="shared" ca="1" si="41"/>
        <v>5.9218417884471979</v>
      </c>
      <c r="D326" s="21">
        <f t="shared" ca="1" si="38"/>
        <v>6.5421585063186877E-2</v>
      </c>
      <c r="F326">
        <f t="shared" si="39"/>
        <v>0.32000000000000023</v>
      </c>
      <c r="G326">
        <f t="shared" ca="1" si="40"/>
        <v>3.7631328521794918E-2</v>
      </c>
      <c r="H326">
        <f t="shared" ca="1" si="42"/>
        <v>3.7632710750624757E-2</v>
      </c>
      <c r="I326">
        <f t="shared" ca="1" si="43"/>
        <v>1.0564875433337916E-2</v>
      </c>
      <c r="J326" s="5">
        <f t="shared" ca="1" si="44"/>
        <v>2.7067835317286841E-2</v>
      </c>
    </row>
    <row r="327" spans="1:10" x14ac:dyDescent="0.2">
      <c r="A327">
        <f t="shared" ref="A327:A390" ca="1" si="45">RAND()</f>
        <v>0.74882646057725</v>
      </c>
      <c r="B327">
        <f t="shared" ref="B327:B390" ca="1" si="46">NORMSINV(A327)</f>
        <v>0.67080136334032769</v>
      </c>
      <c r="C327">
        <f t="shared" ca="1" si="41"/>
        <v>6.5926431517875255</v>
      </c>
      <c r="D327" s="21">
        <f t="shared" ref="D327:D390" ca="1" si="47">_xlfn.NORM.DIST(B327,0,1,FALSE)</f>
        <v>0.31856594786761017</v>
      </c>
      <c r="F327">
        <f t="shared" ref="F327:F390" si="48">F326+$M$2/$N$2</f>
        <v>0.32100000000000023</v>
      </c>
      <c r="G327">
        <f t="shared" ref="G327:G390" ca="1" si="49">G326*EXP(-$M$4*$O$2) + $O$4*(1-EXP(-$M$4*$O$2)) + $N$4* SQRT((1-EXP(-2*$M$4*$O$2))/(2*$M$4)) *B326</f>
        <v>3.1624606220551771E-2</v>
      </c>
      <c r="H327">
        <f t="shared" ca="1" si="42"/>
        <v>3.162568797254342E-2</v>
      </c>
      <c r="I327">
        <f t="shared" ca="1" si="43"/>
        <v>1.0502534415985408E-2</v>
      </c>
      <c r="J327" s="5">
        <f t="shared" ca="1" si="44"/>
        <v>2.1123153556558014E-2</v>
      </c>
    </row>
    <row r="328" spans="1:10" x14ac:dyDescent="0.2">
      <c r="A328">
        <f t="shared" ca="1" si="45"/>
        <v>0.70821111613714971</v>
      </c>
      <c r="B328">
        <f t="shared" ca="1" si="46"/>
        <v>0.54816622990784747</v>
      </c>
      <c r="C328">
        <f t="shared" ref="C328:C391" ca="1" si="50">B328+C327</f>
        <v>7.140809381695373</v>
      </c>
      <c r="D328" s="21">
        <f t="shared" ca="1" si="47"/>
        <v>0.34328933641215947</v>
      </c>
      <c r="F328">
        <f t="shared" si="48"/>
        <v>0.32200000000000023</v>
      </c>
      <c r="G328">
        <f t="shared" ca="1" si="49"/>
        <v>3.3752597525176564E-2</v>
      </c>
      <c r="H328">
        <f t="shared" ref="H328:H391" ca="1" si="51">H327+($M$6 + $N$6*H327)*$O$2 + $O$6*H327^$P$6*SQRT($O$2)*B327</f>
        <v>3.3753785569447775E-2</v>
      </c>
      <c r="I328">
        <f t="shared" ref="I328:I391" ca="1" si="52">I327*EXP(($M$8-0.5*($N$8^2))*$O$2 + $N$8*SQRT($O$2)*B327)</f>
        <v>1.0525836576938034E-2</v>
      </c>
      <c r="J328" s="5">
        <f t="shared" ref="J328:J391" ca="1" si="53">ABS(H328-I328)</f>
        <v>2.3227948992509739E-2</v>
      </c>
    </row>
    <row r="329" spans="1:10" x14ac:dyDescent="0.2">
      <c r="A329">
        <f t="shared" ca="1" si="45"/>
        <v>0.4012347314659146</v>
      </c>
      <c r="B329">
        <f t="shared" ca="1" si="46"/>
        <v>-0.25015244074180715</v>
      </c>
      <c r="C329">
        <f t="shared" ca="1" si="50"/>
        <v>6.8906569409535656</v>
      </c>
      <c r="D329" s="21">
        <f t="shared" ca="1" si="47"/>
        <v>0.38665337659744137</v>
      </c>
      <c r="F329">
        <f t="shared" si="48"/>
        <v>0.32300000000000023</v>
      </c>
      <c r="G329">
        <f t="shared" ca="1" si="49"/>
        <v>3.5492589088014441E-2</v>
      </c>
      <c r="H329">
        <f t="shared" ca="1" si="51"/>
        <v>3.5493864013787138E-2</v>
      </c>
      <c r="I329">
        <f t="shared" ca="1" si="52"/>
        <v>1.0545100189011976E-2</v>
      </c>
      <c r="J329" s="5">
        <f t="shared" ca="1" si="53"/>
        <v>2.4948763824775164E-2</v>
      </c>
    </row>
    <row r="330" spans="1:10" x14ac:dyDescent="0.2">
      <c r="A330">
        <f t="shared" ca="1" si="45"/>
        <v>0.74764088926980998</v>
      </c>
      <c r="B330">
        <f t="shared" ca="1" si="46"/>
        <v>0.66708440413347214</v>
      </c>
      <c r="C330">
        <f t="shared" ca="1" si="50"/>
        <v>7.5577413450870381</v>
      </c>
      <c r="D330" s="21">
        <f t="shared" ca="1" si="47"/>
        <v>0.31935902644380065</v>
      </c>
      <c r="F330">
        <f t="shared" si="48"/>
        <v>0.32400000000000023</v>
      </c>
      <c r="G330">
        <f t="shared" ca="1" si="49"/>
        <v>3.4708027582510716E-2</v>
      </c>
      <c r="H330">
        <f t="shared" ca="1" si="51"/>
        <v>3.4709263152391347E-2</v>
      </c>
      <c r="I330">
        <f t="shared" ca="1" si="52"/>
        <v>1.0537762810364304E-2</v>
      </c>
      <c r="J330" s="5">
        <f t="shared" ca="1" si="53"/>
        <v>2.4171500342027044E-2</v>
      </c>
    </row>
    <row r="331" spans="1:10" x14ac:dyDescent="0.2">
      <c r="A331">
        <f t="shared" ca="1" si="45"/>
        <v>0.81573897223993519</v>
      </c>
      <c r="B331">
        <f t="shared" ca="1" si="46"/>
        <v>0.89924522609192281</v>
      </c>
      <c r="C331">
        <f t="shared" ca="1" si="50"/>
        <v>8.4569865711789607</v>
      </c>
      <c r="D331" s="21">
        <f t="shared" ca="1" si="47"/>
        <v>0.26626598624419956</v>
      </c>
      <c r="F331">
        <f t="shared" si="48"/>
        <v>0.32500000000000023</v>
      </c>
      <c r="G331">
        <f t="shared" ca="1" si="49"/>
        <v>3.6823957091030673E-2</v>
      </c>
      <c r="H331">
        <f t="shared" ca="1" si="51"/>
        <v>3.6825298334714117E-2</v>
      </c>
      <c r="I331">
        <f t="shared" ca="1" si="52"/>
        <v>1.0561018997636125E-2</v>
      </c>
      <c r="J331" s="5">
        <f t="shared" ca="1" si="53"/>
        <v>2.6264279337077992E-2</v>
      </c>
    </row>
    <row r="332" spans="1:10" x14ac:dyDescent="0.2">
      <c r="A332">
        <f t="shared" ca="1" si="45"/>
        <v>0.66673369657103254</v>
      </c>
      <c r="B332">
        <f t="shared" ca="1" si="46"/>
        <v>0.43091165740238518</v>
      </c>
      <c r="C332">
        <f t="shared" ca="1" si="50"/>
        <v>8.8878982285813457</v>
      </c>
      <c r="D332" s="21">
        <f t="shared" ca="1" si="47"/>
        <v>0.36357089688696681</v>
      </c>
      <c r="F332">
        <f t="shared" si="48"/>
        <v>0.32600000000000023</v>
      </c>
      <c r="G332">
        <f t="shared" ca="1" si="49"/>
        <v>3.9673795291704998E-2</v>
      </c>
      <c r="H332">
        <f t="shared" ca="1" si="51"/>
        <v>3.9675278894364195E-2</v>
      </c>
      <c r="I332">
        <f t="shared" ca="1" si="52"/>
        <v>1.0592099920164494E-2</v>
      </c>
      <c r="J332" s="5">
        <f t="shared" ca="1" si="53"/>
        <v>2.9083178974199701E-2</v>
      </c>
    </row>
    <row r="333" spans="1:10" x14ac:dyDescent="0.2">
      <c r="A333">
        <f t="shared" ca="1" si="45"/>
        <v>0.21899441981214274</v>
      </c>
      <c r="B333">
        <f t="shared" ca="1" si="46"/>
        <v>-0.7755938383708515</v>
      </c>
      <c r="C333">
        <f t="shared" ca="1" si="50"/>
        <v>8.112304390210495</v>
      </c>
      <c r="D333" s="21">
        <f t="shared" ca="1" si="47"/>
        <v>0.29531537252751366</v>
      </c>
      <c r="F333">
        <f t="shared" si="48"/>
        <v>0.32700000000000023</v>
      </c>
      <c r="G333">
        <f t="shared" ca="1" si="49"/>
        <v>4.1042421787987921E-2</v>
      </c>
      <c r="H333">
        <f t="shared" ca="1" si="51"/>
        <v>4.1043973674184449E-2</v>
      </c>
      <c r="I333">
        <f t="shared" ca="1" si="52"/>
        <v>1.0607550883385141E-2</v>
      </c>
      <c r="J333" s="5">
        <f t="shared" ca="1" si="53"/>
        <v>3.0436422790799306E-2</v>
      </c>
    </row>
    <row r="334" spans="1:10" x14ac:dyDescent="0.2">
      <c r="A334">
        <f t="shared" ca="1" si="45"/>
        <v>0.63380192131201685</v>
      </c>
      <c r="B334">
        <f t="shared" ca="1" si="46"/>
        <v>0.34193985250678682</v>
      </c>
      <c r="C334">
        <f t="shared" ca="1" si="50"/>
        <v>8.4542442427172819</v>
      </c>
      <c r="D334" s="21">
        <f t="shared" ca="1" si="47"/>
        <v>0.3762881906916225</v>
      </c>
      <c r="F334">
        <f t="shared" si="48"/>
        <v>0.32800000000000024</v>
      </c>
      <c r="G334">
        <f t="shared" ca="1" si="49"/>
        <v>3.8595796809630635E-2</v>
      </c>
      <c r="H334">
        <f t="shared" ca="1" si="51"/>
        <v>3.8597226208372644E-2</v>
      </c>
      <c r="I334">
        <f t="shared" ca="1" si="52"/>
        <v>1.0582571522351062E-2</v>
      </c>
      <c r="J334" s="5">
        <f t="shared" ca="1" si="53"/>
        <v>2.801465468602158E-2</v>
      </c>
    </row>
    <row r="335" spans="1:10" x14ac:dyDescent="0.2">
      <c r="A335">
        <f t="shared" ca="1" si="45"/>
        <v>0.52216272219144377</v>
      </c>
      <c r="B335">
        <f t="shared" ca="1" si="46"/>
        <v>5.5582312101845659E-2</v>
      </c>
      <c r="C335">
        <f t="shared" ca="1" si="50"/>
        <v>8.5098265548191279</v>
      </c>
      <c r="D335" s="21">
        <f t="shared" ca="1" si="47"/>
        <v>0.39832651128440288</v>
      </c>
      <c r="F335">
        <f t="shared" si="48"/>
        <v>0.32900000000000024</v>
      </c>
      <c r="G335">
        <f t="shared" ca="1" si="49"/>
        <v>3.9683191616457163E-2</v>
      </c>
      <c r="H335">
        <f t="shared" ca="1" si="51"/>
        <v>3.9684675242455288E-2</v>
      </c>
      <c r="I335">
        <f t="shared" ca="1" si="52"/>
        <v>1.0595027218337126E-2</v>
      </c>
      <c r="J335" s="5">
        <f t="shared" ca="1" si="53"/>
        <v>2.9089648024118162E-2</v>
      </c>
    </row>
    <row r="336" spans="1:10" x14ac:dyDescent="0.2">
      <c r="A336">
        <f t="shared" ca="1" si="45"/>
        <v>0.65376084491309217</v>
      </c>
      <c r="B336">
        <f t="shared" ca="1" si="46"/>
        <v>0.3954940523263864</v>
      </c>
      <c r="C336">
        <f t="shared" ca="1" si="50"/>
        <v>8.905320607145514</v>
      </c>
      <c r="D336" s="21">
        <f t="shared" ca="1" si="47"/>
        <v>0.36893075590767294</v>
      </c>
      <c r="F336">
        <f t="shared" si="48"/>
        <v>0.33000000000000024</v>
      </c>
      <c r="G336">
        <f t="shared" ca="1" si="49"/>
        <v>3.9864980911612669E-2</v>
      </c>
      <c r="H336">
        <f t="shared" ca="1" si="51"/>
        <v>3.9866473478791215E-2</v>
      </c>
      <c r="I336">
        <f t="shared" ca="1" si="52"/>
        <v>1.0597896387354535E-2</v>
      </c>
      <c r="J336" s="5">
        <f t="shared" ca="1" si="53"/>
        <v>2.9268577091436682E-2</v>
      </c>
    </row>
    <row r="337" spans="1:10" x14ac:dyDescent="0.2">
      <c r="A337">
        <f t="shared" ca="1" si="45"/>
        <v>2.8798669997114557E-2</v>
      </c>
      <c r="B337">
        <f t="shared" ca="1" si="46"/>
        <v>-1.8987501070609045</v>
      </c>
      <c r="C337">
        <f t="shared" ca="1" si="50"/>
        <v>7.0065705000846092</v>
      </c>
      <c r="D337" s="21">
        <f t="shared" ca="1" si="47"/>
        <v>6.5771772784019453E-2</v>
      </c>
      <c r="F337">
        <f t="shared" si="48"/>
        <v>0.33100000000000024</v>
      </c>
      <c r="G337">
        <f t="shared" ca="1" si="49"/>
        <v>4.1121593588762738E-2</v>
      </c>
      <c r="H337">
        <f t="shared" ca="1" si="51"/>
        <v>4.1123148837844535E-2</v>
      </c>
      <c r="I337">
        <f t="shared" ca="1" si="52"/>
        <v>1.0612167173544695E-2</v>
      </c>
      <c r="J337" s="5">
        <f t="shared" ca="1" si="53"/>
        <v>3.051098166429984E-2</v>
      </c>
    </row>
    <row r="338" spans="1:10" x14ac:dyDescent="0.2">
      <c r="A338">
        <f t="shared" ca="1" si="45"/>
        <v>0.73836241676104408</v>
      </c>
      <c r="B338">
        <f t="shared" ca="1" si="46"/>
        <v>0.63830498674743363</v>
      </c>
      <c r="C338">
        <f t="shared" ca="1" si="50"/>
        <v>7.644875486832043</v>
      </c>
      <c r="D338" s="21">
        <f t="shared" ca="1" si="47"/>
        <v>0.32541461825276269</v>
      </c>
      <c r="F338">
        <f t="shared" si="48"/>
        <v>0.33200000000000024</v>
      </c>
      <c r="G338">
        <f t="shared" ca="1" si="49"/>
        <v>3.5123406295464343E-2</v>
      </c>
      <c r="H338">
        <f t="shared" ca="1" si="51"/>
        <v>3.5124661477159737E-2</v>
      </c>
      <c r="I338">
        <f t="shared" ca="1" si="52"/>
        <v>1.0549640825443352E-2</v>
      </c>
      <c r="J338" s="5">
        <f t="shared" ca="1" si="53"/>
        <v>2.4575020651716385E-2</v>
      </c>
    </row>
    <row r="339" spans="1:10" x14ac:dyDescent="0.2">
      <c r="A339">
        <f t="shared" ca="1" si="45"/>
        <v>0.96194549986206723</v>
      </c>
      <c r="B339">
        <f t="shared" ca="1" si="46"/>
        <v>1.7737228779602523</v>
      </c>
      <c r="C339">
        <f t="shared" ca="1" si="50"/>
        <v>9.4185983647922953</v>
      </c>
      <c r="D339" s="21">
        <f t="shared" ca="1" si="47"/>
        <v>8.2745557074872397E-2</v>
      </c>
      <c r="F339">
        <f t="shared" si="48"/>
        <v>0.33300000000000024</v>
      </c>
      <c r="G339">
        <f t="shared" ca="1" si="49"/>
        <v>3.714829030975314E-2</v>
      </c>
      <c r="H339">
        <f t="shared" ca="1" si="51"/>
        <v>3.7149646610977499E-2</v>
      </c>
      <c r="I339">
        <f t="shared" ca="1" si="52"/>
        <v>1.0571961044564733E-2</v>
      </c>
      <c r="J339" s="5">
        <f t="shared" ca="1" si="53"/>
        <v>2.6577685566412768E-2</v>
      </c>
    </row>
    <row r="340" spans="1:10" x14ac:dyDescent="0.2">
      <c r="A340">
        <f t="shared" ca="1" si="45"/>
        <v>0.67068909400009202</v>
      </c>
      <c r="B340">
        <f t="shared" ca="1" si="46"/>
        <v>0.44181675652457253</v>
      </c>
      <c r="C340">
        <f t="shared" ca="1" si="50"/>
        <v>9.8604151213168674</v>
      </c>
      <c r="D340" s="21">
        <f t="shared" ca="1" si="47"/>
        <v>0.36184492012930558</v>
      </c>
      <c r="F340">
        <f t="shared" si="48"/>
        <v>0.33400000000000024</v>
      </c>
      <c r="G340">
        <f t="shared" ca="1" si="49"/>
        <v>4.2763298960250655E-2</v>
      </c>
      <c r="H340">
        <f t="shared" ca="1" si="51"/>
        <v>4.2764935878619667E-2</v>
      </c>
      <c r="I340">
        <f t="shared" ca="1" si="52"/>
        <v>1.063243586545822E-2</v>
      </c>
      <c r="J340" s="5">
        <f t="shared" ca="1" si="53"/>
        <v>3.2132500013161445E-2</v>
      </c>
    </row>
    <row r="341" spans="1:10" x14ac:dyDescent="0.2">
      <c r="A341">
        <f t="shared" ca="1" si="45"/>
        <v>0.20731322290392717</v>
      </c>
      <c r="B341">
        <f t="shared" ca="1" si="46"/>
        <v>-0.815779175290402</v>
      </c>
      <c r="C341">
        <f t="shared" ca="1" si="50"/>
        <v>9.0446359460264656</v>
      </c>
      <c r="D341" s="21">
        <f t="shared" ca="1" si="47"/>
        <v>0.28602205246226664</v>
      </c>
      <c r="F341">
        <f t="shared" si="48"/>
        <v>0.33500000000000024</v>
      </c>
      <c r="G341">
        <f t="shared" ca="1" si="49"/>
        <v>4.4166099748774015E-2</v>
      </c>
      <c r="H341">
        <f t="shared" ca="1" si="51"/>
        <v>4.4167806644077517E-2</v>
      </c>
      <c r="I341">
        <f t="shared" ca="1" si="52"/>
        <v>1.0648312867958873E-2</v>
      </c>
      <c r="J341" s="5">
        <f t="shared" ca="1" si="53"/>
        <v>3.3519493776118646E-2</v>
      </c>
    </row>
    <row r="342" spans="1:10" x14ac:dyDescent="0.2">
      <c r="A342">
        <f t="shared" ca="1" si="45"/>
        <v>0.35610537780207008</v>
      </c>
      <c r="B342">
        <f t="shared" ca="1" si="46"/>
        <v>-0.36888860713267907</v>
      </c>
      <c r="C342">
        <f t="shared" ca="1" si="50"/>
        <v>8.6757473388937871</v>
      </c>
      <c r="D342" s="21">
        <f t="shared" ca="1" si="47"/>
        <v>0.37270131826314268</v>
      </c>
      <c r="F342">
        <f t="shared" si="48"/>
        <v>0.33600000000000024</v>
      </c>
      <c r="G342">
        <f t="shared" ca="1" si="49"/>
        <v>4.1592091578626415E-2</v>
      </c>
      <c r="H342">
        <f t="shared" ca="1" si="51"/>
        <v>4.1593669601761689E-2</v>
      </c>
      <c r="I342">
        <f t="shared" ca="1" si="52"/>
        <v>1.0621887632477879E-2</v>
      </c>
      <c r="J342" s="5">
        <f t="shared" ca="1" si="53"/>
        <v>3.097178196928381E-2</v>
      </c>
    </row>
    <row r="343" spans="1:10" x14ac:dyDescent="0.2">
      <c r="A343">
        <f t="shared" ca="1" si="45"/>
        <v>0.57668621045055846</v>
      </c>
      <c r="B343">
        <f t="shared" ca="1" si="46"/>
        <v>0.1934231596788514</v>
      </c>
      <c r="C343">
        <f t="shared" ca="1" si="50"/>
        <v>8.8691704985726378</v>
      </c>
      <c r="D343" s="21">
        <f t="shared" ca="1" si="47"/>
        <v>0.39154892920244394</v>
      </c>
      <c r="F343">
        <f t="shared" si="48"/>
        <v>0.33700000000000024</v>
      </c>
      <c r="G343">
        <f t="shared" ca="1" si="49"/>
        <v>4.043146219999235E-2</v>
      </c>
      <c r="H343">
        <f t="shared" ca="1" si="51"/>
        <v>4.0432982033375212E-2</v>
      </c>
      <c r="I343">
        <f t="shared" ca="1" si="52"/>
        <v>1.0610512076030493E-2</v>
      </c>
      <c r="J343" s="5">
        <f t="shared" ca="1" si="53"/>
        <v>2.9822469957344718E-2</v>
      </c>
    </row>
    <row r="344" spans="1:10" x14ac:dyDescent="0.2">
      <c r="A344">
        <f t="shared" ca="1" si="45"/>
        <v>0.82855444174571502</v>
      </c>
      <c r="B344">
        <f t="shared" ca="1" si="46"/>
        <v>0.94846827413580526</v>
      </c>
      <c r="C344">
        <f t="shared" ca="1" si="50"/>
        <v>9.8176387727084435</v>
      </c>
      <c r="D344" s="21">
        <f t="shared" ca="1" si="47"/>
        <v>0.25442871849393572</v>
      </c>
      <c r="F344">
        <f t="shared" si="48"/>
        <v>0.33800000000000024</v>
      </c>
      <c r="G344">
        <f t="shared" ca="1" si="49"/>
        <v>4.1049045911138587E-2</v>
      </c>
      <c r="H344">
        <f t="shared" ca="1" si="51"/>
        <v>4.1050596471983489E-2</v>
      </c>
      <c r="I344">
        <f t="shared" ca="1" si="52"/>
        <v>1.0618012726364716E-2</v>
      </c>
      <c r="J344" s="5">
        <f t="shared" ca="1" si="53"/>
        <v>3.0432583745618774E-2</v>
      </c>
    </row>
    <row r="345" spans="1:10" x14ac:dyDescent="0.2">
      <c r="A345">
        <f t="shared" ca="1" si="45"/>
        <v>0.32864434580524493</v>
      </c>
      <c r="B345">
        <f t="shared" ca="1" si="46"/>
        <v>-0.44365962326540248</v>
      </c>
      <c r="C345">
        <f t="shared" ca="1" si="50"/>
        <v>9.3739791494430413</v>
      </c>
      <c r="D345" s="21">
        <f t="shared" ca="1" si="47"/>
        <v>0.36154980855878482</v>
      </c>
      <c r="F345">
        <f t="shared" si="48"/>
        <v>0.33900000000000025</v>
      </c>
      <c r="G345">
        <f t="shared" ca="1" si="49"/>
        <v>4.4054110786727219E-2</v>
      </c>
      <c r="H345">
        <f t="shared" ca="1" si="51"/>
        <v>4.4055811447014405E-2</v>
      </c>
      <c r="I345">
        <f t="shared" ca="1" si="52"/>
        <v>1.0650919141105506E-2</v>
      </c>
      <c r="J345" s="5">
        <f t="shared" ca="1" si="53"/>
        <v>3.3404892305908901E-2</v>
      </c>
    </row>
    <row r="346" spans="1:10" x14ac:dyDescent="0.2">
      <c r="A346">
        <f t="shared" ca="1" si="45"/>
        <v>0.44927065259693866</v>
      </c>
      <c r="B346">
        <f t="shared" ca="1" si="46"/>
        <v>-0.12750425559836648</v>
      </c>
      <c r="C346">
        <f t="shared" ca="1" si="50"/>
        <v>9.2464748938446757</v>
      </c>
      <c r="D346" s="21">
        <f t="shared" ca="1" si="47"/>
        <v>0.39571255567639957</v>
      </c>
      <c r="F346">
        <f t="shared" si="48"/>
        <v>0.34000000000000025</v>
      </c>
      <c r="G346">
        <f t="shared" ca="1" si="49"/>
        <v>4.2656800326380549E-2</v>
      </c>
      <c r="H346">
        <f t="shared" ca="1" si="51"/>
        <v>4.2658430950498802E-2</v>
      </c>
      <c r="I346">
        <f t="shared" ca="1" si="52"/>
        <v>1.063699711285997E-2</v>
      </c>
      <c r="J346" s="5">
        <f t="shared" ca="1" si="53"/>
        <v>3.2021433837638835E-2</v>
      </c>
    </row>
    <row r="347" spans="1:10" x14ac:dyDescent="0.2">
      <c r="A347">
        <f t="shared" ca="1" si="45"/>
        <v>0.911214462488667</v>
      </c>
      <c r="B347">
        <f t="shared" ca="1" si="46"/>
        <v>1.3482715004155741</v>
      </c>
      <c r="C347">
        <f t="shared" ca="1" si="50"/>
        <v>10.59474639426025</v>
      </c>
      <c r="D347" s="21">
        <f t="shared" ca="1" si="47"/>
        <v>0.16075777457936152</v>
      </c>
      <c r="F347">
        <f t="shared" si="48"/>
        <v>0.34100000000000025</v>
      </c>
      <c r="G347">
        <f t="shared" ca="1" si="49"/>
        <v>4.2259350659939333E-2</v>
      </c>
      <c r="H347">
        <f t="shared" ca="1" si="51"/>
        <v>4.2260961248348633E-2</v>
      </c>
      <c r="I347">
        <f t="shared" ca="1" si="52"/>
        <v>1.0633719254451281E-2</v>
      </c>
      <c r="J347" s="5">
        <f t="shared" ca="1" si="53"/>
        <v>3.1627241993897354E-2</v>
      </c>
    </row>
    <row r="348" spans="1:10" x14ac:dyDescent="0.2">
      <c r="A348">
        <f t="shared" ca="1" si="45"/>
        <v>0.63594901632161838</v>
      </c>
      <c r="B348">
        <f t="shared" ca="1" si="46"/>
        <v>0.34765144294454392</v>
      </c>
      <c r="C348">
        <f t="shared" ca="1" si="50"/>
        <v>10.942397837204794</v>
      </c>
      <c r="D348" s="21">
        <f t="shared" ca="1" si="47"/>
        <v>0.37554788368960251</v>
      </c>
      <c r="F348">
        <f t="shared" si="48"/>
        <v>0.34200000000000025</v>
      </c>
      <c r="G348">
        <f t="shared" ca="1" si="49"/>
        <v>4.6528520110225437E-2</v>
      </c>
      <c r="H348">
        <f t="shared" ca="1" si="51"/>
        <v>4.6530343997829668E-2</v>
      </c>
      <c r="I348">
        <f t="shared" ca="1" si="52"/>
        <v>1.0680168631052251E-2</v>
      </c>
      <c r="J348" s="5">
        <f t="shared" ca="1" si="53"/>
        <v>3.5850175366777419E-2</v>
      </c>
    </row>
    <row r="349" spans="1:10" x14ac:dyDescent="0.2">
      <c r="A349">
        <f t="shared" ca="1" si="45"/>
        <v>0.38787948594477084</v>
      </c>
      <c r="B349">
        <f t="shared" ca="1" si="46"/>
        <v>-0.28485012000157939</v>
      </c>
      <c r="C349">
        <f t="shared" ca="1" si="50"/>
        <v>10.657547717203215</v>
      </c>
      <c r="D349" s="21">
        <f t="shared" ca="1" si="47"/>
        <v>0.38308118973018129</v>
      </c>
      <c r="F349">
        <f t="shared" si="48"/>
        <v>0.34300000000000025</v>
      </c>
      <c r="G349">
        <f t="shared" ca="1" si="49"/>
        <v>4.7633182416185436E-2</v>
      </c>
      <c r="H349">
        <f t="shared" ca="1" si="51"/>
        <v>4.7635061354978712E-2</v>
      </c>
      <c r="I349">
        <f t="shared" ca="1" si="52"/>
        <v>1.0692932329016089E-2</v>
      </c>
      <c r="J349" s="5">
        <f t="shared" ca="1" si="53"/>
        <v>3.6942129025962625E-2</v>
      </c>
    </row>
    <row r="350" spans="1:10" x14ac:dyDescent="0.2">
      <c r="A350">
        <f t="shared" ca="1" si="45"/>
        <v>0.726462689378372</v>
      </c>
      <c r="B350">
        <f t="shared" ca="1" si="46"/>
        <v>0.6021495092590996</v>
      </c>
      <c r="C350">
        <f t="shared" ca="1" si="50"/>
        <v>11.259697226462315</v>
      </c>
      <c r="D350" s="21">
        <f t="shared" ca="1" si="47"/>
        <v>0.33279434946336872</v>
      </c>
      <c r="F350">
        <f t="shared" si="48"/>
        <v>0.34400000000000025</v>
      </c>
      <c r="G350">
        <f t="shared" ca="1" si="49"/>
        <v>4.6737688702023196E-2</v>
      </c>
      <c r="H350">
        <f t="shared" ca="1" si="51"/>
        <v>4.6739522677865943E-2</v>
      </c>
      <c r="I350">
        <f t="shared" ca="1" si="52"/>
        <v>1.0684319700027721E-2</v>
      </c>
      <c r="J350" s="5">
        <f t="shared" ca="1" si="53"/>
        <v>3.6055202977838222E-2</v>
      </c>
    </row>
    <row r="351" spans="1:10" x14ac:dyDescent="0.2">
      <c r="A351">
        <f t="shared" ca="1" si="45"/>
        <v>0.86372241319780252</v>
      </c>
      <c r="B351">
        <f t="shared" ca="1" si="46"/>
        <v>1.0971972533169572</v>
      </c>
      <c r="C351">
        <f t="shared" ca="1" si="50"/>
        <v>12.356894479779271</v>
      </c>
      <c r="D351" s="21">
        <f t="shared" ca="1" si="47"/>
        <v>0.21852399805813003</v>
      </c>
      <c r="F351">
        <f t="shared" si="48"/>
        <v>0.34500000000000025</v>
      </c>
      <c r="G351">
        <f t="shared" ca="1" si="49"/>
        <v>4.864708340383149E-2</v>
      </c>
      <c r="H351">
        <f t="shared" ca="1" si="51"/>
        <v>4.8649012666809557E-2</v>
      </c>
      <c r="I351">
        <f t="shared" ca="1" si="52"/>
        <v>1.0705700771721102E-2</v>
      </c>
      <c r="J351" s="5">
        <f t="shared" ca="1" si="53"/>
        <v>3.7943311895088455E-2</v>
      </c>
    </row>
    <row r="352" spans="1:10" x14ac:dyDescent="0.2">
      <c r="A352">
        <f t="shared" ca="1" si="45"/>
        <v>0.29911253406115579</v>
      </c>
      <c r="B352">
        <f t="shared" ca="1" si="46"/>
        <v>-0.52695466927303991</v>
      </c>
      <c r="C352">
        <f t="shared" ca="1" si="50"/>
        <v>11.829939810506231</v>
      </c>
      <c r="D352" s="21">
        <f t="shared" ca="1" si="47"/>
        <v>0.34722609349687678</v>
      </c>
      <c r="F352">
        <f t="shared" si="48"/>
        <v>0.34600000000000025</v>
      </c>
      <c r="G352">
        <f t="shared" ca="1" si="49"/>
        <v>5.2121687326807359E-2</v>
      </c>
      <c r="H352">
        <f t="shared" ca="1" si="51"/>
        <v>5.2123790128505196E-2</v>
      </c>
      <c r="I352">
        <f t="shared" ca="1" si="52"/>
        <v>1.0743930864039047E-2</v>
      </c>
      <c r="J352" s="5">
        <f t="shared" ca="1" si="53"/>
        <v>4.1379859264466148E-2</v>
      </c>
    </row>
    <row r="353" spans="1:10" x14ac:dyDescent="0.2">
      <c r="A353">
        <f t="shared" ca="1" si="45"/>
        <v>0.43757586519349478</v>
      </c>
      <c r="B353">
        <f t="shared" ca="1" si="46"/>
        <v>-0.15711815408431598</v>
      </c>
      <c r="C353">
        <f t="shared" ca="1" si="50"/>
        <v>11.672821656421915</v>
      </c>
      <c r="D353" s="21">
        <f t="shared" ca="1" si="47"/>
        <v>0.39404837801724002</v>
      </c>
      <c r="F353">
        <f t="shared" si="48"/>
        <v>0.34700000000000025</v>
      </c>
      <c r="G353">
        <f t="shared" ca="1" si="49"/>
        <v>5.0460181255505006E-2</v>
      </c>
      <c r="H353">
        <f t="shared" ca="1" si="51"/>
        <v>5.0462200770928792E-2</v>
      </c>
      <c r="I353">
        <f t="shared" ca="1" si="52"/>
        <v>1.0727061356069467E-2</v>
      </c>
      <c r="J353" s="5">
        <f t="shared" ca="1" si="53"/>
        <v>3.9735139414859323E-2</v>
      </c>
    </row>
    <row r="354" spans="1:10" x14ac:dyDescent="0.2">
      <c r="A354">
        <f t="shared" ca="1" si="45"/>
        <v>0.7317641451394501</v>
      </c>
      <c r="B354">
        <f t="shared" ca="1" si="46"/>
        <v>0.61815721560395875</v>
      </c>
      <c r="C354">
        <f t="shared" ca="1" si="50"/>
        <v>12.290978872025875</v>
      </c>
      <c r="D354" s="21">
        <f t="shared" ca="1" si="47"/>
        <v>0.3295597174777109</v>
      </c>
      <c r="F354">
        <f t="shared" si="48"/>
        <v>0.34800000000000025</v>
      </c>
      <c r="G354">
        <f t="shared" ca="1" si="49"/>
        <v>4.9968308602547265E-2</v>
      </c>
      <c r="H354">
        <f t="shared" ca="1" si="51"/>
        <v>4.9970303322183975E-2</v>
      </c>
      <c r="I354">
        <f t="shared" ca="1" si="52"/>
        <v>1.0722751539294117E-2</v>
      </c>
      <c r="J354" s="5">
        <f t="shared" ca="1" si="53"/>
        <v>3.9247551782889856E-2</v>
      </c>
    </row>
    <row r="355" spans="1:10" x14ac:dyDescent="0.2">
      <c r="A355">
        <f t="shared" ca="1" si="45"/>
        <v>0.64038043871448513</v>
      </c>
      <c r="B355">
        <f t="shared" ca="1" si="46"/>
        <v>0.35947587466196168</v>
      </c>
      <c r="C355">
        <f t="shared" ca="1" si="50"/>
        <v>12.650454746687837</v>
      </c>
      <c r="D355" s="21">
        <f t="shared" ca="1" si="47"/>
        <v>0.37398111202993384</v>
      </c>
      <c r="F355">
        <f t="shared" si="48"/>
        <v>0.34900000000000025</v>
      </c>
      <c r="G355">
        <f t="shared" ca="1" si="49"/>
        <v>5.1927998539747798E-2</v>
      </c>
      <c r="H355">
        <f t="shared" ca="1" si="51"/>
        <v>5.1930091045228041E-2</v>
      </c>
      <c r="I355">
        <f t="shared" ca="1" si="52"/>
        <v>1.07447534137634E-2</v>
      </c>
      <c r="J355" s="5">
        <f t="shared" ca="1" si="53"/>
        <v>4.118533763146464E-2</v>
      </c>
    </row>
    <row r="356" spans="1:10" x14ac:dyDescent="0.2">
      <c r="A356">
        <f t="shared" ca="1" si="45"/>
        <v>0.55560038791997646</v>
      </c>
      <c r="B356">
        <f t="shared" ca="1" si="46"/>
        <v>0.13982377997526482</v>
      </c>
      <c r="C356">
        <f t="shared" ca="1" si="50"/>
        <v>12.790278526663101</v>
      </c>
      <c r="D356" s="21">
        <f t="shared" ca="1" si="47"/>
        <v>0.39506148106467154</v>
      </c>
      <c r="F356">
        <f t="shared" si="48"/>
        <v>0.35000000000000026</v>
      </c>
      <c r="G356">
        <f t="shared" ca="1" si="49"/>
        <v>5.3069511191596593E-2</v>
      </c>
      <c r="H356">
        <f t="shared" ca="1" si="51"/>
        <v>5.3071660563936529E-2</v>
      </c>
      <c r="I356">
        <f t="shared" ca="1" si="52"/>
        <v>1.0757996552915927E-2</v>
      </c>
      <c r="J356" s="5">
        <f t="shared" ca="1" si="53"/>
        <v>4.2313664011020602E-2</v>
      </c>
    </row>
    <row r="357" spans="1:10" x14ac:dyDescent="0.2">
      <c r="A357">
        <f t="shared" ca="1" si="45"/>
        <v>0.80737353776676668</v>
      </c>
      <c r="B357">
        <f t="shared" ca="1" si="46"/>
        <v>0.86825833729137647</v>
      </c>
      <c r="C357">
        <f t="shared" ca="1" si="50"/>
        <v>13.658536863954478</v>
      </c>
      <c r="D357" s="21">
        <f t="shared" ca="1" si="47"/>
        <v>0.27365836233802554</v>
      </c>
      <c r="F357">
        <f t="shared" si="48"/>
        <v>0.35100000000000026</v>
      </c>
      <c r="G357">
        <f t="shared" ca="1" si="49"/>
        <v>5.3516343514449227E-2</v>
      </c>
      <c r="H357">
        <f t="shared" ca="1" si="51"/>
        <v>5.3518515013656218E-2</v>
      </c>
      <c r="I357">
        <f t="shared" ca="1" si="52"/>
        <v>1.0763776888074903E-2</v>
      </c>
      <c r="J357" s="5">
        <f t="shared" ca="1" si="53"/>
        <v>4.2754738125581317E-2</v>
      </c>
    </row>
    <row r="358" spans="1:10" x14ac:dyDescent="0.2">
      <c r="A358">
        <f t="shared" ca="1" si="45"/>
        <v>0.91883251057598503</v>
      </c>
      <c r="B358">
        <f t="shared" ca="1" si="46"/>
        <v>1.3972614000035657</v>
      </c>
      <c r="C358">
        <f t="shared" ca="1" si="50"/>
        <v>15.055798263958042</v>
      </c>
      <c r="D358" s="21">
        <f t="shared" ca="1" si="47"/>
        <v>0.15030206499318607</v>
      </c>
      <c r="F358">
        <f t="shared" si="48"/>
        <v>0.35200000000000026</v>
      </c>
      <c r="G358">
        <f t="shared" ca="1" si="49"/>
        <v>5.6266528312981443E-2</v>
      </c>
      <c r="H358">
        <f t="shared" ca="1" si="51"/>
        <v>5.6268837105426309E-2</v>
      </c>
      <c r="I358">
        <f t="shared" ca="1" si="52"/>
        <v>1.079439673852732E-2</v>
      </c>
      <c r="J358" s="5">
        <f t="shared" ca="1" si="53"/>
        <v>4.5474440366898988E-2</v>
      </c>
    </row>
    <row r="359" spans="1:10" x14ac:dyDescent="0.2">
      <c r="A359">
        <f t="shared" ca="1" si="45"/>
        <v>0.97743587400129761</v>
      </c>
      <c r="B359">
        <f t="shared" ca="1" si="46"/>
        <v>2.0034570615733465</v>
      </c>
      <c r="C359">
        <f t="shared" ca="1" si="50"/>
        <v>17.059255325531389</v>
      </c>
      <c r="D359" s="21">
        <f t="shared" ca="1" si="47"/>
        <v>5.3618633468045393E-2</v>
      </c>
      <c r="F359">
        <f t="shared" si="48"/>
        <v>0.35300000000000026</v>
      </c>
      <c r="G359">
        <f t="shared" ca="1" si="49"/>
        <v>6.0689209034916272E-2</v>
      </c>
      <c r="H359">
        <f t="shared" ca="1" si="51"/>
        <v>6.0691738732362638E-2</v>
      </c>
      <c r="I359">
        <f t="shared" ca="1" si="52"/>
        <v>1.0843227672970928E-2</v>
      </c>
      <c r="J359" s="5">
        <f t="shared" ca="1" si="53"/>
        <v>4.9848511059391712E-2</v>
      </c>
    </row>
    <row r="360" spans="1:10" x14ac:dyDescent="0.2">
      <c r="A360">
        <f t="shared" ca="1" si="45"/>
        <v>0.75003112763622726</v>
      </c>
      <c r="B360">
        <f t="shared" ca="1" si="46"/>
        <v>0.674587707903756</v>
      </c>
      <c r="C360">
        <f t="shared" ca="1" si="50"/>
        <v>17.733843033435146</v>
      </c>
      <c r="D360" s="21">
        <f t="shared" ca="1" si="47"/>
        <v>0.31775557588794467</v>
      </c>
      <c r="F360">
        <f t="shared" si="48"/>
        <v>0.35400000000000026</v>
      </c>
      <c r="G360">
        <f t="shared" ca="1" si="49"/>
        <v>6.7028310665208257E-2</v>
      </c>
      <c r="H360">
        <f t="shared" ca="1" si="51"/>
        <v>6.7031157067409378E-2</v>
      </c>
      <c r="I360">
        <f t="shared" ca="1" si="52"/>
        <v>1.091317958447564E-2</v>
      </c>
      <c r="J360" s="5">
        <f t="shared" ca="1" si="53"/>
        <v>5.6117977482933734E-2</v>
      </c>
    </row>
    <row r="361" spans="1:10" x14ac:dyDescent="0.2">
      <c r="A361">
        <f t="shared" ca="1" si="45"/>
        <v>0.52257118852372297</v>
      </c>
      <c r="B361">
        <f t="shared" ca="1" si="46"/>
        <v>5.6607797560299766E-2</v>
      </c>
      <c r="C361">
        <f t="shared" ca="1" si="50"/>
        <v>17.790450830995447</v>
      </c>
      <c r="D361" s="21">
        <f t="shared" ca="1" si="47"/>
        <v>0.39830359834510498</v>
      </c>
      <c r="F361">
        <f t="shared" si="48"/>
        <v>0.35500000000000026</v>
      </c>
      <c r="G361">
        <f t="shared" ca="1" si="49"/>
        <v>6.9164734650579138E-2</v>
      </c>
      <c r="H361">
        <f t="shared" ca="1" si="51"/>
        <v>6.9167687590230884E-2</v>
      </c>
      <c r="I361">
        <f t="shared" ca="1" si="52"/>
        <v>1.0937523810568336E-2</v>
      </c>
      <c r="J361" s="5">
        <f t="shared" ca="1" si="53"/>
        <v>5.8230163779662544E-2</v>
      </c>
    </row>
    <row r="362" spans="1:10" x14ac:dyDescent="0.2">
      <c r="A362">
        <f t="shared" ca="1" si="45"/>
        <v>0.37322716141260603</v>
      </c>
      <c r="B362">
        <f t="shared" ca="1" si="46"/>
        <v>-0.32331813283505423</v>
      </c>
      <c r="C362">
        <f t="shared" ca="1" si="50"/>
        <v>17.467132698160391</v>
      </c>
      <c r="D362" s="21">
        <f t="shared" ca="1" si="47"/>
        <v>0.37862619983427021</v>
      </c>
      <c r="F362">
        <f t="shared" si="48"/>
        <v>0.35600000000000026</v>
      </c>
      <c r="G362">
        <f t="shared" ca="1" si="49"/>
        <v>6.9346818646453395E-2</v>
      </c>
      <c r="H362">
        <f t="shared" ca="1" si="51"/>
        <v>6.9349780395088129E-2</v>
      </c>
      <c r="I362">
        <f t="shared" ca="1" si="52"/>
        <v>1.0940521207443052E-2</v>
      </c>
      <c r="J362" s="5">
        <f t="shared" ca="1" si="53"/>
        <v>5.8409259187645078E-2</v>
      </c>
    </row>
    <row r="363" spans="1:10" x14ac:dyDescent="0.2">
      <c r="A363">
        <f t="shared" ca="1" si="45"/>
        <v>0.13026414265260666</v>
      </c>
      <c r="B363">
        <f t="shared" ca="1" si="46"/>
        <v>-1.1251433708460159</v>
      </c>
      <c r="C363">
        <f t="shared" ca="1" si="50"/>
        <v>16.341989327314376</v>
      </c>
      <c r="D363" s="21">
        <f t="shared" ca="1" si="47"/>
        <v>0.21184247230362271</v>
      </c>
      <c r="F363">
        <f t="shared" si="48"/>
        <v>0.35700000000000026</v>
      </c>
      <c r="G363">
        <f t="shared" ca="1" si="49"/>
        <v>6.8327513221691782E-2</v>
      </c>
      <c r="H363">
        <f t="shared" ca="1" si="51"/>
        <v>6.8330423708456975E-2</v>
      </c>
      <c r="I363">
        <f t="shared" ca="1" si="52"/>
        <v>1.0930379434149241E-2</v>
      </c>
      <c r="J363" s="5">
        <f t="shared" ca="1" si="53"/>
        <v>5.7400044274307734E-2</v>
      </c>
    </row>
    <row r="364" spans="1:10" x14ac:dyDescent="0.2">
      <c r="A364">
        <f t="shared" ca="1" si="45"/>
        <v>0.10207518201983501</v>
      </c>
      <c r="B364">
        <f t="shared" ca="1" si="46"/>
        <v>-1.269815483514726</v>
      </c>
      <c r="C364">
        <f t="shared" ca="1" si="50"/>
        <v>15.07217384379965</v>
      </c>
      <c r="D364" s="21">
        <f t="shared" ca="1" si="47"/>
        <v>0.17814557706049863</v>
      </c>
      <c r="F364">
        <f t="shared" si="48"/>
        <v>0.35800000000000026</v>
      </c>
      <c r="G364">
        <f t="shared" ca="1" si="49"/>
        <v>6.4772842459274643E-2</v>
      </c>
      <c r="H364">
        <f t="shared" ca="1" si="51"/>
        <v>6.4775574919973225E-2</v>
      </c>
      <c r="I364">
        <f t="shared" ca="1" si="52"/>
        <v>1.0892592823634315E-2</v>
      </c>
      <c r="J364" s="5">
        <f t="shared" ca="1" si="53"/>
        <v>5.3882982096338912E-2</v>
      </c>
    </row>
    <row r="365" spans="1:10" x14ac:dyDescent="0.2">
      <c r="A365">
        <f t="shared" ca="1" si="45"/>
        <v>0.24872678876191834</v>
      </c>
      <c r="B365">
        <f t="shared" ca="1" si="46"/>
        <v>-0.67850180852952047</v>
      </c>
      <c r="C365">
        <f t="shared" ca="1" si="50"/>
        <v>14.393672035270129</v>
      </c>
      <c r="D365" s="21">
        <f t="shared" ca="1" si="47"/>
        <v>0.31691525181067054</v>
      </c>
      <c r="F365">
        <f t="shared" si="48"/>
        <v>0.35900000000000026</v>
      </c>
      <c r="G365">
        <f t="shared" ca="1" si="49"/>
        <v>6.0761056629935799E-2</v>
      </c>
      <c r="H365">
        <f t="shared" ca="1" si="51"/>
        <v>6.0763588226426704E-2</v>
      </c>
      <c r="I365">
        <f t="shared" ca="1" si="52"/>
        <v>1.0849971916373742E-2</v>
      </c>
      <c r="J365" s="5">
        <f t="shared" ca="1" si="53"/>
        <v>4.9913616310052963E-2</v>
      </c>
    </row>
    <row r="366" spans="1:10" x14ac:dyDescent="0.2">
      <c r="A366">
        <f t="shared" ca="1" si="45"/>
        <v>0.32676613403840971</v>
      </c>
      <c r="B366">
        <f t="shared" ca="1" si="46"/>
        <v>-0.44886053321638136</v>
      </c>
      <c r="C366">
        <f t="shared" ca="1" si="50"/>
        <v>13.944811502053748</v>
      </c>
      <c r="D366" s="21">
        <f t="shared" ca="1" si="47"/>
        <v>0.3607116395181017</v>
      </c>
      <c r="F366">
        <f t="shared" si="48"/>
        <v>0.36000000000000026</v>
      </c>
      <c r="G366">
        <f t="shared" ca="1" si="49"/>
        <v>5.8619476492673628E-2</v>
      </c>
      <c r="H366">
        <f t="shared" ca="1" si="51"/>
        <v>5.8621900756107313E-2</v>
      </c>
      <c r="I366">
        <f t="shared" ca="1" si="52"/>
        <v>1.0827745639915802E-2</v>
      </c>
      <c r="J366" s="5">
        <f t="shared" ca="1" si="53"/>
        <v>4.7794155116191513E-2</v>
      </c>
    </row>
    <row r="367" spans="1:10" x14ac:dyDescent="0.2">
      <c r="A367">
        <f t="shared" ca="1" si="45"/>
        <v>0.94726631115814697</v>
      </c>
      <c r="B367">
        <f t="shared" ca="1" si="46"/>
        <v>1.6189065206497373</v>
      </c>
      <c r="C367">
        <f t="shared" ca="1" si="50"/>
        <v>15.563718022703485</v>
      </c>
      <c r="D367" s="21">
        <f t="shared" ca="1" si="47"/>
        <v>0.10759644245296829</v>
      </c>
      <c r="F367">
        <f t="shared" si="48"/>
        <v>0.36100000000000027</v>
      </c>
      <c r="G367">
        <f t="shared" ca="1" si="49"/>
        <v>5.7204263669532039E-2</v>
      </c>
      <c r="H367">
        <f t="shared" ca="1" si="51"/>
        <v>5.7206616929310276E-2</v>
      </c>
      <c r="I367">
        <f t="shared" ca="1" si="52"/>
        <v>1.0813414631556982E-2</v>
      </c>
      <c r="J367" s="5">
        <f t="shared" ca="1" si="53"/>
        <v>4.6393202297753296E-2</v>
      </c>
    </row>
    <row r="368" spans="1:10" x14ac:dyDescent="0.2">
      <c r="A368">
        <f t="shared" ca="1" si="45"/>
        <v>0.43177912981146449</v>
      </c>
      <c r="B368">
        <f t="shared" ca="1" si="46"/>
        <v>-0.17184643376527023</v>
      </c>
      <c r="C368">
        <f t="shared" ca="1" si="50"/>
        <v>15.391871588938216</v>
      </c>
      <c r="D368" s="21">
        <f t="shared" ca="1" si="47"/>
        <v>0.39309493491976355</v>
      </c>
      <c r="F368">
        <f t="shared" si="48"/>
        <v>0.36200000000000027</v>
      </c>
      <c r="G368">
        <f t="shared" ca="1" si="49"/>
        <v>6.2327718992413933E-2</v>
      </c>
      <c r="H368">
        <f t="shared" ca="1" si="51"/>
        <v>6.2330328191768924E-2</v>
      </c>
      <c r="I368">
        <f t="shared" ca="1" si="52"/>
        <v>1.0869947711874354E-2</v>
      </c>
      <c r="J368" s="5">
        <f t="shared" ca="1" si="53"/>
        <v>5.1460380479894569E-2</v>
      </c>
    </row>
    <row r="369" spans="1:10" x14ac:dyDescent="0.2">
      <c r="A369">
        <f t="shared" ca="1" si="45"/>
        <v>0.6433876701707294</v>
      </c>
      <c r="B369">
        <f t="shared" ca="1" si="46"/>
        <v>0.36752873794131485</v>
      </c>
      <c r="C369">
        <f t="shared" ca="1" si="50"/>
        <v>15.759400326879531</v>
      </c>
      <c r="D369" s="21">
        <f t="shared" ca="1" si="47"/>
        <v>0.37288798236735254</v>
      </c>
      <c r="F369">
        <f t="shared" si="48"/>
        <v>0.36300000000000027</v>
      </c>
      <c r="G369">
        <f t="shared" ca="1" si="49"/>
        <v>6.1788087063858882E-2</v>
      </c>
      <c r="H369">
        <f t="shared" ca="1" si="51"/>
        <v>6.1790669020474226E-2</v>
      </c>
      <c r="I369">
        <f t="shared" ca="1" si="52"/>
        <v>1.0865074435930306E-2</v>
      </c>
      <c r="J369" s="5">
        <f t="shared" ca="1" si="53"/>
        <v>5.0925594584543918E-2</v>
      </c>
    </row>
    <row r="370" spans="1:10" x14ac:dyDescent="0.2">
      <c r="A370">
        <f t="shared" ca="1" si="45"/>
        <v>0.454628898307188</v>
      </c>
      <c r="B370">
        <f t="shared" ca="1" si="46"/>
        <v>-0.11397476634383788</v>
      </c>
      <c r="C370">
        <f t="shared" ca="1" si="50"/>
        <v>15.645425560535694</v>
      </c>
      <c r="D370" s="21">
        <f t="shared" ca="1" si="47"/>
        <v>0.39635949777462309</v>
      </c>
      <c r="F370">
        <f t="shared" si="48"/>
        <v>0.36400000000000027</v>
      </c>
      <c r="G370">
        <f t="shared" ca="1" si="49"/>
        <v>6.295407787258632E-2</v>
      </c>
      <c r="H370">
        <f t="shared" ca="1" si="51"/>
        <v>6.2956717871033879E-2</v>
      </c>
      <c r="I370">
        <f t="shared" ca="1" si="52"/>
        <v>1.0878742901224146E-2</v>
      </c>
      <c r="J370" s="5">
        <f t="shared" ca="1" si="53"/>
        <v>5.2077974969809732E-2</v>
      </c>
    </row>
    <row r="371" spans="1:10" x14ac:dyDescent="0.2">
      <c r="A371">
        <f t="shared" ca="1" si="45"/>
        <v>0.99779164349207095</v>
      </c>
      <c r="B371">
        <f t="shared" ca="1" si="46"/>
        <v>2.8467565111159692</v>
      </c>
      <c r="C371">
        <f t="shared" ca="1" si="50"/>
        <v>18.492182071651662</v>
      </c>
      <c r="D371" s="21">
        <f t="shared" ca="1" si="47"/>
        <v>6.9365562167330109E-3</v>
      </c>
      <c r="F371">
        <f t="shared" si="48"/>
        <v>0.36500000000000027</v>
      </c>
      <c r="G371">
        <f t="shared" ca="1" si="49"/>
        <v>6.2597380442385622E-2</v>
      </c>
      <c r="H371">
        <f t="shared" ca="1" si="51"/>
        <v>6.2600002341814745E-2</v>
      </c>
      <c r="I371">
        <f t="shared" ca="1" si="52"/>
        <v>1.0875855849991576E-2</v>
      </c>
      <c r="J371" s="5">
        <f t="shared" ca="1" si="53"/>
        <v>5.1724146491823171E-2</v>
      </c>
    </row>
    <row r="372" spans="1:10" x14ac:dyDescent="0.2">
      <c r="A372">
        <f t="shared" ca="1" si="45"/>
        <v>0.23793070261438831</v>
      </c>
      <c r="B372">
        <f t="shared" ca="1" si="46"/>
        <v>-0.71297471235693877</v>
      </c>
      <c r="C372">
        <f t="shared" ca="1" si="50"/>
        <v>17.779207359294723</v>
      </c>
      <c r="D372" s="21">
        <f t="shared" ca="1" si="47"/>
        <v>0.30940474543050955</v>
      </c>
      <c r="F372">
        <f t="shared" si="48"/>
        <v>0.36600000000000027</v>
      </c>
      <c r="G372">
        <f t="shared" ca="1" si="49"/>
        <v>7.1602904943403309E-2</v>
      </c>
      <c r="H372">
        <f t="shared" ca="1" si="51"/>
        <v>7.1605976860621465E-2</v>
      </c>
      <c r="I372">
        <f t="shared" ca="1" si="52"/>
        <v>1.0975247470226239E-2</v>
      </c>
      <c r="J372" s="5">
        <f t="shared" ca="1" si="53"/>
        <v>6.0630729390395224E-2</v>
      </c>
    </row>
    <row r="373" spans="1:10" x14ac:dyDescent="0.2">
      <c r="A373">
        <f t="shared" ca="1" si="45"/>
        <v>0.42235854002845086</v>
      </c>
      <c r="B373">
        <f t="shared" ca="1" si="46"/>
        <v>-0.1958634062345484</v>
      </c>
      <c r="C373">
        <f t="shared" ca="1" si="50"/>
        <v>17.583343953060176</v>
      </c>
      <c r="D373" s="21">
        <f t="shared" ca="1" si="47"/>
        <v>0.39136299639190164</v>
      </c>
      <c r="F373">
        <f t="shared" si="48"/>
        <v>0.36700000000000027</v>
      </c>
      <c r="G373">
        <f t="shared" ca="1" si="49"/>
        <v>6.9351233232280235E-2</v>
      </c>
      <c r="H373">
        <f t="shared" ca="1" si="51"/>
        <v>6.9354192257784081E-2</v>
      </c>
      <c r="I373">
        <f t="shared" ca="1" si="52"/>
        <v>1.0951570638056967E-2</v>
      </c>
      <c r="J373" s="5">
        <f t="shared" ca="1" si="53"/>
        <v>5.8402621619727112E-2</v>
      </c>
    </row>
    <row r="374" spans="1:10" x14ac:dyDescent="0.2">
      <c r="A374">
        <f t="shared" ca="1" si="45"/>
        <v>0.73312037259008334</v>
      </c>
      <c r="B374">
        <f t="shared" ca="1" si="46"/>
        <v>0.62227774125612589</v>
      </c>
      <c r="C374">
        <f t="shared" ca="1" si="50"/>
        <v>18.205621694316303</v>
      </c>
      <c r="D374" s="21">
        <f t="shared" ca="1" si="47"/>
        <v>0.32871856269824756</v>
      </c>
      <c r="F374">
        <f t="shared" si="48"/>
        <v>0.36800000000000027</v>
      </c>
      <c r="G374">
        <f t="shared" ca="1" si="49"/>
        <v>6.8734954449171673E-2</v>
      </c>
      <c r="H374">
        <f t="shared" ca="1" si="51"/>
        <v>6.8737882364578298E-2</v>
      </c>
      <c r="I374">
        <f t="shared" ca="1" si="52"/>
        <v>1.0945829419370201E-2</v>
      </c>
      <c r="J374" s="5">
        <f t="shared" ca="1" si="53"/>
        <v>5.7792052945208096E-2</v>
      </c>
    </row>
    <row r="375" spans="1:10" x14ac:dyDescent="0.2">
      <c r="A375">
        <f t="shared" ca="1" si="45"/>
        <v>0.76108334812713463</v>
      </c>
      <c r="B375">
        <f t="shared" ca="1" si="46"/>
        <v>0.70979172112211197</v>
      </c>
      <c r="C375">
        <f t="shared" ca="1" si="50"/>
        <v>18.915413415438415</v>
      </c>
      <c r="D375" s="21">
        <f t="shared" ca="1" si="47"/>
        <v>0.31010613259337527</v>
      </c>
      <c r="F375">
        <f t="shared" si="48"/>
        <v>0.36900000000000027</v>
      </c>
      <c r="G375">
        <f t="shared" ca="1" si="49"/>
        <v>7.0705797410350477E-2</v>
      </c>
      <c r="H375">
        <f t="shared" ca="1" si="51"/>
        <v>7.0708823575936122E-2</v>
      </c>
      <c r="I375">
        <f t="shared" ca="1" si="52"/>
        <v>1.0968431944878936E-2</v>
      </c>
      <c r="J375" s="5">
        <f t="shared" ca="1" si="53"/>
        <v>5.9740391631057183E-2</v>
      </c>
    </row>
    <row r="376" spans="1:10" x14ac:dyDescent="0.2">
      <c r="A376">
        <f t="shared" ca="1" si="45"/>
        <v>0.60465951704583076</v>
      </c>
      <c r="B376">
        <f t="shared" ca="1" si="46"/>
        <v>0.26542644558051609</v>
      </c>
      <c r="C376">
        <f t="shared" ca="1" si="50"/>
        <v>19.180839861018931</v>
      </c>
      <c r="D376" s="21">
        <f t="shared" ca="1" si="47"/>
        <v>0.38513393109603017</v>
      </c>
      <c r="F376">
        <f t="shared" si="48"/>
        <v>0.37000000000000027</v>
      </c>
      <c r="G376">
        <f t="shared" ca="1" si="49"/>
        <v>7.2953172963971039E-2</v>
      </c>
      <c r="H376">
        <f t="shared" ca="1" si="51"/>
        <v>7.2956311196655452E-2</v>
      </c>
      <c r="I376">
        <f t="shared" ca="1" si="52"/>
        <v>1.0994123274566883E-2</v>
      </c>
      <c r="J376" s="5">
        <f t="shared" ca="1" si="53"/>
        <v>6.1962187922088567E-2</v>
      </c>
    </row>
    <row r="377" spans="1:10" x14ac:dyDescent="0.2">
      <c r="A377">
        <f t="shared" ca="1" si="45"/>
        <v>0.43630151496712055</v>
      </c>
      <c r="B377">
        <f t="shared" ca="1" si="46"/>
        <v>-0.16035297597790008</v>
      </c>
      <c r="C377">
        <f t="shared" ca="1" si="50"/>
        <v>19.020486885041031</v>
      </c>
      <c r="D377" s="21">
        <f t="shared" ca="1" si="47"/>
        <v>0.39384609349040239</v>
      </c>
      <c r="F377">
        <f t="shared" si="48"/>
        <v>0.37100000000000027</v>
      </c>
      <c r="G377">
        <f t="shared" ca="1" si="49"/>
        <v>7.3795187664864786E-2</v>
      </c>
      <c r="H377">
        <f t="shared" ca="1" si="51"/>
        <v>7.3798367684812946E-2</v>
      </c>
      <c r="I377">
        <f t="shared" ca="1" si="52"/>
        <v>1.1004400457454197E-2</v>
      </c>
      <c r="J377" s="5">
        <f t="shared" ca="1" si="53"/>
        <v>6.2793967227358749E-2</v>
      </c>
    </row>
    <row r="378" spans="1:10" x14ac:dyDescent="0.2">
      <c r="A378">
        <f t="shared" ca="1" si="45"/>
        <v>0.71122532063828403</v>
      </c>
      <c r="B378">
        <f t="shared" ca="1" si="46"/>
        <v>0.55696790368625471</v>
      </c>
      <c r="C378">
        <f t="shared" ca="1" si="50"/>
        <v>19.577454788727284</v>
      </c>
      <c r="D378" s="21">
        <f t="shared" ca="1" si="47"/>
        <v>0.34162379702464862</v>
      </c>
      <c r="F378">
        <f t="shared" si="48"/>
        <v>0.37200000000000027</v>
      </c>
      <c r="G378">
        <f t="shared" ca="1" si="49"/>
        <v>7.3290752734377476E-2</v>
      </c>
      <c r="H378">
        <f t="shared" ca="1" si="51"/>
        <v>7.3293907214368043E-2</v>
      </c>
      <c r="I378">
        <f t="shared" ca="1" si="52"/>
        <v>1.0999866691343223E-2</v>
      </c>
      <c r="J378" s="5">
        <f t="shared" ca="1" si="53"/>
        <v>6.229404052302482E-2</v>
      </c>
    </row>
    <row r="379" spans="1:10" x14ac:dyDescent="0.2">
      <c r="A379">
        <f t="shared" ca="1" si="45"/>
        <v>0.94362768040173328</v>
      </c>
      <c r="B379">
        <f t="shared" ca="1" si="46"/>
        <v>1.5859765057906006</v>
      </c>
      <c r="C379">
        <f t="shared" ca="1" si="50"/>
        <v>21.163431294517885</v>
      </c>
      <c r="D379" s="21">
        <f t="shared" ca="1" si="47"/>
        <v>0.11342660857839117</v>
      </c>
      <c r="F379">
        <f t="shared" si="48"/>
        <v>0.37300000000000028</v>
      </c>
      <c r="G379">
        <f t="shared" ca="1" si="49"/>
        <v>7.5054622624131345E-2</v>
      </c>
      <c r="H379">
        <f t="shared" ca="1" si="51"/>
        <v>7.5057864982904468E-2</v>
      </c>
      <c r="I379">
        <f t="shared" ca="1" si="52"/>
        <v>1.1020304566049362E-2</v>
      </c>
      <c r="J379" s="5">
        <f t="shared" ca="1" si="53"/>
        <v>6.4037560416855099E-2</v>
      </c>
    </row>
    <row r="380" spans="1:10" x14ac:dyDescent="0.2">
      <c r="A380">
        <f t="shared" ca="1" si="45"/>
        <v>0.98179602276965483</v>
      </c>
      <c r="B380">
        <f t="shared" ca="1" si="46"/>
        <v>2.092341761557341</v>
      </c>
      <c r="C380">
        <f t="shared" ca="1" si="50"/>
        <v>23.255773056075228</v>
      </c>
      <c r="D380" s="21">
        <f t="shared" ca="1" si="47"/>
        <v>4.4695361300608701E-2</v>
      </c>
      <c r="F380">
        <f t="shared" si="48"/>
        <v>0.37400000000000028</v>
      </c>
      <c r="G380">
        <f t="shared" ca="1" si="49"/>
        <v>8.0072164356504105E-2</v>
      </c>
      <c r="H380">
        <f t="shared" ca="1" si="51"/>
        <v>8.0075657270219702E-2</v>
      </c>
      <c r="I380">
        <f t="shared" ca="1" si="52"/>
        <v>1.1076765751114433E-2</v>
      </c>
      <c r="J380" s="5">
        <f t="shared" ca="1" si="53"/>
        <v>6.8998891519105265E-2</v>
      </c>
    </row>
    <row r="381" spans="1:10" x14ac:dyDescent="0.2">
      <c r="A381">
        <f t="shared" ca="1" si="45"/>
        <v>1.1771449367221076E-2</v>
      </c>
      <c r="B381">
        <f t="shared" ca="1" si="46"/>
        <v>-2.2645078298142476</v>
      </c>
      <c r="C381">
        <f t="shared" ca="1" si="50"/>
        <v>20.991265226260978</v>
      </c>
      <c r="D381" s="21">
        <f t="shared" ca="1" si="47"/>
        <v>3.0717081181196003E-2</v>
      </c>
      <c r="F381">
        <f t="shared" si="48"/>
        <v>0.37500000000000028</v>
      </c>
      <c r="G381">
        <f t="shared" ca="1" si="49"/>
        <v>8.6690391835946137E-2</v>
      </c>
      <c r="H381">
        <f t="shared" ca="1" si="51"/>
        <v>8.6694215314502818E-2</v>
      </c>
      <c r="I381">
        <f t="shared" ca="1" si="52"/>
        <v>1.1151358227346876E-2</v>
      </c>
      <c r="J381" s="5">
        <f t="shared" ca="1" si="53"/>
        <v>7.554285708715594E-2</v>
      </c>
    </row>
    <row r="382" spans="1:10" x14ac:dyDescent="0.2">
      <c r="A382">
        <f t="shared" ca="1" si="45"/>
        <v>0.26588101143216492</v>
      </c>
      <c r="B382">
        <f t="shared" ca="1" si="46"/>
        <v>-0.6253185266753396</v>
      </c>
      <c r="C382">
        <f t="shared" ca="1" si="50"/>
        <v>20.365946699585638</v>
      </c>
      <c r="D382" s="21">
        <f t="shared" ca="1" si="47"/>
        <v>0.32809562839476825</v>
      </c>
      <c r="F382">
        <f t="shared" si="48"/>
        <v>0.37600000000000028</v>
      </c>
      <c r="G382">
        <f t="shared" ca="1" si="49"/>
        <v>7.9531078243926717E-2</v>
      </c>
      <c r="H382">
        <f t="shared" ca="1" si="51"/>
        <v>7.9534543371473393E-2</v>
      </c>
      <c r="I382">
        <f t="shared" ca="1" si="52"/>
        <v>1.1072840432152392E-2</v>
      </c>
      <c r="J382" s="5">
        <f t="shared" ca="1" si="53"/>
        <v>6.8461702939320995E-2</v>
      </c>
    </row>
    <row r="383" spans="1:10" x14ac:dyDescent="0.2">
      <c r="A383">
        <f t="shared" ca="1" si="45"/>
        <v>0.88470904793565452</v>
      </c>
      <c r="B383">
        <f t="shared" ca="1" si="46"/>
        <v>1.1988612429808707</v>
      </c>
      <c r="C383">
        <f t="shared" ca="1" si="50"/>
        <v>21.56480794256651</v>
      </c>
      <c r="D383" s="21">
        <f t="shared" ca="1" si="47"/>
        <v>0.19445146717257022</v>
      </c>
      <c r="F383">
        <f t="shared" si="48"/>
        <v>0.37700000000000028</v>
      </c>
      <c r="G383">
        <f t="shared" ca="1" si="49"/>
        <v>7.7555793093787198E-2</v>
      </c>
      <c r="H383">
        <f t="shared" ca="1" si="51"/>
        <v>7.7559159109741413E-2</v>
      </c>
      <c r="I383">
        <f t="shared" ca="1" si="52"/>
        <v>1.1052016182451437E-2</v>
      </c>
      <c r="J383" s="5">
        <f t="shared" ca="1" si="53"/>
        <v>6.6507142927289972E-2</v>
      </c>
    </row>
    <row r="384" spans="1:10" x14ac:dyDescent="0.2">
      <c r="A384">
        <f t="shared" ca="1" si="45"/>
        <v>0.27540219644158259</v>
      </c>
      <c r="B384">
        <f t="shared" ca="1" si="46"/>
        <v>-0.59655519473540231</v>
      </c>
      <c r="C384">
        <f t="shared" ca="1" si="50"/>
        <v>20.968252747831109</v>
      </c>
      <c r="D384" s="21">
        <f t="shared" ca="1" si="47"/>
        <v>0.33391207025071196</v>
      </c>
      <c r="F384">
        <f t="shared" si="48"/>
        <v>0.37800000000000028</v>
      </c>
      <c r="G384">
        <f t="shared" ca="1" si="49"/>
        <v>8.1348979979872157E-2</v>
      </c>
      <c r="H384">
        <f t="shared" ca="1" si="51"/>
        <v>8.1352535320150549E-2</v>
      </c>
      <c r="I384">
        <f t="shared" ca="1" si="52"/>
        <v>1.1095049339708831E-2</v>
      </c>
      <c r="J384" s="5">
        <f t="shared" ca="1" si="53"/>
        <v>7.0257485980441722E-2</v>
      </c>
    </row>
    <row r="385" spans="1:10" x14ac:dyDescent="0.2">
      <c r="A385">
        <f t="shared" ca="1" si="45"/>
        <v>0.21701847487842996</v>
      </c>
      <c r="B385">
        <f t="shared" ca="1" si="46"/>
        <v>-0.78230227571846922</v>
      </c>
      <c r="C385">
        <f t="shared" ca="1" si="50"/>
        <v>20.185950472112641</v>
      </c>
      <c r="D385" s="21">
        <f t="shared" ca="1" si="47"/>
        <v>0.29377621983280561</v>
      </c>
      <c r="F385">
        <f t="shared" si="48"/>
        <v>0.37900000000000028</v>
      </c>
      <c r="G385">
        <f t="shared" ca="1" si="49"/>
        <v>7.9464466142981305E-2</v>
      </c>
      <c r="H385">
        <f t="shared" ca="1" si="51"/>
        <v>7.9467926901249375E-2</v>
      </c>
      <c r="I385">
        <f t="shared" ca="1" si="52"/>
        <v>1.1075190650014307E-2</v>
      </c>
      <c r="J385" s="5">
        <f t="shared" ca="1" si="53"/>
        <v>6.839273625123507E-2</v>
      </c>
    </row>
    <row r="386" spans="1:10" x14ac:dyDescent="0.2">
      <c r="A386">
        <f t="shared" ca="1" si="45"/>
        <v>0.67424839528872238</v>
      </c>
      <c r="B386">
        <f t="shared" ca="1" si="46"/>
        <v>0.45167489098784336</v>
      </c>
      <c r="C386">
        <f t="shared" ca="1" si="50"/>
        <v>20.637625363100483</v>
      </c>
      <c r="D386" s="21">
        <f t="shared" ca="1" si="47"/>
        <v>0.36025483002063097</v>
      </c>
      <c r="F386">
        <f t="shared" si="48"/>
        <v>0.38000000000000028</v>
      </c>
      <c r="G386">
        <f t="shared" ca="1" si="49"/>
        <v>7.6992786271386213E-2</v>
      </c>
      <c r="H386">
        <f t="shared" ca="1" si="51"/>
        <v>7.6996123098555858E-2</v>
      </c>
      <c r="I386">
        <f t="shared" ca="1" si="52"/>
        <v>1.1048875667299566E-2</v>
      </c>
      <c r="J386" s="5">
        <f t="shared" ca="1" si="53"/>
        <v>6.5947247431256295E-2</v>
      </c>
    </row>
    <row r="387" spans="1:10" x14ac:dyDescent="0.2">
      <c r="A387">
        <f t="shared" ca="1" si="45"/>
        <v>0.66907497147193706</v>
      </c>
      <c r="B387">
        <f t="shared" ca="1" si="46"/>
        <v>0.43736031882496862</v>
      </c>
      <c r="C387">
        <f t="shared" ca="1" si="50"/>
        <v>21.074985681925451</v>
      </c>
      <c r="D387" s="21">
        <f t="shared" ca="1" si="47"/>
        <v>0.3625544687167907</v>
      </c>
      <c r="F387">
        <f t="shared" si="48"/>
        <v>0.38100000000000028</v>
      </c>
      <c r="G387">
        <f t="shared" ca="1" si="49"/>
        <v>7.8423336882061351E-2</v>
      </c>
      <c r="H387">
        <f t="shared" ca="1" si="51"/>
        <v>7.8426744903675849E-2</v>
      </c>
      <c r="I387">
        <f t="shared" ca="1" si="52"/>
        <v>1.1065719482256937E-2</v>
      </c>
      <c r="J387" s="5">
        <f t="shared" ca="1" si="53"/>
        <v>6.7361025421418919E-2</v>
      </c>
    </row>
    <row r="388" spans="1:10" x14ac:dyDescent="0.2">
      <c r="A388">
        <f t="shared" ca="1" si="45"/>
        <v>0.72904650683490535</v>
      </c>
      <c r="B388">
        <f t="shared" ca="1" si="46"/>
        <v>0.60993179978552459</v>
      </c>
      <c r="C388">
        <f t="shared" ca="1" si="50"/>
        <v>21.684917481710976</v>
      </c>
      <c r="D388" s="21">
        <f t="shared" ca="1" si="47"/>
        <v>0.3312284589439215</v>
      </c>
      <c r="F388">
        <f t="shared" si="48"/>
        <v>0.38200000000000028</v>
      </c>
      <c r="G388">
        <f t="shared" ca="1" si="49"/>
        <v>7.9808480056300687E-2</v>
      </c>
      <c r="H388">
        <f t="shared" ca="1" si="51"/>
        <v>7.9811956994849803E-2</v>
      </c>
      <c r="I388">
        <f t="shared" ca="1" si="52"/>
        <v>1.1082087314969938E-2</v>
      </c>
      <c r="J388" s="5">
        <f t="shared" ca="1" si="53"/>
        <v>6.872986967987986E-2</v>
      </c>
    </row>
    <row r="389" spans="1:10" x14ac:dyDescent="0.2">
      <c r="A389">
        <f t="shared" ca="1" si="45"/>
        <v>0.70753476991839015</v>
      </c>
      <c r="B389">
        <f t="shared" ca="1" si="46"/>
        <v>0.5461970988517012</v>
      </c>
      <c r="C389">
        <f t="shared" ca="1" si="50"/>
        <v>22.231114580562675</v>
      </c>
      <c r="D389" s="21">
        <f t="shared" ca="1" si="47"/>
        <v>0.34365942054225457</v>
      </c>
      <c r="F389">
        <f t="shared" si="48"/>
        <v>0.38300000000000028</v>
      </c>
      <c r="G389">
        <f t="shared" ca="1" si="49"/>
        <v>8.173917637736175E-2</v>
      </c>
      <c r="H389">
        <f t="shared" ca="1" si="51"/>
        <v>8.1742749503838377E-2</v>
      </c>
      <c r="I389">
        <f t="shared" ca="1" si="52"/>
        <v>1.1104537661419018E-2</v>
      </c>
      <c r="J389" s="5">
        <f t="shared" ca="1" si="53"/>
        <v>7.0638211842419363E-2</v>
      </c>
    </row>
    <row r="390" spans="1:10" x14ac:dyDescent="0.2">
      <c r="A390">
        <f t="shared" ca="1" si="45"/>
        <v>0.41777466796364404</v>
      </c>
      <c r="B390">
        <f t="shared" ca="1" si="46"/>
        <v>-0.20758971467314929</v>
      </c>
      <c r="C390">
        <f t="shared" ca="1" si="50"/>
        <v>22.023524865889527</v>
      </c>
      <c r="D390" s="21">
        <f t="shared" ca="1" si="47"/>
        <v>0.39043831824253616</v>
      </c>
      <c r="F390">
        <f t="shared" si="48"/>
        <v>0.38400000000000029</v>
      </c>
      <c r="G390">
        <f t="shared" ca="1" si="49"/>
        <v>8.3468142894424502E-2</v>
      </c>
      <c r="H390">
        <f t="shared" ca="1" si="51"/>
        <v>8.347180211263551E-2</v>
      </c>
      <c r="I390">
        <f t="shared" ca="1" si="52"/>
        <v>1.1124791096049465E-2</v>
      </c>
      <c r="J390" s="5">
        <f t="shared" ca="1" si="53"/>
        <v>7.2347011016586041E-2</v>
      </c>
    </row>
    <row r="391" spans="1:10" x14ac:dyDescent="0.2">
      <c r="A391">
        <f t="shared" ref="A391:A454" ca="1" si="54">RAND()</f>
        <v>0.73463422331280237</v>
      </c>
      <c r="B391">
        <f t="shared" ref="B391:B454" ca="1" si="55">NORMSINV(A391)</f>
        <v>0.62688967866666212</v>
      </c>
      <c r="C391">
        <f t="shared" ca="1" si="50"/>
        <v>22.650414544556188</v>
      </c>
      <c r="D391" s="21">
        <f t="shared" ref="D391:D454" ca="1" si="56">_xlfn.NORM.DIST(B391,0,1,FALSE)</f>
        <v>0.32777303787346568</v>
      </c>
      <c r="F391">
        <f t="shared" ref="F391:F454" si="57">F390+$M$2/$N$2</f>
        <v>0.38500000000000029</v>
      </c>
      <c r="G391">
        <f t="shared" ref="G391:G454" ca="1" si="58">G390*EXP(-$M$4*$O$2) + $O$4*(1-EXP(-$M$4*$O$2)) + $N$4* SQRT((1-EXP(-2*$M$4*$O$2))/(2*$M$4)) *B390</f>
        <v>8.2813372501735205E-2</v>
      </c>
      <c r="H391">
        <f t="shared" ca="1" si="51"/>
        <v>8.2816998615232618E-2</v>
      </c>
      <c r="I391">
        <f t="shared" ca="1" si="52"/>
        <v>1.1118546764934761E-2</v>
      </c>
      <c r="J391" s="5">
        <f t="shared" ca="1" si="53"/>
        <v>7.1698451850297856E-2</v>
      </c>
    </row>
    <row r="392" spans="1:10" x14ac:dyDescent="0.2">
      <c r="A392">
        <f t="shared" ca="1" si="54"/>
        <v>0.70573425621340602</v>
      </c>
      <c r="B392">
        <f t="shared" ca="1" si="55"/>
        <v>0.54096531857216845</v>
      </c>
      <c r="C392">
        <f t="shared" ref="C392:C455" ca="1" si="59">B392+C391</f>
        <v>23.191379863128358</v>
      </c>
      <c r="D392" s="21">
        <f t="shared" ca="1" si="56"/>
        <v>0.3446381437258807</v>
      </c>
      <c r="F392">
        <f t="shared" si="57"/>
        <v>0.38600000000000029</v>
      </c>
      <c r="G392">
        <f t="shared" ca="1" si="58"/>
        <v>8.4797391188960985E-2</v>
      </c>
      <c r="H392">
        <f t="shared" ref="H392:H455" ca="1" si="60">H391+($M$6 + $N$6*H391)*$O$2 + $O$6*H391^$P$6*SQRT($O$2)*B391</f>
        <v>8.4801116141608818E-2</v>
      </c>
      <c r="I392">
        <f t="shared" ref="I392:I455" ca="1" si="61">I391*EXP(($M$8-0.5*($N$8^2))*$O$2 + $N$8*SQRT($O$2)*B391)</f>
        <v>1.1141668433534056E-2</v>
      </c>
      <c r="J392" s="5">
        <f t="shared" ref="J392:J455" ca="1" si="62">ABS(H392-I392)</f>
        <v>7.3659447708074755E-2</v>
      </c>
    </row>
    <row r="393" spans="1:10" x14ac:dyDescent="0.2">
      <c r="A393">
        <f t="shared" ca="1" si="54"/>
        <v>9.5939936147695137E-2</v>
      </c>
      <c r="B393">
        <f t="shared" ca="1" si="55"/>
        <v>-1.305038106737735</v>
      </c>
      <c r="C393">
        <f t="shared" ca="1" si="59"/>
        <v>21.886341756390621</v>
      </c>
      <c r="D393" s="21">
        <f t="shared" ca="1" si="56"/>
        <v>0.17024771368197034</v>
      </c>
      <c r="F393">
        <f t="shared" si="57"/>
        <v>0.38700000000000029</v>
      </c>
      <c r="G393">
        <f t="shared" ca="1" si="58"/>
        <v>8.6509508385114897E-2</v>
      </c>
      <c r="H393">
        <f t="shared" ca="1" si="60"/>
        <v>8.6513318571841302E-2</v>
      </c>
      <c r="I393">
        <f t="shared" ca="1" si="61"/>
        <v>1.1161804924295209E-2</v>
      </c>
      <c r="J393" s="5">
        <f t="shared" ca="1" si="62"/>
        <v>7.5351513647546095E-2</v>
      </c>
    </row>
    <row r="394" spans="1:10" x14ac:dyDescent="0.2">
      <c r="A394">
        <f t="shared" ca="1" si="54"/>
        <v>0.44153168685747657</v>
      </c>
      <c r="B394">
        <f t="shared" ca="1" si="55"/>
        <v>-0.14708697093049949</v>
      </c>
      <c r="C394">
        <f t="shared" ca="1" si="59"/>
        <v>21.739254785460123</v>
      </c>
      <c r="D394" s="21">
        <f t="shared" ca="1" si="56"/>
        <v>0.39465006358376292</v>
      </c>
      <c r="F394">
        <f t="shared" si="57"/>
        <v>0.38800000000000029</v>
      </c>
      <c r="G394">
        <f t="shared" ca="1" si="58"/>
        <v>8.2384170852266209E-2</v>
      </c>
      <c r="H394">
        <f t="shared" ca="1" si="60"/>
        <v>8.2387774389378943E-2</v>
      </c>
      <c r="I394">
        <f t="shared" ca="1" si="61"/>
        <v>1.1116892325057161E-2</v>
      </c>
      <c r="J394" s="5">
        <f t="shared" ca="1" si="62"/>
        <v>7.1270882064321778E-2</v>
      </c>
    </row>
    <row r="395" spans="1:10" x14ac:dyDescent="0.2">
      <c r="A395">
        <f t="shared" ca="1" si="54"/>
        <v>0.94870432522090031</v>
      </c>
      <c r="B395">
        <f t="shared" ca="1" si="55"/>
        <v>1.6324185235323392</v>
      </c>
      <c r="C395">
        <f t="shared" ca="1" si="59"/>
        <v>23.371673308992463</v>
      </c>
      <c r="D395" s="21">
        <f t="shared" ca="1" si="56"/>
        <v>0.10525875245177668</v>
      </c>
      <c r="F395">
        <f t="shared" si="57"/>
        <v>0.38900000000000029</v>
      </c>
      <c r="G395">
        <f t="shared" ca="1" si="58"/>
        <v>8.1920825760352547E-2</v>
      </c>
      <c r="H395">
        <f t="shared" ca="1" si="60"/>
        <v>8.1924405769664643E-2</v>
      </c>
      <c r="I395">
        <f t="shared" ca="1" si="61"/>
        <v>1.1112778392845801E-2</v>
      </c>
      <c r="J395" s="5">
        <f t="shared" ca="1" si="62"/>
        <v>7.0811627376818842E-2</v>
      </c>
    </row>
    <row r="396" spans="1:10" x14ac:dyDescent="0.2">
      <c r="A396">
        <f t="shared" ca="1" si="54"/>
        <v>0.86261188382170206</v>
      </c>
      <c r="B396">
        <f t="shared" ca="1" si="55"/>
        <v>1.0921293913156715</v>
      </c>
      <c r="C396">
        <f t="shared" ca="1" si="59"/>
        <v>24.463802700308136</v>
      </c>
      <c r="D396" s="21">
        <f t="shared" ca="1" si="56"/>
        <v>0.21973965123267553</v>
      </c>
      <c r="F396">
        <f t="shared" si="57"/>
        <v>0.39000000000000029</v>
      </c>
      <c r="G396">
        <f t="shared" ca="1" si="58"/>
        <v>8.7084536119117595E-2</v>
      </c>
      <c r="H396">
        <f t="shared" ca="1" si="60"/>
        <v>8.7088373958099041E-2</v>
      </c>
      <c r="I396">
        <f t="shared" ca="1" si="61"/>
        <v>1.1171353889380913E-2</v>
      </c>
      <c r="J396" s="5">
        <f t="shared" ca="1" si="62"/>
        <v>7.591702006871813E-2</v>
      </c>
    </row>
    <row r="397" spans="1:10" x14ac:dyDescent="0.2">
      <c r="A397">
        <f t="shared" ca="1" si="54"/>
        <v>0.19346481788253933</v>
      </c>
      <c r="B397">
        <f t="shared" ca="1" si="55"/>
        <v>-0.86519888775993237</v>
      </c>
      <c r="C397">
        <f t="shared" ca="1" si="59"/>
        <v>23.598603812548205</v>
      </c>
      <c r="D397" s="21">
        <f t="shared" ca="1" si="56"/>
        <v>0.27438498859996879</v>
      </c>
      <c r="F397">
        <f t="shared" si="57"/>
        <v>0.39100000000000029</v>
      </c>
      <c r="G397">
        <f t="shared" ca="1" si="58"/>
        <v>9.0539271303477262E-2</v>
      </c>
      <c r="H397">
        <f t="shared" ca="1" si="60"/>
        <v>9.0543281496874073E-2</v>
      </c>
      <c r="I397">
        <f t="shared" ca="1" si="61"/>
        <v>1.1211067160644453E-2</v>
      </c>
      <c r="J397" s="5">
        <f t="shared" ca="1" si="62"/>
        <v>7.9332214336229626E-2</v>
      </c>
    </row>
    <row r="398" spans="1:10" x14ac:dyDescent="0.2">
      <c r="A398">
        <f t="shared" ca="1" si="54"/>
        <v>0.58939046369594195</v>
      </c>
      <c r="B398">
        <f t="shared" ca="1" si="55"/>
        <v>0.22597730393071871</v>
      </c>
      <c r="C398">
        <f t="shared" ca="1" si="59"/>
        <v>23.824581116478925</v>
      </c>
      <c r="D398" s="21">
        <f t="shared" ca="1" si="56"/>
        <v>0.38888507962043228</v>
      </c>
      <c r="F398">
        <f t="shared" si="57"/>
        <v>0.39200000000000029</v>
      </c>
      <c r="G398">
        <f t="shared" ca="1" si="58"/>
        <v>8.7804355008935048E-2</v>
      </c>
      <c r="H398">
        <f t="shared" ca="1" si="60"/>
        <v>8.7808228054358617E-2</v>
      </c>
      <c r="I398">
        <f t="shared" ca="1" si="61"/>
        <v>1.1181497805709074E-2</v>
      </c>
      <c r="J398" s="5">
        <f t="shared" ca="1" si="62"/>
        <v>7.6626730248649549E-2</v>
      </c>
    </row>
    <row r="399" spans="1:10" x14ac:dyDescent="0.2">
      <c r="A399">
        <f t="shared" ca="1" si="54"/>
        <v>0.15078232433727945</v>
      </c>
      <c r="B399">
        <f t="shared" ca="1" si="55"/>
        <v>-1.0330838752184366</v>
      </c>
      <c r="C399">
        <f t="shared" ca="1" si="59"/>
        <v>22.791497241260487</v>
      </c>
      <c r="D399" s="21">
        <f t="shared" ca="1" si="56"/>
        <v>0.23396829135813832</v>
      </c>
      <c r="F399">
        <f t="shared" si="57"/>
        <v>0.39300000000000029</v>
      </c>
      <c r="G399">
        <f t="shared" ca="1" si="58"/>
        <v>8.8520141763722845E-2</v>
      </c>
      <c r="H399">
        <f t="shared" ca="1" si="60"/>
        <v>8.8524050211478369E-2</v>
      </c>
      <c r="I399">
        <f t="shared" ca="1" si="61"/>
        <v>1.1190554045137153E-2</v>
      </c>
      <c r="J399" s="5">
        <f t="shared" ca="1" si="62"/>
        <v>7.733349616634122E-2</v>
      </c>
    </row>
    <row r="400" spans="1:10" x14ac:dyDescent="0.2">
      <c r="A400">
        <f t="shared" ca="1" si="54"/>
        <v>0.70549023013284662</v>
      </c>
      <c r="B400">
        <f t="shared" ca="1" si="55"/>
        <v>0.54025738945396717</v>
      </c>
      <c r="C400">
        <f t="shared" ca="1" si="59"/>
        <v>23.331754630714453</v>
      </c>
      <c r="D400" s="21">
        <f t="shared" ca="1" si="56"/>
        <v>0.3447700669901968</v>
      </c>
      <c r="F400">
        <f t="shared" si="57"/>
        <v>0.39400000000000029</v>
      </c>
      <c r="G400">
        <f t="shared" ca="1" si="58"/>
        <v>8.525455497056289E-2</v>
      </c>
      <c r="H400">
        <f t="shared" ca="1" si="60"/>
        <v>8.5258299746773777E-2</v>
      </c>
      <c r="I400">
        <f t="shared" ca="1" si="61"/>
        <v>1.1155114982733746E-2</v>
      </c>
      <c r="J400" s="5">
        <f t="shared" ca="1" si="62"/>
        <v>7.4103184764040028E-2</v>
      </c>
    </row>
    <row r="401" spans="1:10" x14ac:dyDescent="0.2">
      <c r="A401">
        <f t="shared" ca="1" si="54"/>
        <v>2.2625461402879132E-2</v>
      </c>
      <c r="B401">
        <f t="shared" ca="1" si="55"/>
        <v>-2.002314450568742</v>
      </c>
      <c r="C401">
        <f t="shared" ca="1" si="59"/>
        <v>21.32944018014571</v>
      </c>
      <c r="D401" s="21">
        <f t="shared" ca="1" si="56"/>
        <v>5.3741481262048446E-2</v>
      </c>
      <c r="F401">
        <f t="shared" si="57"/>
        <v>0.3950000000000003</v>
      </c>
      <c r="G401">
        <f t="shared" ca="1" si="58"/>
        <v>8.6964387896117656E-2</v>
      </c>
      <c r="H401">
        <f t="shared" ca="1" si="60"/>
        <v>8.6968217790210273E-2</v>
      </c>
      <c r="I401">
        <f t="shared" ca="1" si="61"/>
        <v>1.117525075791927E-2</v>
      </c>
      <c r="J401" s="5">
        <f t="shared" ca="1" si="62"/>
        <v>7.5792967032291006E-2</v>
      </c>
    </row>
    <row r="402" spans="1:10" x14ac:dyDescent="0.2">
      <c r="A402">
        <f t="shared" ca="1" si="54"/>
        <v>0.8745355544918918</v>
      </c>
      <c r="B402">
        <f t="shared" ca="1" si="55"/>
        <v>1.1480961072491311</v>
      </c>
      <c r="C402">
        <f t="shared" ca="1" si="59"/>
        <v>22.477536287394841</v>
      </c>
      <c r="D402" s="21">
        <f t="shared" ca="1" si="56"/>
        <v>0.20638728128699121</v>
      </c>
      <c r="F402">
        <f t="shared" si="57"/>
        <v>0.3960000000000003</v>
      </c>
      <c r="G402">
        <f t="shared" ca="1" si="58"/>
        <v>8.0634133717008255E-2</v>
      </c>
      <c r="H402">
        <f t="shared" ca="1" si="60"/>
        <v>8.0637646712765396E-2</v>
      </c>
      <c r="I402">
        <f t="shared" ca="1" si="61"/>
        <v>1.1105769023814304E-2</v>
      </c>
      <c r="J402" s="5">
        <f t="shared" ca="1" si="62"/>
        <v>6.9531877688951096E-2</v>
      </c>
    </row>
    <row r="403" spans="1:10" x14ac:dyDescent="0.2">
      <c r="A403">
        <f t="shared" ca="1" si="54"/>
        <v>0.79670330285296265</v>
      </c>
      <c r="B403">
        <f t="shared" ca="1" si="55"/>
        <v>0.82990341437035664</v>
      </c>
      <c r="C403">
        <f t="shared" ca="1" si="59"/>
        <v>23.307439701765198</v>
      </c>
      <c r="D403" s="21">
        <f t="shared" ca="1" si="56"/>
        <v>0.28271714415065619</v>
      </c>
      <c r="F403">
        <f t="shared" si="57"/>
        <v>0.3970000000000003</v>
      </c>
      <c r="G403">
        <f t="shared" ca="1" si="58"/>
        <v>8.4266487356120495E-2</v>
      </c>
      <c r="H403">
        <f t="shared" ca="1" si="60"/>
        <v>8.4270181619774329E-2</v>
      </c>
      <c r="I403">
        <f t="shared" ca="1" si="61"/>
        <v>1.1147221832454451E-2</v>
      </c>
      <c r="J403" s="5">
        <f t="shared" ca="1" si="62"/>
        <v>7.3122959787319877E-2</v>
      </c>
    </row>
    <row r="404" spans="1:10" x14ac:dyDescent="0.2">
      <c r="A404">
        <f t="shared" ca="1" si="54"/>
        <v>8.2148576692133934E-2</v>
      </c>
      <c r="B404">
        <f t="shared" ca="1" si="55"/>
        <v>-1.3907635044261806</v>
      </c>
      <c r="C404">
        <f t="shared" ca="1" si="59"/>
        <v>21.916676197339015</v>
      </c>
      <c r="D404" s="21">
        <f t="shared" ca="1" si="56"/>
        <v>0.15166970804952459</v>
      </c>
      <c r="F404">
        <f t="shared" si="57"/>
        <v>0.3980000000000003</v>
      </c>
      <c r="G404">
        <f t="shared" ca="1" si="58"/>
        <v>8.6892314442296642E-2</v>
      </c>
      <c r="H404">
        <f t="shared" ca="1" si="60"/>
        <v>8.689613962897319E-2</v>
      </c>
      <c r="I404">
        <f t="shared" ca="1" si="61"/>
        <v>1.1177576675148355E-2</v>
      </c>
      <c r="J404" s="5">
        <f t="shared" ca="1" si="62"/>
        <v>7.5718562953824842E-2</v>
      </c>
    </row>
    <row r="405" spans="1:10" x14ac:dyDescent="0.2">
      <c r="A405">
        <f t="shared" ca="1" si="54"/>
        <v>0.62252012366536513</v>
      </c>
      <c r="B405">
        <f t="shared" ca="1" si="55"/>
        <v>0.31210628176945771</v>
      </c>
      <c r="C405">
        <f t="shared" ca="1" si="59"/>
        <v>22.228782479108474</v>
      </c>
      <c r="D405" s="21">
        <f t="shared" ca="1" si="56"/>
        <v>0.37997732512542082</v>
      </c>
      <c r="F405">
        <f t="shared" si="57"/>
        <v>0.3990000000000003</v>
      </c>
      <c r="G405">
        <f t="shared" ca="1" si="58"/>
        <v>8.2495864674547739E-2</v>
      </c>
      <c r="H405">
        <f t="shared" ca="1" si="60"/>
        <v>8.2499469654385899E-2</v>
      </c>
      <c r="I405">
        <f t="shared" ca="1" si="61"/>
        <v>1.1129583113964028E-2</v>
      </c>
      <c r="J405" s="5">
        <f t="shared" ca="1" si="62"/>
        <v>7.1369886540421867E-2</v>
      </c>
    </row>
    <row r="406" spans="1:10" x14ac:dyDescent="0.2">
      <c r="A406">
        <f t="shared" ca="1" si="54"/>
        <v>0.96565093735439989</v>
      </c>
      <c r="B406">
        <f t="shared" ca="1" si="55"/>
        <v>1.820399915563325</v>
      </c>
      <c r="C406">
        <f t="shared" ca="1" si="59"/>
        <v>24.049182394671799</v>
      </c>
      <c r="D406" s="21">
        <f t="shared" ca="1" si="56"/>
        <v>7.6087867173743232E-2</v>
      </c>
      <c r="F406">
        <f t="shared" si="57"/>
        <v>0.4000000000000003</v>
      </c>
      <c r="G406">
        <f t="shared" ca="1" si="58"/>
        <v>8.3484532376720266E-2</v>
      </c>
      <c r="H406">
        <f t="shared" ca="1" si="60"/>
        <v>8.3488186429858224E-2</v>
      </c>
      <c r="I406">
        <f t="shared" ca="1" si="61"/>
        <v>1.1141631469312347E-2</v>
      </c>
      <c r="J406" s="5">
        <f t="shared" ca="1" si="62"/>
        <v>7.2346554960545872E-2</v>
      </c>
    </row>
    <row r="407" spans="1:10" x14ac:dyDescent="0.2">
      <c r="A407">
        <f t="shared" ca="1" si="54"/>
        <v>0.89511186377584062</v>
      </c>
      <c r="B407">
        <f t="shared" ca="1" si="55"/>
        <v>1.2541808673007269</v>
      </c>
      <c r="C407">
        <f t="shared" ca="1" si="59"/>
        <v>25.303363261972525</v>
      </c>
      <c r="D407" s="21">
        <f t="shared" ca="1" si="56"/>
        <v>0.18169544782221744</v>
      </c>
      <c r="F407">
        <f t="shared" si="57"/>
        <v>0.4010000000000003</v>
      </c>
      <c r="G407">
        <f t="shared" ca="1" si="58"/>
        <v>8.9242506007959438E-2</v>
      </c>
      <c r="H407">
        <f t="shared" ca="1" si="60"/>
        <v>8.9246447596773554E-2</v>
      </c>
      <c r="I407">
        <f t="shared" ca="1" si="61"/>
        <v>1.1207019076080103E-2</v>
      </c>
      <c r="J407" s="5">
        <f t="shared" ca="1" si="62"/>
        <v>7.8039428520693455E-2</v>
      </c>
    </row>
    <row r="408" spans="1:10" x14ac:dyDescent="0.2">
      <c r="A408">
        <f t="shared" ca="1" si="54"/>
        <v>0.47521880360238866</v>
      </c>
      <c r="B408">
        <f t="shared" ca="1" si="55"/>
        <v>-6.215724871741634E-2</v>
      </c>
      <c r="C408">
        <f t="shared" ca="1" si="59"/>
        <v>25.241206013255109</v>
      </c>
      <c r="D408" s="21">
        <f t="shared" ca="1" si="56"/>
        <v>0.39817236283819579</v>
      </c>
      <c r="F408">
        <f t="shared" si="57"/>
        <v>0.4020000000000003</v>
      </c>
      <c r="G408">
        <f t="shared" ca="1" si="58"/>
        <v>9.3209451546904021E-2</v>
      </c>
      <c r="H408">
        <f t="shared" ca="1" si="60"/>
        <v>9.3213591090489573E-2</v>
      </c>
      <c r="I408">
        <f t="shared" ca="1" si="61"/>
        <v>1.1252624084022106E-2</v>
      </c>
      <c r="J408" s="5">
        <f t="shared" ca="1" si="62"/>
        <v>8.1960967006467461E-2</v>
      </c>
    </row>
    <row r="409" spans="1:10" x14ac:dyDescent="0.2">
      <c r="A409">
        <f t="shared" ca="1" si="54"/>
        <v>0.20089751983920923</v>
      </c>
      <c r="B409">
        <f t="shared" ca="1" si="55"/>
        <v>-0.83841968126160893</v>
      </c>
      <c r="C409">
        <f t="shared" ca="1" si="59"/>
        <v>24.4027863319935</v>
      </c>
      <c r="D409" s="21">
        <f t="shared" ca="1" si="56"/>
        <v>0.28071585478970007</v>
      </c>
      <c r="F409">
        <f t="shared" si="57"/>
        <v>0.4030000000000003</v>
      </c>
      <c r="G409">
        <f t="shared" ca="1" si="58"/>
        <v>9.3013581916275567E-2</v>
      </c>
      <c r="H409">
        <f t="shared" ca="1" si="60"/>
        <v>9.3017711252343913E-2</v>
      </c>
      <c r="I409">
        <f t="shared" ca="1" si="61"/>
        <v>1.1251481342663482E-2</v>
      </c>
      <c r="J409" s="5">
        <f t="shared" ca="1" si="62"/>
        <v>8.1766229909680438E-2</v>
      </c>
    </row>
    <row r="410" spans="1:10" x14ac:dyDescent="0.2">
      <c r="A410">
        <f t="shared" ca="1" si="54"/>
        <v>0.46198675927426303</v>
      </c>
      <c r="B410">
        <f t="shared" ca="1" si="55"/>
        <v>-9.5429710051871217E-2</v>
      </c>
      <c r="C410">
        <f t="shared" ca="1" si="59"/>
        <v>24.307356621941629</v>
      </c>
      <c r="D410" s="21">
        <f t="shared" ca="1" si="56"/>
        <v>0.39712986020731578</v>
      </c>
      <c r="F410">
        <f t="shared" si="57"/>
        <v>0.4040000000000003</v>
      </c>
      <c r="G410">
        <f t="shared" ca="1" si="58"/>
        <v>9.0363097255521996E-2</v>
      </c>
      <c r="H410">
        <f t="shared" ca="1" si="60"/>
        <v>9.0367093653319588E-2</v>
      </c>
      <c r="I410">
        <f t="shared" ca="1" si="61"/>
        <v>1.1222755734326437E-2</v>
      </c>
      <c r="J410" s="5">
        <f t="shared" ca="1" si="62"/>
        <v>7.9144337918993155E-2</v>
      </c>
    </row>
    <row r="411" spans="1:10" x14ac:dyDescent="0.2">
      <c r="A411">
        <f t="shared" ca="1" si="54"/>
        <v>0.93710044669101422</v>
      </c>
      <c r="B411">
        <f t="shared" ca="1" si="55"/>
        <v>1.5308797831683116</v>
      </c>
      <c r="C411">
        <f t="shared" ca="1" si="59"/>
        <v>25.838236405109942</v>
      </c>
      <c r="D411" s="21">
        <f t="shared" ca="1" si="56"/>
        <v>0.12359626060001433</v>
      </c>
      <c r="F411">
        <f t="shared" si="57"/>
        <v>0.4050000000000003</v>
      </c>
      <c r="G411">
        <f t="shared" ca="1" si="58"/>
        <v>9.0062300745533494E-2</v>
      </c>
      <c r="H411">
        <f t="shared" ca="1" si="60"/>
        <v>9.0066281703740869E-2</v>
      </c>
      <c r="I411">
        <f t="shared" ca="1" si="61"/>
        <v>1.1220435386217151E-2</v>
      </c>
      <c r="J411" s="5">
        <f t="shared" ca="1" si="62"/>
        <v>7.8845846317523713E-2</v>
      </c>
    </row>
    <row r="412" spans="1:10" x14ac:dyDescent="0.2">
      <c r="A412">
        <f t="shared" ca="1" si="54"/>
        <v>0.50424471127578729</v>
      </c>
      <c r="B412">
        <f t="shared" ca="1" si="55"/>
        <v>1.0640114062938069E-2</v>
      </c>
      <c r="C412">
        <f t="shared" ca="1" si="59"/>
        <v>25.84887651917288</v>
      </c>
      <c r="D412" s="21">
        <f t="shared" ca="1" si="56"/>
        <v>0.39891969850840975</v>
      </c>
      <c r="F412">
        <f t="shared" si="57"/>
        <v>0.40600000000000031</v>
      </c>
      <c r="G412">
        <f t="shared" ca="1" si="58"/>
        <v>9.4904119361226849E-2</v>
      </c>
      <c r="H412">
        <f t="shared" ca="1" si="60"/>
        <v>9.4908342014287064E-2</v>
      </c>
      <c r="I412">
        <f t="shared" ca="1" si="61"/>
        <v>1.1275957123138973E-2</v>
      </c>
      <c r="J412" s="5">
        <f t="shared" ca="1" si="62"/>
        <v>8.363238489114809E-2</v>
      </c>
    </row>
    <row r="413" spans="1:10" x14ac:dyDescent="0.2">
      <c r="A413">
        <f t="shared" ca="1" si="54"/>
        <v>0.95183204247578546</v>
      </c>
      <c r="B413">
        <f t="shared" ca="1" si="55"/>
        <v>1.6628827148248078</v>
      </c>
      <c r="C413">
        <f t="shared" ca="1" si="59"/>
        <v>27.511759233997687</v>
      </c>
      <c r="D413" s="21">
        <f t="shared" ca="1" si="56"/>
        <v>0.10010576570829982</v>
      </c>
      <c r="F413">
        <f t="shared" si="57"/>
        <v>0.40700000000000031</v>
      </c>
      <c r="G413">
        <f t="shared" ca="1" si="58"/>
        <v>9.4938274236535392E-2</v>
      </c>
      <c r="H413">
        <f t="shared" ca="1" si="60"/>
        <v>9.4942498175088499E-2</v>
      </c>
      <c r="I413">
        <f t="shared" ca="1" si="61"/>
        <v>1.1277407834451469E-2</v>
      </c>
      <c r="J413" s="5">
        <f t="shared" ca="1" si="62"/>
        <v>8.366509034063703E-2</v>
      </c>
    </row>
    <row r="414" spans="1:10" x14ac:dyDescent="0.2">
      <c r="A414">
        <f t="shared" ca="1" si="54"/>
        <v>0.89390266170633648</v>
      </c>
      <c r="B414">
        <f t="shared" ca="1" si="55"/>
        <v>1.2475533355635655</v>
      </c>
      <c r="C414">
        <f t="shared" ca="1" si="59"/>
        <v>28.759312569561253</v>
      </c>
      <c r="D414" s="21">
        <f t="shared" ca="1" si="56"/>
        <v>0.18320799337349489</v>
      </c>
      <c r="F414">
        <f t="shared" si="57"/>
        <v>0.40800000000000031</v>
      </c>
      <c r="G414">
        <f t="shared" ca="1" si="58"/>
        <v>0.10019701433048628</v>
      </c>
      <c r="H414">
        <f t="shared" ca="1" si="60"/>
        <v>0.10020150078584163</v>
      </c>
      <c r="I414">
        <f t="shared" ca="1" si="61"/>
        <v>1.1337943295510517E-2</v>
      </c>
      <c r="J414" s="5">
        <f t="shared" ca="1" si="62"/>
        <v>8.8863557490331105E-2</v>
      </c>
    </row>
    <row r="415" spans="1:10" x14ac:dyDescent="0.2">
      <c r="A415">
        <f t="shared" ca="1" si="54"/>
        <v>0.53624370392358012</v>
      </c>
      <c r="B415">
        <f t="shared" ca="1" si="55"/>
        <v>9.0974828365530586E-2</v>
      </c>
      <c r="C415">
        <f t="shared" ca="1" si="59"/>
        <v>28.850287397926785</v>
      </c>
      <c r="D415" s="21">
        <f t="shared" ca="1" si="56"/>
        <v>0.39729478477996755</v>
      </c>
      <c r="F415">
        <f t="shared" si="57"/>
        <v>0.40900000000000031</v>
      </c>
      <c r="G415">
        <f t="shared" ca="1" si="58"/>
        <v>0.10414190742567596</v>
      </c>
      <c r="H415">
        <f t="shared" ca="1" si="60"/>
        <v>0.10414659067868426</v>
      </c>
      <c r="I415">
        <f t="shared" ca="1" si="61"/>
        <v>1.1383842490551794E-2</v>
      </c>
      <c r="J415" s="5">
        <f t="shared" ca="1" si="62"/>
        <v>9.276274818813246E-2</v>
      </c>
    </row>
    <row r="416" spans="1:10" x14ac:dyDescent="0.2">
      <c r="A416">
        <f t="shared" ca="1" si="54"/>
        <v>0.99676257640874943</v>
      </c>
      <c r="B416">
        <f t="shared" ca="1" si="55"/>
        <v>2.7227120188058938</v>
      </c>
      <c r="C416">
        <f t="shared" ca="1" si="59"/>
        <v>31.572999416732678</v>
      </c>
      <c r="D416" s="21">
        <f t="shared" ca="1" si="56"/>
        <v>9.798569220429456E-3</v>
      </c>
      <c r="F416">
        <f t="shared" si="57"/>
        <v>0.41000000000000031</v>
      </c>
      <c r="G416">
        <f t="shared" ca="1" si="58"/>
        <v>0.10442916653923616</v>
      </c>
      <c r="H416">
        <f t="shared" ca="1" si="60"/>
        <v>0.10443386368699435</v>
      </c>
      <c r="I416">
        <f t="shared" ca="1" si="61"/>
        <v>1.1388199780367661E-2</v>
      </c>
      <c r="J416" s="5">
        <f t="shared" ca="1" si="62"/>
        <v>9.3045663906626691E-2</v>
      </c>
    </row>
    <row r="417" spans="1:10" x14ac:dyDescent="0.2">
      <c r="A417">
        <f t="shared" ca="1" si="54"/>
        <v>0.51778123609554616</v>
      </c>
      <c r="B417">
        <f t="shared" ca="1" si="55"/>
        <v>4.458571663924029E-2</v>
      </c>
      <c r="C417">
        <f t="shared" ca="1" si="59"/>
        <v>31.617585133371918</v>
      </c>
      <c r="D417" s="21">
        <f t="shared" ca="1" si="56"/>
        <v>0.39854595148566152</v>
      </c>
      <c r="F417">
        <f t="shared" si="57"/>
        <v>0.41100000000000031</v>
      </c>
      <c r="G417">
        <f t="shared" ca="1" si="58"/>
        <v>0.11303826455623621</v>
      </c>
      <c r="H417">
        <f t="shared" ca="1" si="60"/>
        <v>0.11304339169276748</v>
      </c>
      <c r="I417">
        <f t="shared" ca="1" si="61"/>
        <v>1.1487766467511337E-2</v>
      </c>
      <c r="J417" s="5">
        <f t="shared" ca="1" si="62"/>
        <v>0.10155562522525614</v>
      </c>
    </row>
    <row r="418" spans="1:10" x14ac:dyDescent="0.2">
      <c r="A418">
        <f t="shared" ca="1" si="54"/>
        <v>0.1827128996752132</v>
      </c>
      <c r="B418">
        <f t="shared" ca="1" si="55"/>
        <v>-0.90507472836243885</v>
      </c>
      <c r="C418">
        <f t="shared" ca="1" si="59"/>
        <v>30.712510405009478</v>
      </c>
      <c r="D418" s="21">
        <f t="shared" ca="1" si="56"/>
        <v>0.26486933100165266</v>
      </c>
      <c r="F418">
        <f t="shared" si="57"/>
        <v>0.41200000000000031</v>
      </c>
      <c r="G418">
        <f t="shared" ca="1" si="58"/>
        <v>0.11317794616133355</v>
      </c>
      <c r="H418">
        <f t="shared" ca="1" si="60"/>
        <v>0.11318307976928906</v>
      </c>
      <c r="I418">
        <f t="shared" ca="1" si="61"/>
        <v>1.1490477813186822E-2</v>
      </c>
      <c r="J418" s="5">
        <f t="shared" ca="1" si="62"/>
        <v>0.10169260195610223</v>
      </c>
    </row>
    <row r="419" spans="1:10" x14ac:dyDescent="0.2">
      <c r="A419">
        <f t="shared" ca="1" si="54"/>
        <v>0.60337846566388942</v>
      </c>
      <c r="B419">
        <f t="shared" ca="1" si="55"/>
        <v>0.26210165784822859</v>
      </c>
      <c r="C419">
        <f t="shared" ca="1" si="59"/>
        <v>30.974612062857705</v>
      </c>
      <c r="D419" s="21">
        <f t="shared" ca="1" si="56"/>
        <v>0.38547182608772157</v>
      </c>
      <c r="F419">
        <f t="shared" si="57"/>
        <v>0.41300000000000031</v>
      </c>
      <c r="G419">
        <f t="shared" ca="1" si="58"/>
        <v>0.11031467393723871</v>
      </c>
      <c r="H419">
        <f t="shared" ca="1" si="60"/>
        <v>0.11031966386702861</v>
      </c>
      <c r="I419">
        <f t="shared" ca="1" si="61"/>
        <v>1.14587264894381E-2</v>
      </c>
      <c r="J419" s="5">
        <f t="shared" ca="1" si="62"/>
        <v>9.886093737759051E-2</v>
      </c>
    </row>
    <row r="420" spans="1:10" x14ac:dyDescent="0.2">
      <c r="A420">
        <f t="shared" ca="1" si="54"/>
        <v>0.40543405432036694</v>
      </c>
      <c r="B420">
        <f t="shared" ca="1" si="55"/>
        <v>-0.23930626386429849</v>
      </c>
      <c r="C420">
        <f t="shared" ca="1" si="59"/>
        <v>30.735305798993405</v>
      </c>
      <c r="D420" s="21">
        <f t="shared" ca="1" si="56"/>
        <v>0.38768106408494013</v>
      </c>
      <c r="F420">
        <f t="shared" si="57"/>
        <v>0.41400000000000031</v>
      </c>
      <c r="G420">
        <f t="shared" ca="1" si="58"/>
        <v>0.11114243929853899</v>
      </c>
      <c r="H420">
        <f t="shared" ca="1" si="60"/>
        <v>0.11114747011794845</v>
      </c>
      <c r="I420">
        <f t="shared" ca="1" si="61"/>
        <v>1.1469317390276923E-2</v>
      </c>
      <c r="J420" s="5">
        <f t="shared" ca="1" si="62"/>
        <v>9.9678152727671526E-2</v>
      </c>
    </row>
    <row r="421" spans="1:10" x14ac:dyDescent="0.2">
      <c r="A421">
        <f t="shared" ca="1" si="54"/>
        <v>0.73775870491364726</v>
      </c>
      <c r="B421">
        <f t="shared" ca="1" si="55"/>
        <v>0.63645087514104881</v>
      </c>
      <c r="C421">
        <f t="shared" ca="1" si="59"/>
        <v>31.371756674134453</v>
      </c>
      <c r="D421" s="21">
        <f t="shared" ca="1" si="56"/>
        <v>0.32579941075070862</v>
      </c>
      <c r="F421">
        <f t="shared" si="57"/>
        <v>0.41500000000000031</v>
      </c>
      <c r="G421">
        <f t="shared" ca="1" si="58"/>
        <v>0.11038461009422915</v>
      </c>
      <c r="H421">
        <f t="shared" ca="1" si="60"/>
        <v>0.11038960251878023</v>
      </c>
      <c r="I421">
        <f t="shared" ca="1" si="61"/>
        <v>1.1461730047531355E-2</v>
      </c>
      <c r="J421" s="5">
        <f t="shared" ca="1" si="62"/>
        <v>9.8927872471248873E-2</v>
      </c>
    </row>
    <row r="422" spans="1:10" x14ac:dyDescent="0.2">
      <c r="A422">
        <f t="shared" ca="1" si="54"/>
        <v>1.5624949131682109E-2</v>
      </c>
      <c r="B422">
        <f t="shared" ca="1" si="55"/>
        <v>-2.1538759910084559</v>
      </c>
      <c r="C422">
        <f t="shared" ca="1" si="59"/>
        <v>29.217880683125998</v>
      </c>
      <c r="D422" s="21">
        <f t="shared" ca="1" si="56"/>
        <v>3.9221530891898032E-2</v>
      </c>
      <c r="F422">
        <f t="shared" si="57"/>
        <v>0.41600000000000031</v>
      </c>
      <c r="G422">
        <f t="shared" ca="1" si="58"/>
        <v>0.11239610544186779</v>
      </c>
      <c r="H422">
        <f t="shared" ca="1" si="60"/>
        <v>0.11240119794278151</v>
      </c>
      <c r="I422">
        <f t="shared" ca="1" si="61"/>
        <v>1.1485912658982415E-2</v>
      </c>
      <c r="J422" s="5">
        <f t="shared" ca="1" si="62"/>
        <v>0.1009152852837991</v>
      </c>
    </row>
    <row r="423" spans="1:10" x14ac:dyDescent="0.2">
      <c r="A423">
        <f t="shared" ca="1" si="54"/>
        <v>0.40622183942871171</v>
      </c>
      <c r="B423">
        <f t="shared" ca="1" si="55"/>
        <v>-0.23727471204855402</v>
      </c>
      <c r="C423">
        <f t="shared" ca="1" si="59"/>
        <v>28.980605971077445</v>
      </c>
      <c r="D423" s="21">
        <f t="shared" ca="1" si="56"/>
        <v>0.38786878571824862</v>
      </c>
      <c r="F423">
        <f t="shared" si="57"/>
        <v>0.41700000000000031</v>
      </c>
      <c r="G423">
        <f t="shared" ca="1" si="58"/>
        <v>0.10558405250767015</v>
      </c>
      <c r="H423">
        <f t="shared" ca="1" si="60"/>
        <v>0.10558880389384817</v>
      </c>
      <c r="I423">
        <f t="shared" ca="1" si="61"/>
        <v>1.1409029968533451E-2</v>
      </c>
      <c r="J423" s="5">
        <f t="shared" ca="1" si="62"/>
        <v>9.4179773925314722E-2</v>
      </c>
    </row>
    <row r="424" spans="1:10" x14ac:dyDescent="0.2">
      <c r="A424">
        <f t="shared" ca="1" si="54"/>
        <v>0.72952435494957979</v>
      </c>
      <c r="B424">
        <f t="shared" ca="1" si="55"/>
        <v>0.61137508953130093</v>
      </c>
      <c r="C424">
        <f t="shared" ca="1" si="59"/>
        <v>29.591981060608745</v>
      </c>
      <c r="D424" s="21">
        <f t="shared" ca="1" si="56"/>
        <v>0.33093665939732564</v>
      </c>
      <c r="F424">
        <f t="shared" si="57"/>
        <v>0.41800000000000032</v>
      </c>
      <c r="G424">
        <f t="shared" ca="1" si="58"/>
        <v>0.10483320312396763</v>
      </c>
      <c r="H424">
        <f t="shared" ca="1" si="60"/>
        <v>0.10483791649222476</v>
      </c>
      <c r="I424">
        <f t="shared" ca="1" si="61"/>
        <v>1.1401555755095563E-2</v>
      </c>
      <c r="J424" s="5">
        <f t="shared" ca="1" si="62"/>
        <v>9.3436360737129201E-2</v>
      </c>
    </row>
    <row r="425" spans="1:10" x14ac:dyDescent="0.2">
      <c r="A425">
        <f t="shared" ca="1" si="54"/>
        <v>0.20739569338136565</v>
      </c>
      <c r="B425">
        <f t="shared" ca="1" si="55"/>
        <v>-0.81549087311195878</v>
      </c>
      <c r="C425">
        <f t="shared" ca="1" si="59"/>
        <v>28.776490187496787</v>
      </c>
      <c r="D425" s="21">
        <f t="shared" ca="1" si="56"/>
        <v>0.28608931827166223</v>
      </c>
      <c r="F425">
        <f t="shared" si="57"/>
        <v>0.41900000000000032</v>
      </c>
      <c r="G425">
        <f t="shared" ca="1" si="58"/>
        <v>0.10676596095256695</v>
      </c>
      <c r="H425">
        <f t="shared" ca="1" si="60"/>
        <v>0.10677077048818381</v>
      </c>
      <c r="I425">
        <f t="shared" ca="1" si="61"/>
        <v>1.1424705431215791E-2</v>
      </c>
      <c r="J425" s="5">
        <f t="shared" ca="1" si="62"/>
        <v>9.5346065056968021E-2</v>
      </c>
    </row>
    <row r="426" spans="1:10" x14ac:dyDescent="0.2">
      <c r="A426">
        <f t="shared" ca="1" si="54"/>
        <v>0.75869064047685997</v>
      </c>
      <c r="B426">
        <f t="shared" ca="1" si="55"/>
        <v>0.70209692634223686</v>
      </c>
      <c r="C426">
        <f t="shared" ca="1" si="59"/>
        <v>29.478587113839023</v>
      </c>
      <c r="D426" s="21">
        <f t="shared" ca="1" si="56"/>
        <v>0.31179524264308489</v>
      </c>
      <c r="F426">
        <f t="shared" si="57"/>
        <v>0.42000000000000032</v>
      </c>
      <c r="G426">
        <f t="shared" ca="1" si="58"/>
        <v>0.10418660475524343</v>
      </c>
      <c r="H426">
        <f t="shared" ca="1" si="60"/>
        <v>0.10419128484102184</v>
      </c>
      <c r="I426">
        <f t="shared" ca="1" si="61"/>
        <v>1.1396363862041568E-2</v>
      </c>
      <c r="J426" s="5">
        <f t="shared" ca="1" si="62"/>
        <v>9.2794920978980275E-2</v>
      </c>
    </row>
    <row r="427" spans="1:10" x14ac:dyDescent="0.2">
      <c r="A427">
        <f t="shared" ca="1" si="54"/>
        <v>0.15427995514475368</v>
      </c>
      <c r="B427">
        <f t="shared" ca="1" si="55"/>
        <v>-1.0182484278316228</v>
      </c>
      <c r="C427">
        <f t="shared" ca="1" si="59"/>
        <v>28.4603386860074</v>
      </c>
      <c r="D427" s="21">
        <f t="shared" ca="1" si="56"/>
        <v>0.23755562709254921</v>
      </c>
      <c r="F427">
        <f t="shared" si="57"/>
        <v>0.42100000000000032</v>
      </c>
      <c r="G427">
        <f t="shared" ca="1" si="58"/>
        <v>0.10640630053449916</v>
      </c>
      <c r="H427">
        <f t="shared" ca="1" si="60"/>
        <v>0.10641109113798268</v>
      </c>
      <c r="I427">
        <f t="shared" ca="1" si="61"/>
        <v>1.142277958078481E-2</v>
      </c>
      <c r="J427" s="5">
        <f t="shared" ca="1" si="62"/>
        <v>9.4988311557197863E-2</v>
      </c>
    </row>
    <row r="428" spans="1:10" x14ac:dyDescent="0.2">
      <c r="A428">
        <f t="shared" ca="1" si="54"/>
        <v>0.7306325366472467</v>
      </c>
      <c r="B428">
        <f t="shared" ca="1" si="55"/>
        <v>0.61472715001023426</v>
      </c>
      <c r="C428">
        <f t="shared" ca="1" si="59"/>
        <v>29.075065836017636</v>
      </c>
      <c r="D428" s="21">
        <f t="shared" ca="1" si="56"/>
        <v>0.33025728800279741</v>
      </c>
      <c r="F428">
        <f t="shared" si="57"/>
        <v>0.42200000000000032</v>
      </c>
      <c r="G428">
        <f t="shared" ca="1" si="58"/>
        <v>0.10318583667314742</v>
      </c>
      <c r="H428">
        <f t="shared" ca="1" si="60"/>
        <v>0.10319046577303537</v>
      </c>
      <c r="I428">
        <f t="shared" ca="1" si="61"/>
        <v>1.1387139291112895E-2</v>
      </c>
      <c r="J428" s="5">
        <f t="shared" ca="1" si="62"/>
        <v>9.1803326481922465E-2</v>
      </c>
    </row>
    <row r="429" spans="1:10" x14ac:dyDescent="0.2">
      <c r="A429">
        <f t="shared" ca="1" si="54"/>
        <v>0.68527434914285201</v>
      </c>
      <c r="B429">
        <f t="shared" ca="1" si="55"/>
        <v>0.48249929133199304</v>
      </c>
      <c r="C429">
        <f t="shared" ca="1" si="59"/>
        <v>29.55756512734963</v>
      </c>
      <c r="D429" s="21">
        <f t="shared" ca="1" si="56"/>
        <v>0.35510515706969537</v>
      </c>
      <c r="F429">
        <f t="shared" si="57"/>
        <v>0.42300000000000032</v>
      </c>
      <c r="G429">
        <f t="shared" ca="1" si="58"/>
        <v>0.10512935884613811</v>
      </c>
      <c r="H429">
        <f t="shared" ca="1" si="60"/>
        <v>0.10513408466003439</v>
      </c>
      <c r="I429">
        <f t="shared" ca="1" si="61"/>
        <v>1.1410380647157985E-2</v>
      </c>
      <c r="J429" s="5">
        <f t="shared" ca="1" si="62"/>
        <v>9.3723704012876413E-2</v>
      </c>
    </row>
    <row r="430" spans="1:10" x14ac:dyDescent="0.2">
      <c r="A430">
        <f t="shared" ca="1" si="54"/>
        <v>0.54217162655796414</v>
      </c>
      <c r="B430">
        <f t="shared" ca="1" si="55"/>
        <v>0.10590623524442092</v>
      </c>
      <c r="C430">
        <f t="shared" ca="1" si="59"/>
        <v>29.663471362594052</v>
      </c>
      <c r="D430" s="21">
        <f t="shared" ca="1" si="56"/>
        <v>0.39671124776494171</v>
      </c>
      <c r="F430">
        <f t="shared" si="57"/>
        <v>0.42400000000000032</v>
      </c>
      <c r="G430">
        <f t="shared" ca="1" si="58"/>
        <v>0.10665456637926776</v>
      </c>
      <c r="H430">
        <f t="shared" ca="1" si="60"/>
        <v>0.10665936798159462</v>
      </c>
      <c r="I430">
        <f t="shared" ca="1" si="61"/>
        <v>1.1428889550332244E-2</v>
      </c>
      <c r="J430" s="5">
        <f t="shared" ca="1" si="62"/>
        <v>9.5230478431262366E-2</v>
      </c>
    </row>
    <row r="431" spans="1:10" x14ac:dyDescent="0.2">
      <c r="A431">
        <f t="shared" ca="1" si="54"/>
        <v>0.9730602606622748</v>
      </c>
      <c r="B431">
        <f t="shared" ca="1" si="55"/>
        <v>1.9278042517963163</v>
      </c>
      <c r="C431">
        <f t="shared" ca="1" si="59"/>
        <v>31.591275614390369</v>
      </c>
      <c r="D431" s="21">
        <f t="shared" ca="1" si="56"/>
        <v>6.2215373348849037E-2</v>
      </c>
      <c r="F431">
        <f t="shared" si="57"/>
        <v>0.42500000000000032</v>
      </c>
      <c r="G431">
        <f t="shared" ca="1" si="58"/>
        <v>0.10698878913313913</v>
      </c>
      <c r="H431">
        <f t="shared" ca="1" si="60"/>
        <v>0.10699360696658242</v>
      </c>
      <c r="I431">
        <f t="shared" ca="1" si="61"/>
        <v>1.1433803942485478E-2</v>
      </c>
      <c r="J431" s="5">
        <f t="shared" ca="1" si="62"/>
        <v>9.5559803024096945E-2</v>
      </c>
    </row>
    <row r="432" spans="1:10" x14ac:dyDescent="0.2">
      <c r="A432">
        <f t="shared" ca="1" si="54"/>
        <v>0.9387427870948496</v>
      </c>
      <c r="B432">
        <f t="shared" ca="1" si="55"/>
        <v>1.5443051489202242</v>
      </c>
      <c r="C432">
        <f t="shared" ca="1" si="59"/>
        <v>33.135580763310593</v>
      </c>
      <c r="D432" s="21">
        <f t="shared" ca="1" si="56"/>
        <v>0.12107104829725203</v>
      </c>
      <c r="F432">
        <f t="shared" si="57"/>
        <v>0.42600000000000032</v>
      </c>
      <c r="G432">
        <f t="shared" ca="1" si="58"/>
        <v>0.11308403780788573</v>
      </c>
      <c r="H432">
        <f t="shared" ca="1" si="60"/>
        <v>0.11308915992451886</v>
      </c>
      <c r="I432">
        <f t="shared" ca="1" si="61"/>
        <v>1.1504813098632074E-2</v>
      </c>
      <c r="J432" s="5">
        <f t="shared" ca="1" si="62"/>
        <v>0.10158434682588678</v>
      </c>
    </row>
    <row r="433" spans="1:10" x14ac:dyDescent="0.2">
      <c r="A433">
        <f t="shared" ca="1" si="54"/>
        <v>0.70605874572560112</v>
      </c>
      <c r="B433">
        <f t="shared" ca="1" si="55"/>
        <v>0.54190709542335902</v>
      </c>
      <c r="C433">
        <f t="shared" ca="1" si="59"/>
        <v>33.677487858733954</v>
      </c>
      <c r="D433" s="21">
        <f t="shared" ca="1" si="56"/>
        <v>0.34446245336817283</v>
      </c>
      <c r="F433">
        <f t="shared" si="57"/>
        <v>0.42700000000000032</v>
      </c>
      <c r="G433">
        <f t="shared" ca="1" si="58"/>
        <v>0.11796600697652629</v>
      </c>
      <c r="H433">
        <f t="shared" ca="1" si="60"/>
        <v>0.11797137268143983</v>
      </c>
      <c r="I433">
        <f t="shared" ca="1" si="61"/>
        <v>1.1562232874186E-2</v>
      </c>
      <c r="J433" s="5">
        <f t="shared" ca="1" si="62"/>
        <v>0.10640913980725383</v>
      </c>
    </row>
    <row r="434" spans="1:10" x14ac:dyDescent="0.2">
      <c r="A434">
        <f t="shared" ca="1" si="54"/>
        <v>0.46076034242758146</v>
      </c>
      <c r="B434">
        <f t="shared" ca="1" si="55"/>
        <v>-9.8518371146845529E-2</v>
      </c>
      <c r="C434">
        <f t="shared" ca="1" si="59"/>
        <v>33.578969487587109</v>
      </c>
      <c r="D434" s="21">
        <f t="shared" ca="1" si="56"/>
        <v>0.39701092970478208</v>
      </c>
      <c r="F434">
        <f t="shared" si="57"/>
        <v>0.42800000000000032</v>
      </c>
      <c r="G434">
        <f t="shared" ca="1" si="58"/>
        <v>0.11967778548793459</v>
      </c>
      <c r="H434">
        <f t="shared" ca="1" si="60"/>
        <v>0.1196832362459157</v>
      </c>
      <c r="I434">
        <f t="shared" ca="1" si="61"/>
        <v>1.1583163953314182E-2</v>
      </c>
      <c r="J434" s="5">
        <f t="shared" ca="1" si="62"/>
        <v>0.10810007229260152</v>
      </c>
    </row>
    <row r="435" spans="1:10" x14ac:dyDescent="0.2">
      <c r="A435">
        <f t="shared" ca="1" si="54"/>
        <v>0.29669953412140015</v>
      </c>
      <c r="B435">
        <f t="shared" ca="1" si="55"/>
        <v>-0.53391684334388412</v>
      </c>
      <c r="C435">
        <f t="shared" ca="1" si="59"/>
        <v>33.045052644243228</v>
      </c>
      <c r="D435" s="21">
        <f t="shared" ca="1" si="56"/>
        <v>0.34594615721894678</v>
      </c>
      <c r="F435">
        <f t="shared" si="57"/>
        <v>0.42900000000000033</v>
      </c>
      <c r="G435">
        <f t="shared" ca="1" si="58"/>
        <v>0.11936429094005079</v>
      </c>
      <c r="H435">
        <f t="shared" ca="1" si="60"/>
        <v>0.11936972547809727</v>
      </c>
      <c r="I435">
        <f t="shared" ca="1" si="61"/>
        <v>1.158065597823156E-2</v>
      </c>
      <c r="J435" s="5">
        <f t="shared" ca="1" si="62"/>
        <v>0.10778906949986571</v>
      </c>
    </row>
    <row r="436" spans="1:10" x14ac:dyDescent="0.2">
      <c r="A436">
        <f t="shared" ca="1" si="54"/>
        <v>0.36816529844003021</v>
      </c>
      <c r="B436">
        <f t="shared" ca="1" si="55"/>
        <v>-0.33671653570203569</v>
      </c>
      <c r="C436">
        <f t="shared" ca="1" si="59"/>
        <v>32.708336108541189</v>
      </c>
      <c r="D436" s="21">
        <f t="shared" ca="1" si="56"/>
        <v>0.37695572229979829</v>
      </c>
      <c r="F436">
        <f t="shared" si="57"/>
        <v>0.43000000000000033</v>
      </c>
      <c r="G436">
        <f t="shared" ca="1" si="58"/>
        <v>0.11767404571782898</v>
      </c>
      <c r="H436">
        <f t="shared" ca="1" si="60"/>
        <v>0.11767939519945547</v>
      </c>
      <c r="I436">
        <f t="shared" ca="1" si="61"/>
        <v>1.156221813178721E-2</v>
      </c>
      <c r="J436" s="5">
        <f t="shared" ca="1" si="62"/>
        <v>0.10611717706766827</v>
      </c>
    </row>
    <row r="437" spans="1:10" x14ac:dyDescent="0.2">
      <c r="A437">
        <f t="shared" ca="1" si="54"/>
        <v>0.50991667438004995</v>
      </c>
      <c r="B437">
        <f t="shared" ca="1" si="55"/>
        <v>2.4859976808022596E-2</v>
      </c>
      <c r="C437">
        <f t="shared" ca="1" si="59"/>
        <v>32.733196085349213</v>
      </c>
      <c r="D437" s="21">
        <f t="shared" ca="1" si="56"/>
        <v>0.39881902260204466</v>
      </c>
      <c r="F437">
        <f t="shared" si="57"/>
        <v>0.43100000000000033</v>
      </c>
      <c r="G437">
        <f t="shared" ca="1" si="58"/>
        <v>0.11660754046030536</v>
      </c>
      <c r="H437">
        <f t="shared" ca="1" si="60"/>
        <v>0.11661283608127569</v>
      </c>
      <c r="I437">
        <f t="shared" ca="1" si="61"/>
        <v>1.1551010629983838E-2</v>
      </c>
      <c r="J437" s="5">
        <f t="shared" ca="1" si="62"/>
        <v>0.10506182545129185</v>
      </c>
    </row>
    <row r="438" spans="1:10" x14ac:dyDescent="0.2">
      <c r="A438">
        <f t="shared" ca="1" si="54"/>
        <v>0.94402769528765773</v>
      </c>
      <c r="B438">
        <f t="shared" ca="1" si="55"/>
        <v>1.5895130532783988</v>
      </c>
      <c r="C438">
        <f t="shared" ca="1" si="59"/>
        <v>34.322709138627616</v>
      </c>
      <c r="D438" s="21">
        <f t="shared" ca="1" si="56"/>
        <v>0.11279148769349237</v>
      </c>
      <c r="F438">
        <f t="shared" si="57"/>
        <v>0.43200000000000033</v>
      </c>
      <c r="G438">
        <f t="shared" ca="1" si="58"/>
        <v>0.11668449000804289</v>
      </c>
      <c r="H438">
        <f t="shared" ca="1" si="60"/>
        <v>0.11668978894695989</v>
      </c>
      <c r="I438">
        <f t="shared" ca="1" si="61"/>
        <v>1.1553016222962452E-2</v>
      </c>
      <c r="J438" s="5">
        <f t="shared" ca="1" si="62"/>
        <v>0.10513677272399743</v>
      </c>
    </row>
    <row r="439" spans="1:10" x14ac:dyDescent="0.2">
      <c r="A439">
        <f t="shared" ca="1" si="54"/>
        <v>0.92751339801658994</v>
      </c>
      <c r="B439">
        <f t="shared" ca="1" si="55"/>
        <v>1.4575188787750797</v>
      </c>
      <c r="C439">
        <f t="shared" ca="1" si="59"/>
        <v>35.780228017402692</v>
      </c>
      <c r="D439" s="21">
        <f t="shared" ca="1" si="56"/>
        <v>0.13791480022014188</v>
      </c>
      <c r="F439">
        <f t="shared" si="57"/>
        <v>0.43300000000000033</v>
      </c>
      <c r="G439">
        <f t="shared" ca="1" si="58"/>
        <v>0.12170905194778051</v>
      </c>
      <c r="H439">
        <f t="shared" ca="1" si="60"/>
        <v>0.1217146015869935</v>
      </c>
      <c r="I439">
        <f t="shared" ca="1" si="61"/>
        <v>1.1612336557530894E-2</v>
      </c>
      <c r="J439" s="5">
        <f t="shared" ca="1" si="62"/>
        <v>0.1101022650294626</v>
      </c>
    </row>
    <row r="440" spans="1:10" x14ac:dyDescent="0.2">
      <c r="A440">
        <f t="shared" ca="1" si="54"/>
        <v>0.29408563538701937</v>
      </c>
      <c r="B440">
        <f t="shared" ca="1" si="55"/>
        <v>-0.54148799394926395</v>
      </c>
      <c r="C440">
        <f t="shared" ca="1" si="59"/>
        <v>35.238740023453431</v>
      </c>
      <c r="D440" s="21">
        <f t="shared" ca="1" si="56"/>
        <v>0.34454066426123359</v>
      </c>
      <c r="F440">
        <f t="shared" si="57"/>
        <v>0.43400000000000033</v>
      </c>
      <c r="G440">
        <f t="shared" ca="1" si="58"/>
        <v>0.1263157300963838</v>
      </c>
      <c r="H440">
        <f t="shared" ca="1" si="60"/>
        <v>0.1263215095164589</v>
      </c>
      <c r="I440">
        <f t="shared" ca="1" si="61"/>
        <v>1.1667090593294059E-2</v>
      </c>
      <c r="J440" s="5">
        <f t="shared" ca="1" si="62"/>
        <v>0.11465441892316484</v>
      </c>
    </row>
    <row r="441" spans="1:10" x14ac:dyDescent="0.2">
      <c r="A441">
        <f t="shared" ca="1" si="54"/>
        <v>0.73671660264023819</v>
      </c>
      <c r="B441">
        <f t="shared" ca="1" si="55"/>
        <v>0.63325552022002951</v>
      </c>
      <c r="C441">
        <f t="shared" ca="1" si="59"/>
        <v>35.871995543673464</v>
      </c>
      <c r="D441" s="21">
        <f t="shared" ca="1" si="56"/>
        <v>0.32646099214838059</v>
      </c>
      <c r="F441">
        <f t="shared" si="57"/>
        <v>0.43500000000000033</v>
      </c>
      <c r="G441">
        <f t="shared" ca="1" si="58"/>
        <v>0.1246008488816354</v>
      </c>
      <c r="H441">
        <f t="shared" ca="1" si="60"/>
        <v>0.12460654197899211</v>
      </c>
      <c r="I441">
        <f t="shared" ca="1" si="61"/>
        <v>1.164823624583141E-2</v>
      </c>
      <c r="J441" s="5">
        <f t="shared" ca="1" si="62"/>
        <v>0.11295830573316071</v>
      </c>
    </row>
    <row r="442" spans="1:10" x14ac:dyDescent="0.2">
      <c r="A442">
        <f t="shared" ca="1" si="54"/>
        <v>0.83683230668248543</v>
      </c>
      <c r="B442">
        <f t="shared" ca="1" si="55"/>
        <v>0.98152200859832717</v>
      </c>
      <c r="C442">
        <f t="shared" ca="1" si="59"/>
        <v>36.853517552271789</v>
      </c>
      <c r="D442" s="21">
        <f t="shared" ca="1" si="56"/>
        <v>0.24644134629298839</v>
      </c>
      <c r="F442">
        <f t="shared" si="57"/>
        <v>0.43600000000000033</v>
      </c>
      <c r="G442">
        <f t="shared" ca="1" si="58"/>
        <v>0.12660081858220001</v>
      </c>
      <c r="H442">
        <f t="shared" ca="1" si="60"/>
        <v>0.12660661110956431</v>
      </c>
      <c r="I442">
        <f t="shared" ca="1" si="61"/>
        <v>1.1672694410193953E-2</v>
      </c>
      <c r="J442" s="5">
        <f t="shared" ca="1" si="62"/>
        <v>0.11493391669937036</v>
      </c>
    </row>
    <row r="443" spans="1:10" x14ac:dyDescent="0.2">
      <c r="A443">
        <f t="shared" ca="1" si="54"/>
        <v>0.13535731836624842</v>
      </c>
      <c r="B443">
        <f t="shared" ca="1" si="55"/>
        <v>-1.1014183176537382</v>
      </c>
      <c r="C443">
        <f t="shared" ca="1" si="59"/>
        <v>35.752099234618051</v>
      </c>
      <c r="D443" s="21">
        <f t="shared" ca="1" si="56"/>
        <v>0.21751234130384539</v>
      </c>
      <c r="F443">
        <f t="shared" si="57"/>
        <v>0.43700000000000033</v>
      </c>
      <c r="G443">
        <f t="shared" ca="1" si="58"/>
        <v>0.12970184856830555</v>
      </c>
      <c r="H443">
        <f t="shared" ca="1" si="60"/>
        <v>0.12970779556920745</v>
      </c>
      <c r="I443">
        <f t="shared" ca="1" si="61"/>
        <v>1.1710093336549888E-2</v>
      </c>
      <c r="J443" s="5">
        <f t="shared" ca="1" si="62"/>
        <v>0.11799770223265756</v>
      </c>
    </row>
    <row r="444" spans="1:10" x14ac:dyDescent="0.2">
      <c r="A444">
        <f t="shared" ca="1" si="54"/>
        <v>0.99158077175176873</v>
      </c>
      <c r="B444">
        <f t="shared" ca="1" si="55"/>
        <v>2.3902162164135174</v>
      </c>
      <c r="C444">
        <f t="shared" ca="1" si="59"/>
        <v>38.142315451031571</v>
      </c>
      <c r="D444" s="21">
        <f t="shared" ca="1" si="56"/>
        <v>2.2925503141226607E-2</v>
      </c>
      <c r="F444">
        <f t="shared" si="57"/>
        <v>0.43800000000000033</v>
      </c>
      <c r="G444">
        <f t="shared" ca="1" si="58"/>
        <v>0.12621606213380748</v>
      </c>
      <c r="H444">
        <f t="shared" ca="1" si="60"/>
        <v>0.12622183424923389</v>
      </c>
      <c r="I444">
        <f t="shared" ca="1" si="61"/>
        <v>1.1670486782299077E-2</v>
      </c>
      <c r="J444" s="5">
        <f t="shared" ca="1" si="62"/>
        <v>0.11455134746693481</v>
      </c>
    </row>
    <row r="445" spans="1:10" x14ac:dyDescent="0.2">
      <c r="A445">
        <f t="shared" ca="1" si="54"/>
        <v>0.58340012509910533</v>
      </c>
      <c r="B445">
        <f t="shared" ca="1" si="55"/>
        <v>0.21059956753335857</v>
      </c>
      <c r="C445">
        <f t="shared" ca="1" si="59"/>
        <v>38.352915018564929</v>
      </c>
      <c r="D445" s="21">
        <f t="shared" ca="1" si="56"/>
        <v>0.39019267549415426</v>
      </c>
      <c r="F445">
        <f t="shared" si="57"/>
        <v>0.43900000000000033</v>
      </c>
      <c r="G445">
        <f t="shared" ca="1" si="58"/>
        <v>0.13377159009218573</v>
      </c>
      <c r="H445">
        <f t="shared" ca="1" si="60"/>
        <v>0.13377773940994561</v>
      </c>
      <c r="I445">
        <f t="shared" ca="1" si="61"/>
        <v>1.1760149853712695E-2</v>
      </c>
      <c r="J445" s="5">
        <f t="shared" ca="1" si="62"/>
        <v>0.12201758955623292</v>
      </c>
    </row>
    <row r="446" spans="1:10" x14ac:dyDescent="0.2">
      <c r="A446">
        <f t="shared" ca="1" si="54"/>
        <v>0.74114079059976434</v>
      </c>
      <c r="B446">
        <f t="shared" ca="1" si="55"/>
        <v>0.64686639178575744</v>
      </c>
      <c r="C446">
        <f t="shared" ca="1" si="59"/>
        <v>38.999781410350685</v>
      </c>
      <c r="D446" s="21">
        <f t="shared" ca="1" si="56"/>
        <v>0.32362928588965928</v>
      </c>
      <c r="F446">
        <f t="shared" si="57"/>
        <v>0.44000000000000034</v>
      </c>
      <c r="G446">
        <f t="shared" ca="1" si="58"/>
        <v>0.13443415411235271</v>
      </c>
      <c r="H446">
        <f t="shared" ca="1" si="60"/>
        <v>0.13444033594365648</v>
      </c>
      <c r="I446">
        <f t="shared" ca="1" si="61"/>
        <v>1.176910243151433E-2</v>
      </c>
      <c r="J446" s="5">
        <f t="shared" ca="1" si="62"/>
        <v>0.12267123351214215</v>
      </c>
    </row>
    <row r="447" spans="1:10" x14ac:dyDescent="0.2">
      <c r="A447">
        <f t="shared" ca="1" si="54"/>
        <v>0.48848112759794504</v>
      </c>
      <c r="B447">
        <f t="shared" ca="1" si="55"/>
        <v>-2.8877544310707239E-2</v>
      </c>
      <c r="C447">
        <f t="shared" ca="1" si="59"/>
        <v>38.970903866039976</v>
      </c>
      <c r="D447" s="21">
        <f t="shared" ca="1" si="56"/>
        <v>0.39877597358492672</v>
      </c>
      <c r="F447">
        <f t="shared" si="57"/>
        <v>0.44100000000000034</v>
      </c>
      <c r="G447">
        <f t="shared" ca="1" si="58"/>
        <v>0.13647617973466877</v>
      </c>
      <c r="H447">
        <f t="shared" ca="1" si="60"/>
        <v>0.13648246304991993</v>
      </c>
      <c r="I447">
        <f t="shared" ca="1" si="61"/>
        <v>1.1794322015047825E-2</v>
      </c>
      <c r="J447" s="5">
        <f t="shared" ca="1" si="62"/>
        <v>0.12468814103487211</v>
      </c>
    </row>
    <row r="448" spans="1:10" x14ac:dyDescent="0.2">
      <c r="A448">
        <f t="shared" ca="1" si="54"/>
        <v>2.783307979529126E-2</v>
      </c>
      <c r="B448">
        <f t="shared" ca="1" si="55"/>
        <v>-1.9136400843228412</v>
      </c>
      <c r="C448">
        <f t="shared" ca="1" si="59"/>
        <v>37.057263781717133</v>
      </c>
      <c r="D448" s="21">
        <f t="shared" ca="1" si="56"/>
        <v>6.393120348304604E-2</v>
      </c>
      <c r="F448">
        <f t="shared" si="57"/>
        <v>0.44200000000000034</v>
      </c>
      <c r="G448">
        <f t="shared" ca="1" si="58"/>
        <v>0.13638121805156628</v>
      </c>
      <c r="H448">
        <f t="shared" ca="1" si="60"/>
        <v>0.13638749599036065</v>
      </c>
      <c r="I448">
        <f t="shared" ca="1" si="61"/>
        <v>1.1794365432229616E-2</v>
      </c>
      <c r="J448" s="5">
        <f t="shared" ca="1" si="62"/>
        <v>0.12459313055813104</v>
      </c>
    </row>
    <row r="449" spans="1:10" x14ac:dyDescent="0.2">
      <c r="A449">
        <f t="shared" ca="1" si="54"/>
        <v>0.97784832583610481</v>
      </c>
      <c r="B449">
        <f t="shared" ca="1" si="55"/>
        <v>2.0112093525171062</v>
      </c>
      <c r="C449">
        <f t="shared" ca="1" si="59"/>
        <v>39.068473134234239</v>
      </c>
      <c r="D449" s="21">
        <f t="shared" ca="1" si="56"/>
        <v>5.2790709350108912E-2</v>
      </c>
      <c r="F449">
        <f t="shared" si="57"/>
        <v>0.44300000000000034</v>
      </c>
      <c r="G449">
        <f t="shared" ca="1" si="58"/>
        <v>0.13032642138386205</v>
      </c>
      <c r="H449">
        <f t="shared" ca="1" si="60"/>
        <v>0.13033239595250476</v>
      </c>
      <c r="I449">
        <f t="shared" ca="1" si="61"/>
        <v>1.1724321564997734E-2</v>
      </c>
      <c r="J449" s="5">
        <f t="shared" ca="1" si="62"/>
        <v>0.11860807438750702</v>
      </c>
    </row>
    <row r="450" spans="1:10" x14ac:dyDescent="0.2">
      <c r="A450">
        <f t="shared" ca="1" si="54"/>
        <v>0.39503324100522497</v>
      </c>
      <c r="B450">
        <f t="shared" ca="1" si="55"/>
        <v>-0.26622428365652795</v>
      </c>
      <c r="C450">
        <f t="shared" ca="1" si="59"/>
        <v>38.802248850577712</v>
      </c>
      <c r="D450" s="21">
        <f t="shared" ca="1" si="56"/>
        <v>0.38505225839725832</v>
      </c>
      <c r="F450">
        <f t="shared" si="57"/>
        <v>0.44400000000000034</v>
      </c>
      <c r="G450">
        <f t="shared" ca="1" si="58"/>
        <v>0.13668307331186647</v>
      </c>
      <c r="H450">
        <f t="shared" ca="1" si="60"/>
        <v>0.13668936511829607</v>
      </c>
      <c r="I450">
        <f t="shared" ca="1" si="61"/>
        <v>1.180024687429657E-2</v>
      </c>
      <c r="J450" s="5">
        <f t="shared" ca="1" si="62"/>
        <v>0.12488911824399951</v>
      </c>
    </row>
    <row r="451" spans="1:10" x14ac:dyDescent="0.2">
      <c r="A451">
        <f t="shared" ca="1" si="54"/>
        <v>0.20835092823456414</v>
      </c>
      <c r="B451">
        <f t="shared" ca="1" si="55"/>
        <v>-0.81215646521077001</v>
      </c>
      <c r="C451">
        <f t="shared" ca="1" si="59"/>
        <v>37.990092385366943</v>
      </c>
      <c r="D451" s="21">
        <f t="shared" ca="1" si="56"/>
        <v>0.28686671028453103</v>
      </c>
      <c r="F451">
        <f t="shared" si="57"/>
        <v>0.44500000000000034</v>
      </c>
      <c r="G451">
        <f t="shared" ca="1" si="58"/>
        <v>0.13583757217514458</v>
      </c>
      <c r="H451">
        <f t="shared" ca="1" si="60"/>
        <v>0.13584382107698287</v>
      </c>
      <c r="I451">
        <f t="shared" ca="1" si="61"/>
        <v>1.179143685407757E-2</v>
      </c>
      <c r="J451" s="5">
        <f t="shared" ca="1" si="62"/>
        <v>0.12405238422290529</v>
      </c>
    </row>
    <row r="452" spans="1:10" x14ac:dyDescent="0.2">
      <c r="A452">
        <f t="shared" ca="1" si="54"/>
        <v>0.50571500736685082</v>
      </c>
      <c r="B452">
        <f t="shared" ca="1" si="55"/>
        <v>1.4325889060043421E-2</v>
      </c>
      <c r="C452">
        <f t="shared" ca="1" si="59"/>
        <v>38.004418274426989</v>
      </c>
      <c r="D452" s="21">
        <f t="shared" ca="1" si="56"/>
        <v>0.39890134482078698</v>
      </c>
      <c r="F452">
        <f t="shared" si="57"/>
        <v>0.44600000000000034</v>
      </c>
      <c r="G452">
        <f t="shared" ca="1" si="58"/>
        <v>0.13326585275847364</v>
      </c>
      <c r="H452">
        <f t="shared" ca="1" si="60"/>
        <v>0.13327197244837782</v>
      </c>
      <c r="I452">
        <f t="shared" ca="1" si="61"/>
        <v>1.1762309549499783E-2</v>
      </c>
      <c r="J452" s="5">
        <f t="shared" ca="1" si="62"/>
        <v>0.12150966289887805</v>
      </c>
    </row>
    <row r="453" spans="1:10" x14ac:dyDescent="0.2">
      <c r="A453">
        <f t="shared" ca="1" si="54"/>
        <v>0.87580381808473706</v>
      </c>
      <c r="B453">
        <f t="shared" ca="1" si="55"/>
        <v>1.1542629926375474</v>
      </c>
      <c r="C453">
        <f t="shared" ca="1" si="59"/>
        <v>39.158681267064537</v>
      </c>
      <c r="D453" s="21">
        <f t="shared" ca="1" si="56"/>
        <v>0.20492728680199868</v>
      </c>
      <c r="F453">
        <f t="shared" si="57"/>
        <v>0.44700000000000034</v>
      </c>
      <c r="G453">
        <f t="shared" ca="1" si="58"/>
        <v>0.13330782651343057</v>
      </c>
      <c r="H453">
        <f t="shared" ca="1" si="60"/>
        <v>0.13331394769006963</v>
      </c>
      <c r="I453">
        <f t="shared" ca="1" si="61"/>
        <v>1.1763959945991725E-2</v>
      </c>
      <c r="J453" s="5">
        <f t="shared" ca="1" si="62"/>
        <v>0.12154998774407791</v>
      </c>
    </row>
    <row r="454" spans="1:10" x14ac:dyDescent="0.2">
      <c r="A454">
        <f t="shared" ca="1" si="54"/>
        <v>0.43799496565582308</v>
      </c>
      <c r="B454">
        <f t="shared" ca="1" si="55"/>
        <v>-0.15605466657551795</v>
      </c>
      <c r="C454">
        <f t="shared" ca="1" si="59"/>
        <v>39.002626600489016</v>
      </c>
      <c r="D454" s="21">
        <f t="shared" ca="1" si="56"/>
        <v>0.39411400344801839</v>
      </c>
      <c r="F454">
        <f t="shared" si="57"/>
        <v>0.44800000000000034</v>
      </c>
      <c r="G454">
        <f t="shared" ca="1" si="58"/>
        <v>0.13695441347548989</v>
      </c>
      <c r="H454">
        <f t="shared" ca="1" si="60"/>
        <v>0.13696071637087742</v>
      </c>
      <c r="I454">
        <f t="shared" ca="1" si="61"/>
        <v>1.180809975568561E-2</v>
      </c>
      <c r="J454" s="5">
        <f t="shared" ca="1" si="62"/>
        <v>0.12515261661519181</v>
      </c>
    </row>
    <row r="455" spans="1:10" x14ac:dyDescent="0.2">
      <c r="A455">
        <f t="shared" ref="A455:A518" ca="1" si="63">RAND()</f>
        <v>0.66542022387633593</v>
      </c>
      <c r="B455">
        <f t="shared" ref="B455:B518" ca="1" si="64">NORMSINV(A455)</f>
        <v>0.42730175837643597</v>
      </c>
      <c r="C455">
        <f t="shared" ca="1" si="59"/>
        <v>39.429928358865453</v>
      </c>
      <c r="D455" s="21">
        <f t="shared" ref="D455:D518" ca="1" si="65">_xlfn.NORM.DIST(B455,0,1,FALSE)</f>
        <v>0.36413451621882936</v>
      </c>
      <c r="F455">
        <f t="shared" ref="F455:F518" si="66">F454+$M$2/$N$2</f>
        <v>0.44900000000000034</v>
      </c>
      <c r="G455">
        <f t="shared" ref="G455:G518" ca="1" si="67">G454*EXP(-$M$4*$O$2) + $O$4*(1-EXP(-$M$4*$O$2)) + $N$4* SQRT((1-EXP(-2*$M$4*$O$2))/(2*$M$4)) *B454</f>
        <v>0.13645725470641271</v>
      </c>
      <c r="H455">
        <f t="shared" ca="1" si="60"/>
        <v>0.13646353211336357</v>
      </c>
      <c r="I455">
        <f t="shared" ca="1" si="61"/>
        <v>1.1803395304831611E-2</v>
      </c>
      <c r="J455" s="5">
        <f t="shared" ca="1" si="62"/>
        <v>0.12466013680853195</v>
      </c>
    </row>
    <row r="456" spans="1:10" x14ac:dyDescent="0.2">
      <c r="A456">
        <f t="shared" ca="1" si="63"/>
        <v>0.18242552346606589</v>
      </c>
      <c r="B456">
        <f t="shared" ca="1" si="64"/>
        <v>-0.90616023515224375</v>
      </c>
      <c r="C456">
        <f t="shared" ref="C456:C519" ca="1" si="68">B456+C455</f>
        <v>38.523768123713211</v>
      </c>
      <c r="D456" s="21">
        <f t="shared" ca="1" si="65"/>
        <v>0.26460907810836298</v>
      </c>
      <c r="F456">
        <f t="shared" si="66"/>
        <v>0.45000000000000034</v>
      </c>
      <c r="G456">
        <f t="shared" ca="1" si="67"/>
        <v>0.13780478840836149</v>
      </c>
      <c r="H456">
        <f t="shared" ref="H456:H519" ca="1" si="69">H455+($M$6 + $N$6*H455)*$O$2 + $O$6*H455^$P$6*SQRT($O$2)*B455</f>
        <v>0.1378111325648167</v>
      </c>
      <c r="I456">
        <f t="shared" ref="I456:I519" ca="1" si="70">I455*EXP(($M$8-0.5*($N$8^2))*$O$2 + $N$8*SQRT($O$2)*B455)</f>
        <v>1.1820478277695268E-2</v>
      </c>
      <c r="J456" s="5">
        <f t="shared" ref="J456:J519" ca="1" si="71">ABS(H456-I456)</f>
        <v>0.12599065428712142</v>
      </c>
    </row>
    <row r="457" spans="1:10" x14ac:dyDescent="0.2">
      <c r="A457">
        <f t="shared" ca="1" si="63"/>
        <v>3.1240951079984369E-2</v>
      </c>
      <c r="B457">
        <f t="shared" ca="1" si="64"/>
        <v>-1.8628604522350856</v>
      </c>
      <c r="C457">
        <f t="shared" ca="1" si="68"/>
        <v>36.660907671478128</v>
      </c>
      <c r="D457" s="21">
        <f t="shared" ca="1" si="65"/>
        <v>7.0364734941045323E-2</v>
      </c>
      <c r="F457">
        <f t="shared" si="66"/>
        <v>0.45100000000000035</v>
      </c>
      <c r="G457">
        <f t="shared" ca="1" si="67"/>
        <v>0.13493562112092727</v>
      </c>
      <c r="H457">
        <f t="shared" ca="1" si="69"/>
        <v>0.13494182118340536</v>
      </c>
      <c r="I457">
        <f t="shared" ca="1" si="70"/>
        <v>1.178777460901383E-2</v>
      </c>
      <c r="J457" s="5">
        <f t="shared" ca="1" si="71"/>
        <v>0.12315404657439154</v>
      </c>
    </row>
    <row r="458" spans="1:10" x14ac:dyDescent="0.2">
      <c r="A458">
        <f t="shared" ca="1" si="63"/>
        <v>0.27119164806373952</v>
      </c>
      <c r="B458">
        <f t="shared" ca="1" si="64"/>
        <v>-0.60921295239399265</v>
      </c>
      <c r="C458">
        <f t="shared" ca="1" si="68"/>
        <v>36.051694719084132</v>
      </c>
      <c r="D458" s="21">
        <f t="shared" ca="1" si="65"/>
        <v>0.33137363158511451</v>
      </c>
      <c r="F458">
        <f t="shared" si="66"/>
        <v>0.45200000000000035</v>
      </c>
      <c r="G458">
        <f t="shared" ca="1" si="67"/>
        <v>0.12904154027320078</v>
      </c>
      <c r="H458">
        <f t="shared" ca="1" si="69"/>
        <v>0.12904744500917284</v>
      </c>
      <c r="I458">
        <f t="shared" ca="1" si="70"/>
        <v>1.171965166540154E-2</v>
      </c>
      <c r="J458" s="5">
        <f t="shared" ca="1" si="71"/>
        <v>0.1173277933437713</v>
      </c>
    </row>
    <row r="459" spans="1:10" x14ac:dyDescent="0.2">
      <c r="A459">
        <f t="shared" ca="1" si="63"/>
        <v>0.64741497875373089</v>
      </c>
      <c r="B459">
        <f t="shared" ca="1" si="64"/>
        <v>0.37835075926711309</v>
      </c>
      <c r="C459">
        <f t="shared" ca="1" si="68"/>
        <v>36.430045478351246</v>
      </c>
      <c r="D459" s="21">
        <f t="shared" ca="1" si="65"/>
        <v>0.37138605357528076</v>
      </c>
      <c r="F459">
        <f t="shared" si="66"/>
        <v>0.45300000000000035</v>
      </c>
      <c r="G459">
        <f t="shared" ca="1" si="67"/>
        <v>0.12711223207574771</v>
      </c>
      <c r="H459">
        <f t="shared" ca="1" si="69"/>
        <v>0.12711803975503116</v>
      </c>
      <c r="I459">
        <f t="shared" ca="1" si="70"/>
        <v>1.1698206761574246E-2</v>
      </c>
      <c r="J459" s="5">
        <f t="shared" ca="1" si="71"/>
        <v>0.11541983299345691</v>
      </c>
    </row>
    <row r="460" spans="1:10" x14ac:dyDescent="0.2">
      <c r="A460">
        <f t="shared" ca="1" si="63"/>
        <v>0.84984961440175788</v>
      </c>
      <c r="B460">
        <f t="shared" ca="1" si="64"/>
        <v>1.0357886127096503</v>
      </c>
      <c r="C460">
        <f t="shared" ca="1" si="68"/>
        <v>37.465834091060898</v>
      </c>
      <c r="D460" s="21">
        <f t="shared" ca="1" si="65"/>
        <v>0.23331459142103039</v>
      </c>
      <c r="F460">
        <f t="shared" si="66"/>
        <v>0.45400000000000035</v>
      </c>
      <c r="G460">
        <f t="shared" ca="1" si="67"/>
        <v>0.12830591132181973</v>
      </c>
      <c r="H460">
        <f t="shared" ca="1" si="69"/>
        <v>0.1283117781047938</v>
      </c>
      <c r="I460">
        <f t="shared" ca="1" si="70"/>
        <v>1.1713324172084882E-2</v>
      </c>
      <c r="J460" s="5">
        <f t="shared" ca="1" si="71"/>
        <v>0.11659845393270891</v>
      </c>
    </row>
    <row r="461" spans="1:10" x14ac:dyDescent="0.2">
      <c r="A461">
        <f t="shared" ca="1" si="63"/>
        <v>0.41726513695831302</v>
      </c>
      <c r="B461">
        <f t="shared" ca="1" si="64"/>
        <v>-0.20889491489824588</v>
      </c>
      <c r="C461">
        <f t="shared" ca="1" si="68"/>
        <v>37.256939176162653</v>
      </c>
      <c r="D461" s="21">
        <f t="shared" ca="1" si="65"/>
        <v>0.39033221234159399</v>
      </c>
      <c r="F461">
        <f t="shared" si="66"/>
        <v>0.45500000000000035</v>
      </c>
      <c r="G461">
        <f t="shared" ca="1" si="67"/>
        <v>0.13157836829710495</v>
      </c>
      <c r="H461">
        <f t="shared" ca="1" si="69"/>
        <v>0.13158439811761186</v>
      </c>
      <c r="I461">
        <f t="shared" ca="1" si="70"/>
        <v>1.1752869965633895E-2</v>
      </c>
      <c r="J461" s="5">
        <f t="shared" ca="1" si="71"/>
        <v>0.11983152815197796</v>
      </c>
    </row>
    <row r="462" spans="1:10" x14ac:dyDescent="0.2">
      <c r="A462">
        <f t="shared" ca="1" si="63"/>
        <v>0.48944542230934918</v>
      </c>
      <c r="B462">
        <f t="shared" ca="1" si="64"/>
        <v>-2.645948994378252E-2</v>
      </c>
      <c r="C462">
        <f t="shared" ca="1" si="68"/>
        <v>37.230479686218871</v>
      </c>
      <c r="D462" s="21">
        <f t="shared" ca="1" si="65"/>
        <v>0.39880265417666477</v>
      </c>
      <c r="F462">
        <f t="shared" si="66"/>
        <v>0.45600000000000035</v>
      </c>
      <c r="G462">
        <f t="shared" ca="1" si="67"/>
        <v>0.13091465992326631</v>
      </c>
      <c r="H462">
        <f t="shared" ca="1" si="69"/>
        <v>0.13092065595509458</v>
      </c>
      <c r="I462">
        <f t="shared" ca="1" si="70"/>
        <v>1.1746224613115011E-2</v>
      </c>
      <c r="J462" s="5">
        <f t="shared" ca="1" si="71"/>
        <v>0.11917443134197957</v>
      </c>
    </row>
    <row r="463" spans="1:10" x14ac:dyDescent="0.2">
      <c r="A463">
        <f t="shared" ca="1" si="63"/>
        <v>0.32219333812144413</v>
      </c>
      <c r="B463">
        <f t="shared" ca="1" si="64"/>
        <v>-0.4615742328228456</v>
      </c>
      <c r="C463">
        <f t="shared" ca="1" si="68"/>
        <v>36.768905453396023</v>
      </c>
      <c r="D463" s="21">
        <f t="shared" ca="1" si="65"/>
        <v>0.3586300513665816</v>
      </c>
      <c r="F463">
        <f t="shared" si="66"/>
        <v>0.45700000000000035</v>
      </c>
      <c r="G463">
        <f t="shared" ca="1" si="67"/>
        <v>0.13082790054133187</v>
      </c>
      <c r="H463">
        <f t="shared" ca="1" si="69"/>
        <v>0.1308338916355504</v>
      </c>
      <c r="I463">
        <f t="shared" ca="1" si="70"/>
        <v>1.1746357672118119E-2</v>
      </c>
      <c r="J463" s="5">
        <f t="shared" ca="1" si="71"/>
        <v>0.11908753396343227</v>
      </c>
    </row>
    <row r="464" spans="1:10" x14ac:dyDescent="0.2">
      <c r="A464">
        <f t="shared" ca="1" si="63"/>
        <v>0.72554801064603558</v>
      </c>
      <c r="B464">
        <f t="shared" ca="1" si="64"/>
        <v>0.59940329730781106</v>
      </c>
      <c r="C464">
        <f t="shared" ca="1" si="68"/>
        <v>37.368308750703832</v>
      </c>
      <c r="D464" s="21">
        <f t="shared" ca="1" si="65"/>
        <v>0.33334386651698472</v>
      </c>
      <c r="F464">
        <f t="shared" si="66"/>
        <v>0.45800000000000035</v>
      </c>
      <c r="G464">
        <f t="shared" ca="1" si="67"/>
        <v>0.12936526499870057</v>
      </c>
      <c r="H464">
        <f t="shared" ca="1" si="69"/>
        <v>0.12937118236142181</v>
      </c>
      <c r="I464">
        <f t="shared" ca="1" si="70"/>
        <v>1.1730339220467371E-2</v>
      </c>
      <c r="J464" s="5">
        <f t="shared" ca="1" si="71"/>
        <v>0.11764084314095444</v>
      </c>
    </row>
    <row r="465" spans="1:10" x14ac:dyDescent="0.2">
      <c r="A465">
        <f t="shared" ca="1" si="63"/>
        <v>0.81594446499643303</v>
      </c>
      <c r="B465">
        <f t="shared" ca="1" si="64"/>
        <v>0.90001725153434931</v>
      </c>
      <c r="C465">
        <f t="shared" ca="1" si="68"/>
        <v>38.268326002238183</v>
      </c>
      <c r="D465" s="21">
        <f t="shared" ca="1" si="65"/>
        <v>0.26608111855028649</v>
      </c>
      <c r="F465">
        <f t="shared" si="66"/>
        <v>0.45900000000000035</v>
      </c>
      <c r="G465">
        <f t="shared" ca="1" si="67"/>
        <v>0.13125771350549581</v>
      </c>
      <c r="H465">
        <f t="shared" ca="1" si="69"/>
        <v>0.1312637248996934</v>
      </c>
      <c r="I465">
        <f t="shared" ca="1" si="70"/>
        <v>1.1753711475331805E-2</v>
      </c>
      <c r="J465" s="5">
        <f t="shared" ca="1" si="71"/>
        <v>0.1195100134243616</v>
      </c>
    </row>
    <row r="466" spans="1:10" x14ac:dyDescent="0.2">
      <c r="A466">
        <f t="shared" ca="1" si="63"/>
        <v>0.21532447392816934</v>
      </c>
      <c r="B466">
        <f t="shared" ca="1" si="64"/>
        <v>-0.78808165007132391</v>
      </c>
      <c r="C466">
        <f t="shared" ca="1" si="68"/>
        <v>37.480244352166856</v>
      </c>
      <c r="D466" s="21">
        <f t="shared" ca="1" si="65"/>
        <v>0.29244610760380474</v>
      </c>
      <c r="F466">
        <f t="shared" si="66"/>
        <v>0.46000000000000035</v>
      </c>
      <c r="G466">
        <f t="shared" ca="1" si="67"/>
        <v>0.13410055003942856</v>
      </c>
      <c r="H466">
        <f t="shared" ca="1" si="69"/>
        <v>0.13410670297549665</v>
      </c>
      <c r="I466">
        <f t="shared" ca="1" si="70"/>
        <v>1.1788331253672535E-2</v>
      </c>
      <c r="J466" s="5">
        <f t="shared" ca="1" si="71"/>
        <v>0.12231837172182411</v>
      </c>
    </row>
    <row r="467" spans="1:10" x14ac:dyDescent="0.2">
      <c r="A467">
        <f t="shared" ca="1" si="63"/>
        <v>0.22204966359148426</v>
      </c>
      <c r="B467">
        <f t="shared" ca="1" si="64"/>
        <v>-0.76528924450681834</v>
      </c>
      <c r="C467">
        <f t="shared" ca="1" si="68"/>
        <v>36.714955107660039</v>
      </c>
      <c r="D467" s="21">
        <f t="shared" ca="1" si="65"/>
        <v>0.29766923842554915</v>
      </c>
      <c r="F467">
        <f t="shared" si="66"/>
        <v>0.46100000000000035</v>
      </c>
      <c r="G467">
        <f t="shared" ca="1" si="67"/>
        <v>0.1316051317599706</v>
      </c>
      <c r="H467">
        <f t="shared" ca="1" si="69"/>
        <v>0.13161115930878992</v>
      </c>
      <c r="I467">
        <f t="shared" ca="1" si="70"/>
        <v>1.1760106898134077E-2</v>
      </c>
      <c r="J467" s="5">
        <f t="shared" ca="1" si="71"/>
        <v>0.11985105241065584</v>
      </c>
    </row>
    <row r="468" spans="1:10" x14ac:dyDescent="0.2">
      <c r="A468">
        <f t="shared" ca="1" si="63"/>
        <v>0.81724277499779174</v>
      </c>
      <c r="B468">
        <f t="shared" ca="1" si="64"/>
        <v>0.90490739313127599</v>
      </c>
      <c r="C468">
        <f t="shared" ca="1" si="68"/>
        <v>37.619862500791314</v>
      </c>
      <c r="D468" s="21">
        <f t="shared" ca="1" si="65"/>
        <v>0.26490944502625391</v>
      </c>
      <c r="F468">
        <f t="shared" si="66"/>
        <v>0.46200000000000035</v>
      </c>
      <c r="G468">
        <f t="shared" ca="1" si="67"/>
        <v>0.12918203532115646</v>
      </c>
      <c r="H468">
        <f t="shared" ca="1" si="69"/>
        <v>0.12918794111138798</v>
      </c>
      <c r="I468">
        <f t="shared" ca="1" si="70"/>
        <v>1.1732795740615237E-2</v>
      </c>
      <c r="J468" s="5">
        <f t="shared" ca="1" si="71"/>
        <v>0.11745514537077274</v>
      </c>
    </row>
    <row r="469" spans="1:10" x14ac:dyDescent="0.2">
      <c r="A469">
        <f t="shared" ca="1" si="63"/>
        <v>0.55141216908937085</v>
      </c>
      <c r="B469">
        <f t="shared" ca="1" si="64"/>
        <v>0.12922999601776911</v>
      </c>
      <c r="C469">
        <f t="shared" ca="1" si="68"/>
        <v>37.749092496809084</v>
      </c>
      <c r="D469" s="21">
        <f t="shared" ca="1" si="65"/>
        <v>0.3956249038408422</v>
      </c>
      <c r="F469">
        <f t="shared" si="66"/>
        <v>0.46300000000000036</v>
      </c>
      <c r="G469">
        <f t="shared" ca="1" si="67"/>
        <v>0.13204054262488957</v>
      </c>
      <c r="H469">
        <f t="shared" ca="1" si="69"/>
        <v>0.13204659075109709</v>
      </c>
      <c r="I469">
        <f t="shared" ca="1" si="70"/>
        <v>1.1767535884642853E-2</v>
      </c>
      <c r="J469" s="5">
        <f t="shared" ca="1" si="71"/>
        <v>0.12027905486645424</v>
      </c>
    </row>
    <row r="470" spans="1:10" x14ac:dyDescent="0.2">
      <c r="A470">
        <f t="shared" ca="1" si="63"/>
        <v>5.1650098139708001E-2</v>
      </c>
      <c r="B470">
        <f t="shared" ca="1" si="64"/>
        <v>-1.6290605746174227</v>
      </c>
      <c r="C470">
        <f t="shared" ca="1" si="68"/>
        <v>36.120031922191664</v>
      </c>
      <c r="D470" s="21">
        <f t="shared" ca="1" si="65"/>
        <v>0.10583672409994453</v>
      </c>
      <c r="F470">
        <f t="shared" si="66"/>
        <v>0.46400000000000036</v>
      </c>
      <c r="G470">
        <f t="shared" ca="1" si="67"/>
        <v>0.13244597942804998</v>
      </c>
      <c r="H470">
        <f t="shared" ca="1" si="69"/>
        <v>0.13245204722145262</v>
      </c>
      <c r="I470">
        <f t="shared" ca="1" si="70"/>
        <v>1.1773464227869828E-2</v>
      </c>
      <c r="J470" s="5">
        <f t="shared" ca="1" si="71"/>
        <v>0.12067858299358279</v>
      </c>
    </row>
    <row r="471" spans="1:10" x14ac:dyDescent="0.2">
      <c r="A471">
        <f t="shared" ca="1" si="63"/>
        <v>2.0798007783691119E-2</v>
      </c>
      <c r="B471">
        <f t="shared" ca="1" si="64"/>
        <v>-2.0375394223166867</v>
      </c>
      <c r="C471">
        <f t="shared" ca="1" si="68"/>
        <v>34.082492499874981</v>
      </c>
      <c r="D471" s="21">
        <f t="shared" ca="1" si="65"/>
        <v>5.0050540105923969E-2</v>
      </c>
      <c r="F471">
        <f t="shared" si="66"/>
        <v>0.46500000000000036</v>
      </c>
      <c r="G471">
        <f t="shared" ca="1" si="67"/>
        <v>0.12729145069651912</v>
      </c>
      <c r="H471">
        <f t="shared" ca="1" si="69"/>
        <v>0.12729726015455675</v>
      </c>
      <c r="I471">
        <f t="shared" ca="1" si="70"/>
        <v>1.1714081475353638E-2</v>
      </c>
      <c r="J471" s="5">
        <f t="shared" ca="1" si="71"/>
        <v>0.11558317867920312</v>
      </c>
    </row>
    <row r="472" spans="1:10" x14ac:dyDescent="0.2">
      <c r="A472">
        <f t="shared" ca="1" si="63"/>
        <v>0.59546226791718992</v>
      </c>
      <c r="B472">
        <f t="shared" ca="1" si="64"/>
        <v>0.24161891508523517</v>
      </c>
      <c r="C472">
        <f t="shared" ca="1" si="68"/>
        <v>34.324111414960214</v>
      </c>
      <c r="D472" s="21">
        <f t="shared" ca="1" si="65"/>
        <v>0.38746553221475516</v>
      </c>
      <c r="F472">
        <f t="shared" si="66"/>
        <v>0.46600000000000036</v>
      </c>
      <c r="G472">
        <f t="shared" ca="1" si="67"/>
        <v>0.1208457784408447</v>
      </c>
      <c r="H472">
        <f t="shared" ca="1" si="69"/>
        <v>0.12085126503163686</v>
      </c>
      <c r="I472">
        <f t="shared" ca="1" si="70"/>
        <v>1.1639952920089439E-2</v>
      </c>
      <c r="J472" s="5">
        <f t="shared" ca="1" si="71"/>
        <v>0.10921131211154742</v>
      </c>
    </row>
    <row r="473" spans="1:10" x14ac:dyDescent="0.2">
      <c r="A473">
        <f t="shared" ca="1" si="63"/>
        <v>0.85243153502677116</v>
      </c>
      <c r="B473">
        <f t="shared" ca="1" si="64"/>
        <v>1.0469190174769079</v>
      </c>
      <c r="C473">
        <f t="shared" ca="1" si="68"/>
        <v>35.371030432437124</v>
      </c>
      <c r="D473" s="21">
        <f t="shared" ca="1" si="65"/>
        <v>0.23062592628532455</v>
      </c>
      <c r="F473">
        <f t="shared" si="66"/>
        <v>0.46700000000000036</v>
      </c>
      <c r="G473">
        <f t="shared" ca="1" si="67"/>
        <v>0.12160772186296105</v>
      </c>
      <c r="H473">
        <f t="shared" ca="1" si="69"/>
        <v>0.12161324600258185</v>
      </c>
      <c r="I473">
        <f t="shared" ca="1" si="70"/>
        <v>1.164995670536014E-2</v>
      </c>
      <c r="J473" s="5">
        <f t="shared" ca="1" si="71"/>
        <v>0.10996328929722171</v>
      </c>
    </row>
    <row r="474" spans="1:10" x14ac:dyDescent="0.2">
      <c r="A474">
        <f t="shared" ca="1" si="63"/>
        <v>0.25513427684016676</v>
      </c>
      <c r="B474">
        <f t="shared" ca="1" si="64"/>
        <v>-0.65841958546902379</v>
      </c>
      <c r="C474">
        <f t="shared" ca="1" si="68"/>
        <v>34.712610846968097</v>
      </c>
      <c r="D474" s="21">
        <f t="shared" ca="1" si="65"/>
        <v>0.32119826181171379</v>
      </c>
      <c r="F474">
        <f t="shared" si="66"/>
        <v>0.46800000000000036</v>
      </c>
      <c r="G474">
        <f t="shared" ca="1" si="67"/>
        <v>0.12491604429424825</v>
      </c>
      <c r="H474">
        <f t="shared" ca="1" si="69"/>
        <v>0.12492173329895424</v>
      </c>
      <c r="I474">
        <f t="shared" ca="1" si="70"/>
        <v>1.1689700001786119E-2</v>
      </c>
      <c r="J474" s="5">
        <f t="shared" ca="1" si="71"/>
        <v>0.11323203329716812</v>
      </c>
    </row>
    <row r="475" spans="1:10" x14ac:dyDescent="0.2">
      <c r="A475">
        <f t="shared" ca="1" si="63"/>
        <v>0.67317106020034789</v>
      </c>
      <c r="B475">
        <f t="shared" ca="1" si="64"/>
        <v>0.44868642376010398</v>
      </c>
      <c r="C475">
        <f t="shared" ca="1" si="68"/>
        <v>35.161297270728198</v>
      </c>
      <c r="D475" s="21">
        <f t="shared" ca="1" si="65"/>
        <v>0.36073982507797231</v>
      </c>
      <c r="F475">
        <f t="shared" si="66"/>
        <v>0.46900000000000036</v>
      </c>
      <c r="G475">
        <f t="shared" ca="1" si="67"/>
        <v>0.12283155136918865</v>
      </c>
      <c r="H475">
        <f t="shared" ca="1" si="69"/>
        <v>0.12283713557947833</v>
      </c>
      <c r="I475">
        <f t="shared" ca="1" si="70"/>
        <v>1.1666494397707851E-2</v>
      </c>
      <c r="J475" s="5">
        <f t="shared" ca="1" si="71"/>
        <v>0.11117064118177047</v>
      </c>
    </row>
    <row r="476" spans="1:10" x14ac:dyDescent="0.2">
      <c r="A476">
        <f t="shared" ca="1" si="63"/>
        <v>0.47853954721897352</v>
      </c>
      <c r="B476">
        <f t="shared" ca="1" si="64"/>
        <v>-5.3819347932253903E-2</v>
      </c>
      <c r="C476">
        <f t="shared" ca="1" si="68"/>
        <v>35.107477922795944</v>
      </c>
      <c r="D476" s="21">
        <f t="shared" ca="1" si="65"/>
        <v>0.39836492599409878</v>
      </c>
      <c r="F476">
        <f t="shared" si="66"/>
        <v>0.47000000000000036</v>
      </c>
      <c r="G476">
        <f t="shared" ca="1" si="67"/>
        <v>0.12424806844188624</v>
      </c>
      <c r="H476">
        <f t="shared" ca="1" si="69"/>
        <v>0.12425372292019779</v>
      </c>
      <c r="I476">
        <f t="shared" ca="1" si="70"/>
        <v>1.1684169341298546E-2</v>
      </c>
      <c r="J476" s="5">
        <f t="shared" ca="1" si="71"/>
        <v>0.11256955357889925</v>
      </c>
    </row>
    <row r="477" spans="1:10" x14ac:dyDescent="0.2">
      <c r="A477">
        <f t="shared" ca="1" si="63"/>
        <v>0.26606663294670818</v>
      </c>
      <c r="B477">
        <f t="shared" ca="1" si="64"/>
        <v>-0.62475287239091448</v>
      </c>
      <c r="C477">
        <f t="shared" ca="1" si="68"/>
        <v>34.48272505040503</v>
      </c>
      <c r="D477" s="21">
        <f t="shared" ca="1" si="65"/>
        <v>0.32821164846486572</v>
      </c>
      <c r="F477">
        <f t="shared" si="66"/>
        <v>0.47100000000000036</v>
      </c>
      <c r="G477">
        <f t="shared" ca="1" si="67"/>
        <v>0.12407546054385889</v>
      </c>
      <c r="H477">
        <f t="shared" ca="1" si="69"/>
        <v>0.12408110582625478</v>
      </c>
      <c r="I477">
        <f t="shared" ca="1" si="70"/>
        <v>1.1683290821518833E-2</v>
      </c>
      <c r="J477" s="5">
        <f t="shared" ca="1" si="71"/>
        <v>0.11239781500473595</v>
      </c>
    </row>
    <row r="478" spans="1:10" x14ac:dyDescent="0.2">
      <c r="A478">
        <f t="shared" ca="1" si="63"/>
        <v>0.28630364677112241</v>
      </c>
      <c r="B478">
        <f t="shared" ca="1" si="64"/>
        <v>-0.56421577457601668</v>
      </c>
      <c r="C478">
        <f t="shared" ca="1" si="68"/>
        <v>33.91850927582901</v>
      </c>
      <c r="D478" s="21">
        <f t="shared" ca="1" si="65"/>
        <v>0.34023856238420208</v>
      </c>
      <c r="F478">
        <f t="shared" si="66"/>
        <v>0.47200000000000036</v>
      </c>
      <c r="G478">
        <f t="shared" ca="1" si="67"/>
        <v>0.12209750984467681</v>
      </c>
      <c r="H478">
        <f t="shared" ca="1" si="69"/>
        <v>0.12210305566418435</v>
      </c>
      <c r="I478">
        <f t="shared" ca="1" si="70"/>
        <v>1.1661339381370686E-2</v>
      </c>
      <c r="J478" s="5">
        <f t="shared" ca="1" si="71"/>
        <v>0.11044171628281366</v>
      </c>
    </row>
    <row r="479" spans="1:10" x14ac:dyDescent="0.2">
      <c r="A479">
        <f t="shared" ca="1" si="63"/>
        <v>0.9252495372048164</v>
      </c>
      <c r="B479">
        <f t="shared" ca="1" si="64"/>
        <v>1.4412965357087526</v>
      </c>
      <c r="C479">
        <f t="shared" ca="1" si="68"/>
        <v>35.359805811537761</v>
      </c>
      <c r="D479" s="21">
        <f t="shared" ca="1" si="65"/>
        <v>0.14119598557096372</v>
      </c>
      <c r="F479">
        <f t="shared" si="66"/>
        <v>0.47300000000000036</v>
      </c>
      <c r="G479">
        <f t="shared" ca="1" si="67"/>
        <v>0.12031118247134991</v>
      </c>
      <c r="H479">
        <f t="shared" ca="1" si="69"/>
        <v>0.12031663841916158</v>
      </c>
      <c r="I479">
        <f t="shared" ca="1" si="70"/>
        <v>1.16416575939503E-2</v>
      </c>
      <c r="J479" s="5">
        <f t="shared" ca="1" si="71"/>
        <v>0.10867498082521128</v>
      </c>
    </row>
    <row r="480" spans="1:10" x14ac:dyDescent="0.2">
      <c r="A480">
        <f t="shared" ca="1" si="63"/>
        <v>0.12197587340255533</v>
      </c>
      <c r="B480">
        <f t="shared" ca="1" si="64"/>
        <v>-1.1651661446285937</v>
      </c>
      <c r="C480">
        <f t="shared" ca="1" si="68"/>
        <v>34.194639666909168</v>
      </c>
      <c r="D480" s="21">
        <f t="shared" ca="1" si="65"/>
        <v>0.20235238818142365</v>
      </c>
      <c r="F480">
        <f t="shared" si="66"/>
        <v>0.47400000000000037</v>
      </c>
      <c r="G480">
        <f t="shared" ca="1" si="67"/>
        <v>0.12486670341170829</v>
      </c>
      <c r="H480">
        <f t="shared" ca="1" si="69"/>
        <v>0.12487238659186954</v>
      </c>
      <c r="I480">
        <f t="shared" ca="1" si="70"/>
        <v>1.1695949870727923E-2</v>
      </c>
      <c r="J480" s="5">
        <f t="shared" ca="1" si="71"/>
        <v>0.11317643672114162</v>
      </c>
    </row>
    <row r="481" spans="1:10" x14ac:dyDescent="0.2">
      <c r="A481">
        <f t="shared" ca="1" si="63"/>
        <v>0.85393324516724556</v>
      </c>
      <c r="B481">
        <f t="shared" ca="1" si="64"/>
        <v>1.0534528137370502</v>
      </c>
      <c r="C481">
        <f t="shared" ca="1" si="68"/>
        <v>35.248092480646221</v>
      </c>
      <c r="D481" s="21">
        <f t="shared" ca="1" si="65"/>
        <v>0.22904885705697073</v>
      </c>
      <c r="F481">
        <f t="shared" si="66"/>
        <v>0.47500000000000037</v>
      </c>
      <c r="G481">
        <f t="shared" ca="1" si="67"/>
        <v>0.12117982221742057</v>
      </c>
      <c r="H481">
        <f t="shared" ca="1" si="69"/>
        <v>0.12118532048366684</v>
      </c>
      <c r="I481">
        <f t="shared" ca="1" si="70"/>
        <v>1.1654041597737575E-2</v>
      </c>
      <c r="J481" s="5">
        <f t="shared" ca="1" si="71"/>
        <v>0.10953127888592927</v>
      </c>
    </row>
    <row r="482" spans="1:10" x14ac:dyDescent="0.2">
      <c r="A482">
        <f t="shared" ca="1" si="63"/>
        <v>0.21383825619722008</v>
      </c>
      <c r="B482">
        <f t="shared" ca="1" si="64"/>
        <v>-0.79317389883949652</v>
      </c>
      <c r="C482">
        <f t="shared" ca="1" si="68"/>
        <v>34.454918581806723</v>
      </c>
      <c r="D482" s="21">
        <f t="shared" ca="1" si="65"/>
        <v>0.29127106512599943</v>
      </c>
      <c r="F482">
        <f t="shared" si="66"/>
        <v>0.47600000000000037</v>
      </c>
      <c r="G482">
        <f t="shared" ca="1" si="67"/>
        <v>0.12450884808144159</v>
      </c>
      <c r="H482">
        <f t="shared" ca="1" si="69"/>
        <v>0.12451451225054067</v>
      </c>
      <c r="I482">
        <f t="shared" ca="1" si="70"/>
        <v>1.1694040445589268E-2</v>
      </c>
      <c r="J482" s="5">
        <f t="shared" ca="1" si="71"/>
        <v>0.1128204718049514</v>
      </c>
    </row>
    <row r="483" spans="1:10" x14ac:dyDescent="0.2">
      <c r="A483">
        <f t="shared" ca="1" si="63"/>
        <v>0.23059949453028017</v>
      </c>
      <c r="B483">
        <f t="shared" ca="1" si="64"/>
        <v>-0.73687397950305578</v>
      </c>
      <c r="C483">
        <f t="shared" ca="1" si="68"/>
        <v>33.718044602303664</v>
      </c>
      <c r="D483" s="21">
        <f t="shared" ca="1" si="65"/>
        <v>0.30409042716168438</v>
      </c>
      <c r="F483">
        <f t="shared" si="66"/>
        <v>0.47700000000000037</v>
      </c>
      <c r="G483">
        <f t="shared" ca="1" si="67"/>
        <v>0.12199828662482459</v>
      </c>
      <c r="H483">
        <f t="shared" ca="1" si="69"/>
        <v>0.12200382469838682</v>
      </c>
      <c r="I483">
        <f t="shared" ca="1" si="70"/>
        <v>1.1665853988986705E-2</v>
      </c>
      <c r="J483" s="5">
        <f t="shared" ca="1" si="71"/>
        <v>0.11033797070940012</v>
      </c>
    </row>
    <row r="484" spans="1:10" x14ac:dyDescent="0.2">
      <c r="A484">
        <f t="shared" ca="1" si="63"/>
        <v>0.69994288468579102</v>
      </c>
      <c r="B484">
        <f t="shared" ca="1" si="64"/>
        <v>0.52423625021803955</v>
      </c>
      <c r="C484">
        <f t="shared" ca="1" si="68"/>
        <v>34.242280852521702</v>
      </c>
      <c r="D484" s="21">
        <f t="shared" ca="1" si="65"/>
        <v>0.34772256080910924</v>
      </c>
      <c r="F484">
        <f t="shared" si="66"/>
        <v>0.47800000000000037</v>
      </c>
      <c r="G484">
        <f t="shared" ca="1" si="67"/>
        <v>0.1196660032875598</v>
      </c>
      <c r="H484">
        <f t="shared" ca="1" si="69"/>
        <v>0.11967142419217509</v>
      </c>
      <c r="I484">
        <f t="shared" ca="1" si="70"/>
        <v>1.1639807591007204E-2</v>
      </c>
      <c r="J484" s="5">
        <f t="shared" ca="1" si="71"/>
        <v>0.10803161660116789</v>
      </c>
    </row>
    <row r="485" spans="1:10" x14ac:dyDescent="0.2">
      <c r="A485">
        <f t="shared" ca="1" si="63"/>
        <v>0.13804457947160331</v>
      </c>
      <c r="B485">
        <f t="shared" ca="1" si="64"/>
        <v>-1.0891467904723051</v>
      </c>
      <c r="C485">
        <f t="shared" ca="1" si="68"/>
        <v>33.153134062049396</v>
      </c>
      <c r="D485" s="21">
        <f t="shared" ca="1" si="65"/>
        <v>0.22045561457486604</v>
      </c>
      <c r="F485">
        <f t="shared" si="66"/>
        <v>0.47900000000000037</v>
      </c>
      <c r="G485">
        <f t="shared" ca="1" si="67"/>
        <v>0.12132173448269716</v>
      </c>
      <c r="H485">
        <f t="shared" ca="1" si="69"/>
        <v>0.12132723763247082</v>
      </c>
      <c r="I485">
        <f t="shared" ca="1" si="70"/>
        <v>1.1660227510330398E-2</v>
      </c>
      <c r="J485" s="5">
        <f t="shared" ca="1" si="71"/>
        <v>0.10966701012214042</v>
      </c>
    </row>
    <row r="486" spans="1:10" x14ac:dyDescent="0.2">
      <c r="A486">
        <f t="shared" ca="1" si="63"/>
        <v>0.17319696665482975</v>
      </c>
      <c r="B486">
        <f t="shared" ca="1" si="64"/>
        <v>-0.94160690482202314</v>
      </c>
      <c r="C486">
        <f t="shared" ca="1" si="68"/>
        <v>32.211527157227373</v>
      </c>
      <c r="D486" s="21">
        <f t="shared" ca="1" si="65"/>
        <v>0.2560838587735238</v>
      </c>
      <c r="F486">
        <f t="shared" si="66"/>
        <v>0.48000000000000037</v>
      </c>
      <c r="G486">
        <f t="shared" ca="1" si="67"/>
        <v>0.11787559005375248</v>
      </c>
      <c r="H486">
        <f t="shared" ca="1" si="69"/>
        <v>0.11788092034455291</v>
      </c>
      <c r="I486">
        <f t="shared" ca="1" si="70"/>
        <v>1.1621240579994058E-2</v>
      </c>
      <c r="J486" s="5">
        <f t="shared" ca="1" si="71"/>
        <v>0.10625967976455886</v>
      </c>
    </row>
    <row r="487" spans="1:10" x14ac:dyDescent="0.2">
      <c r="A487">
        <f t="shared" ca="1" si="63"/>
        <v>0.91828222404219029</v>
      </c>
      <c r="B487">
        <f t="shared" ca="1" si="64"/>
        <v>1.3936095207357204</v>
      </c>
      <c r="C487">
        <f t="shared" ca="1" si="68"/>
        <v>33.605136677963095</v>
      </c>
      <c r="D487" s="21">
        <f t="shared" ca="1" si="65"/>
        <v>0.1510699534824132</v>
      </c>
      <c r="F487">
        <f t="shared" si="66"/>
        <v>0.48100000000000037</v>
      </c>
      <c r="G487">
        <f t="shared" ca="1" si="67"/>
        <v>0.11489632897926397</v>
      </c>
      <c r="H487">
        <f t="shared" ca="1" si="69"/>
        <v>0.11490150977273948</v>
      </c>
      <c r="I487">
        <f t="shared" ca="1" si="70"/>
        <v>1.1587789167715495E-2</v>
      </c>
      <c r="J487" s="5">
        <f t="shared" ca="1" si="71"/>
        <v>0.10331372060502399</v>
      </c>
    </row>
    <row r="488" spans="1:10" x14ac:dyDescent="0.2">
      <c r="A488">
        <f t="shared" ca="1" si="63"/>
        <v>0.58620301773199257</v>
      </c>
      <c r="B488">
        <f t="shared" ca="1" si="64"/>
        <v>0.21778842381742297</v>
      </c>
      <c r="C488">
        <f t="shared" ca="1" si="68"/>
        <v>33.82292510178052</v>
      </c>
      <c r="D488" s="21">
        <f t="shared" ca="1" si="65"/>
        <v>0.38959231530720756</v>
      </c>
      <c r="F488">
        <f t="shared" si="66"/>
        <v>0.48200000000000037</v>
      </c>
      <c r="G488">
        <f t="shared" ca="1" si="67"/>
        <v>0.11930159933543383</v>
      </c>
      <c r="H488">
        <f t="shared" ca="1" si="69"/>
        <v>0.11930699987618273</v>
      </c>
      <c r="I488">
        <f t="shared" ca="1" si="70"/>
        <v>1.1640074771809953E-2</v>
      </c>
      <c r="J488" s="5">
        <f t="shared" ca="1" si="71"/>
        <v>0.10766692510437278</v>
      </c>
    </row>
    <row r="489" spans="1:10" x14ac:dyDescent="0.2">
      <c r="A489">
        <f t="shared" ca="1" si="63"/>
        <v>0.13766034388888959</v>
      </c>
      <c r="B489">
        <f t="shared" ca="1" si="64"/>
        <v>-1.0908913635753348</v>
      </c>
      <c r="C489">
        <f t="shared" ca="1" si="68"/>
        <v>32.732033738205182</v>
      </c>
      <c r="D489" s="21">
        <f t="shared" ca="1" si="65"/>
        <v>0.22003679056586217</v>
      </c>
      <c r="F489">
        <f t="shared" si="66"/>
        <v>0.48300000000000037</v>
      </c>
      <c r="G489">
        <f t="shared" ca="1" si="67"/>
        <v>0.11998834230534756</v>
      </c>
      <c r="H489">
        <f t="shared" ca="1" si="69"/>
        <v>0.11999377664347623</v>
      </c>
      <c r="I489">
        <f t="shared" ca="1" si="70"/>
        <v>1.1649200760914139E-2</v>
      </c>
      <c r="J489" s="5">
        <f t="shared" ca="1" si="71"/>
        <v>0.10834457588256209</v>
      </c>
    </row>
    <row r="490" spans="1:10" x14ac:dyDescent="0.2">
      <c r="A490">
        <f t="shared" ca="1" si="63"/>
        <v>0.1219809617333244</v>
      </c>
      <c r="B490">
        <f t="shared" ca="1" si="64"/>
        <v>-1.1651409991075796</v>
      </c>
      <c r="C490">
        <f t="shared" ca="1" si="68"/>
        <v>31.566892739097604</v>
      </c>
      <c r="D490" s="21">
        <f t="shared" ca="1" si="65"/>
        <v>0.20235831686819383</v>
      </c>
      <c r="F490">
        <f t="shared" si="66"/>
        <v>0.48400000000000037</v>
      </c>
      <c r="G490">
        <f t="shared" ca="1" si="67"/>
        <v>0.11653681466023337</v>
      </c>
      <c r="H490">
        <f t="shared" ca="1" si="69"/>
        <v>0.11654207587710698</v>
      </c>
      <c r="I490">
        <f t="shared" ca="1" si="70"/>
        <v>1.1610186647882579E-2</v>
      </c>
      <c r="J490" s="5">
        <f t="shared" ca="1" si="71"/>
        <v>0.1049318892292244</v>
      </c>
    </row>
    <row r="491" spans="1:10" x14ac:dyDescent="0.2">
      <c r="A491">
        <f t="shared" ca="1" si="63"/>
        <v>0.92837395821072088</v>
      </c>
      <c r="B491">
        <f t="shared" ca="1" si="64"/>
        <v>1.4637872632446769</v>
      </c>
      <c r="C491">
        <f t="shared" ca="1" si="68"/>
        <v>33.03068000234228</v>
      </c>
      <c r="D491" s="21">
        <f t="shared" ca="1" si="65"/>
        <v>0.13665782444562305</v>
      </c>
      <c r="F491">
        <f t="shared" si="66"/>
        <v>0.48500000000000038</v>
      </c>
      <c r="G491">
        <f t="shared" ca="1" si="67"/>
        <v>0.11285084592631642</v>
      </c>
      <c r="H491">
        <f t="shared" ca="1" si="69"/>
        <v>0.1128559223170951</v>
      </c>
      <c r="I491">
        <f t="shared" ca="1" si="70"/>
        <v>1.1568586596773071E-2</v>
      </c>
      <c r="J491" s="5">
        <f t="shared" ca="1" si="71"/>
        <v>0.10128733572032203</v>
      </c>
    </row>
    <row r="492" spans="1:10" x14ac:dyDescent="0.2">
      <c r="A492">
        <f t="shared" ca="1" si="63"/>
        <v>0.13836175444961829</v>
      </c>
      <c r="B492">
        <f t="shared" ca="1" si="64"/>
        <v>-1.087709191147785</v>
      </c>
      <c r="C492">
        <f t="shared" ca="1" si="68"/>
        <v>31.942970811194495</v>
      </c>
      <c r="D492" s="21">
        <f t="shared" ca="1" si="65"/>
        <v>0.22080083663946651</v>
      </c>
      <c r="F492">
        <f t="shared" si="66"/>
        <v>0.48600000000000038</v>
      </c>
      <c r="G492">
        <f t="shared" ca="1" si="67"/>
        <v>0.11747823123232855</v>
      </c>
      <c r="H492">
        <f t="shared" ca="1" si="69"/>
        <v>0.11748353848666104</v>
      </c>
      <c r="I492">
        <f t="shared" ca="1" si="70"/>
        <v>1.1623364744808457E-2</v>
      </c>
      <c r="J492" s="5">
        <f t="shared" ca="1" si="71"/>
        <v>0.10586017374185258</v>
      </c>
    </row>
    <row r="493" spans="1:10" x14ac:dyDescent="0.2">
      <c r="A493">
        <f t="shared" ca="1" si="63"/>
        <v>0.58498081065407148</v>
      </c>
      <c r="B493">
        <f t="shared" ca="1" si="64"/>
        <v>0.21465234618983658</v>
      </c>
      <c r="C493">
        <f t="shared" ca="1" si="68"/>
        <v>32.157623157384329</v>
      </c>
      <c r="D493" s="21">
        <f t="shared" ca="1" si="65"/>
        <v>0.38985658117556221</v>
      </c>
      <c r="F493">
        <f t="shared" si="66"/>
        <v>0.48700000000000038</v>
      </c>
      <c r="G493">
        <f t="shared" ca="1" si="67"/>
        <v>0.11403701699542529</v>
      </c>
      <c r="H493">
        <f t="shared" ca="1" si="69"/>
        <v>0.11404215165688592</v>
      </c>
      <c r="I493">
        <f t="shared" ca="1" si="70"/>
        <v>1.1584553732446148E-2</v>
      </c>
      <c r="J493" s="5">
        <f t="shared" ca="1" si="71"/>
        <v>0.10245759792443977</v>
      </c>
    </row>
    <row r="494" spans="1:10" x14ac:dyDescent="0.2">
      <c r="A494">
        <f t="shared" ca="1" si="63"/>
        <v>0.22400400213558114</v>
      </c>
      <c r="B494">
        <f t="shared" ca="1" si="64"/>
        <v>-0.75874016645787157</v>
      </c>
      <c r="C494">
        <f t="shared" ca="1" si="68"/>
        <v>31.398882990926456</v>
      </c>
      <c r="D494" s="21">
        <f t="shared" ca="1" si="65"/>
        <v>0.29915846781282635</v>
      </c>
      <c r="F494">
        <f t="shared" si="66"/>
        <v>0.48800000000000038</v>
      </c>
      <c r="G494">
        <f t="shared" ca="1" si="67"/>
        <v>0.11471436974486547</v>
      </c>
      <c r="H494">
        <f t="shared" ca="1" si="69"/>
        <v>0.11471953776077908</v>
      </c>
      <c r="I494">
        <f t="shared" ca="1" si="70"/>
        <v>1.159352121700386E-2</v>
      </c>
      <c r="J494" s="5">
        <f t="shared" ca="1" si="71"/>
        <v>0.10312601654377522</v>
      </c>
    </row>
    <row r="495" spans="1:10" x14ac:dyDescent="0.2">
      <c r="A495">
        <f t="shared" ca="1" si="63"/>
        <v>1.7228480022196235E-2</v>
      </c>
      <c r="B495">
        <f t="shared" ca="1" si="64"/>
        <v>-2.1146831663042573</v>
      </c>
      <c r="C495">
        <f t="shared" ca="1" si="68"/>
        <v>29.284199824622199</v>
      </c>
      <c r="D495" s="21">
        <f t="shared" ca="1" si="65"/>
        <v>4.2643476111611345E-2</v>
      </c>
      <c r="F495">
        <f t="shared" si="66"/>
        <v>0.48900000000000038</v>
      </c>
      <c r="G495">
        <f t="shared" ca="1" si="67"/>
        <v>0.11231367126555371</v>
      </c>
      <c r="H495">
        <f t="shared" ca="1" si="69"/>
        <v>0.11231871872874083</v>
      </c>
      <c r="I495">
        <f t="shared" ca="1" si="70"/>
        <v>1.156683647751945E-2</v>
      </c>
      <c r="J495" s="5">
        <f t="shared" ca="1" si="71"/>
        <v>0.10075188225122138</v>
      </c>
    </row>
    <row r="496" spans="1:10" x14ac:dyDescent="0.2">
      <c r="A496">
        <f t="shared" ca="1" si="63"/>
        <v>0.29488826158969939</v>
      </c>
      <c r="B496">
        <f t="shared" ca="1" si="64"/>
        <v>-0.53915990554379734</v>
      </c>
      <c r="C496">
        <f t="shared" ca="1" si="68"/>
        <v>28.745039919078401</v>
      </c>
      <c r="D496" s="21">
        <f t="shared" ca="1" si="65"/>
        <v>0.344974342225358</v>
      </c>
      <c r="F496">
        <f t="shared" si="66"/>
        <v>0.49000000000000038</v>
      </c>
      <c r="G496">
        <f t="shared" ca="1" si="67"/>
        <v>0.10562555897169104</v>
      </c>
      <c r="H496">
        <f t="shared" ca="1" si="69"/>
        <v>0.10563027152172988</v>
      </c>
      <c r="I496">
        <f t="shared" ca="1" si="70"/>
        <v>1.1490836181103525E-2</v>
      </c>
      <c r="J496" s="5">
        <f t="shared" ca="1" si="71"/>
        <v>9.4139435340626354E-2</v>
      </c>
    </row>
    <row r="497" spans="1:10" x14ac:dyDescent="0.2">
      <c r="A497">
        <f t="shared" ca="1" si="63"/>
        <v>8.9382679181394087E-2</v>
      </c>
      <c r="B497">
        <f t="shared" ca="1" si="64"/>
        <v>-1.3445662195944419</v>
      </c>
      <c r="C497">
        <f t="shared" ca="1" si="68"/>
        <v>27.40047369948396</v>
      </c>
      <c r="D497" s="21">
        <f t="shared" ca="1" si="65"/>
        <v>0.16156177646617415</v>
      </c>
      <c r="F497">
        <f t="shared" si="66"/>
        <v>0.49100000000000038</v>
      </c>
      <c r="G497">
        <f t="shared" ca="1" si="67"/>
        <v>0.10392010836447545</v>
      </c>
      <c r="H497">
        <f t="shared" ca="1" si="69"/>
        <v>0.10392473517001806</v>
      </c>
      <c r="I497">
        <f t="shared" ca="1" si="70"/>
        <v>1.1472351125590996E-2</v>
      </c>
      <c r="J497" s="5">
        <f t="shared" ca="1" si="71"/>
        <v>9.2452384044427058E-2</v>
      </c>
    </row>
    <row r="498" spans="1:10" x14ac:dyDescent="0.2">
      <c r="A498">
        <f t="shared" ca="1" si="63"/>
        <v>0.82850202302085352</v>
      </c>
      <c r="B498">
        <f t="shared" ca="1" si="64"/>
        <v>0.94826226907206523</v>
      </c>
      <c r="C498">
        <f t="shared" ca="1" si="68"/>
        <v>28.348735968556024</v>
      </c>
      <c r="D498" s="21">
        <f t="shared" ca="1" si="65"/>
        <v>0.25447843059200009</v>
      </c>
      <c r="F498">
        <f t="shared" si="66"/>
        <v>0.49200000000000038</v>
      </c>
      <c r="G498">
        <f t="shared" ca="1" si="67"/>
        <v>9.9668037240126545E-2</v>
      </c>
      <c r="H498">
        <f t="shared" ca="1" si="69"/>
        <v>9.9672450977660504E-2</v>
      </c>
      <c r="I498">
        <f t="shared" ca="1" si="70"/>
        <v>1.142476078667334E-2</v>
      </c>
      <c r="J498" s="5">
        <f t="shared" ca="1" si="71"/>
        <v>8.824769019098716E-2</v>
      </c>
    </row>
    <row r="499" spans="1:10" x14ac:dyDescent="0.2">
      <c r="A499">
        <f t="shared" ca="1" si="63"/>
        <v>0.50862901617683687</v>
      </c>
      <c r="B499">
        <f t="shared" ca="1" si="64"/>
        <v>2.1631422769683144E-2</v>
      </c>
      <c r="C499">
        <f t="shared" ca="1" si="68"/>
        <v>28.370367391325708</v>
      </c>
      <c r="D499" s="21">
        <f t="shared" ca="1" si="65"/>
        <v>0.39884895509206686</v>
      </c>
      <c r="F499">
        <f t="shared" si="66"/>
        <v>0.49300000000000038</v>
      </c>
      <c r="G499">
        <f t="shared" ca="1" si="67"/>
        <v>0.10266658909702742</v>
      </c>
      <c r="H499">
        <f t="shared" ca="1" si="69"/>
        <v>0.1026711523220299</v>
      </c>
      <c r="I499">
        <f t="shared" ca="1" si="70"/>
        <v>1.1460159938650395E-2</v>
      </c>
      <c r="J499" s="5">
        <f t="shared" ca="1" si="71"/>
        <v>9.1210992383379513E-2</v>
      </c>
    </row>
    <row r="500" spans="1:10" x14ac:dyDescent="0.2">
      <c r="A500">
        <f t="shared" ca="1" si="63"/>
        <v>0.50332137040239422</v>
      </c>
      <c r="B500">
        <f t="shared" ca="1" si="64"/>
        <v>8.3255371403332112E-3</v>
      </c>
      <c r="C500">
        <f t="shared" ca="1" si="68"/>
        <v>28.378692928466041</v>
      </c>
      <c r="D500" s="21">
        <f t="shared" ca="1" si="65"/>
        <v>0.39892845438497404</v>
      </c>
      <c r="F500">
        <f t="shared" si="66"/>
        <v>0.49400000000000038</v>
      </c>
      <c r="G500">
        <f t="shared" ca="1" si="67"/>
        <v>0.10273472359634669</v>
      </c>
      <c r="H500">
        <f t="shared" ca="1" si="69"/>
        <v>0.10273928977177993</v>
      </c>
      <c r="I500">
        <f t="shared" ca="1" si="70"/>
        <v>1.1462032734107293E-2</v>
      </c>
      <c r="J500" s="5">
        <f t="shared" ca="1" si="71"/>
        <v>9.1277257037672643E-2</v>
      </c>
    </row>
    <row r="501" spans="1:10" x14ac:dyDescent="0.2">
      <c r="A501">
        <f t="shared" ca="1" si="63"/>
        <v>0.20456733714506192</v>
      </c>
      <c r="B501">
        <f t="shared" ca="1" si="64"/>
        <v>-0.82541737429052597</v>
      </c>
      <c r="C501">
        <f t="shared" ca="1" si="68"/>
        <v>27.553275554175514</v>
      </c>
      <c r="D501" s="21">
        <f t="shared" ca="1" si="65"/>
        <v>0.28376880078879496</v>
      </c>
      <c r="F501">
        <f t="shared" si="66"/>
        <v>0.49500000000000038</v>
      </c>
      <c r="G501">
        <f t="shared" ca="1" si="67"/>
        <v>0.10276077648143984</v>
      </c>
      <c r="H501">
        <f t="shared" ca="1" si="69"/>
        <v>0.10276534350291053</v>
      </c>
      <c r="I501">
        <f t="shared" ca="1" si="70"/>
        <v>1.1463423480085272E-2</v>
      </c>
      <c r="J501" s="5">
        <f t="shared" ca="1" si="71"/>
        <v>9.130192002282525E-2</v>
      </c>
    </row>
    <row r="502" spans="1:10" x14ac:dyDescent="0.2">
      <c r="A502">
        <f t="shared" ca="1" si="63"/>
        <v>0.19701288685586826</v>
      </c>
      <c r="B502">
        <f t="shared" ca="1" si="64"/>
        <v>-0.85233934652168053</v>
      </c>
      <c r="C502">
        <f t="shared" ca="1" si="68"/>
        <v>26.700936207653832</v>
      </c>
      <c r="D502" s="21">
        <f t="shared" ca="1" si="65"/>
        <v>0.27743191867081007</v>
      </c>
      <c r="F502">
        <f t="shared" si="66"/>
        <v>0.49600000000000039</v>
      </c>
      <c r="G502">
        <f t="shared" ca="1" si="67"/>
        <v>0.10015043199906982</v>
      </c>
      <c r="H502">
        <f t="shared" ca="1" si="69"/>
        <v>0.10015486804552647</v>
      </c>
      <c r="I502">
        <f t="shared" ca="1" si="70"/>
        <v>1.1434626919414201E-2</v>
      </c>
      <c r="J502" s="5">
        <f t="shared" ca="1" si="71"/>
        <v>8.8720241126112265E-2</v>
      </c>
    </row>
    <row r="503" spans="1:10" x14ac:dyDescent="0.2">
      <c r="A503">
        <f t="shared" ca="1" si="63"/>
        <v>0.20706820207441046</v>
      </c>
      <c r="B503">
        <f t="shared" ca="1" si="64"/>
        <v>-0.81663612499820204</v>
      </c>
      <c r="C503">
        <f t="shared" ca="1" si="68"/>
        <v>25.884300082655631</v>
      </c>
      <c r="D503" s="21">
        <f t="shared" ca="1" si="65"/>
        <v>0.28582206459900905</v>
      </c>
      <c r="F503">
        <f t="shared" si="66"/>
        <v>0.49700000000000039</v>
      </c>
      <c r="G503">
        <f t="shared" ca="1" si="67"/>
        <v>9.7455218043302719E-2</v>
      </c>
      <c r="H503">
        <f t="shared" ca="1" si="69"/>
        <v>9.7459518884333893E-2</v>
      </c>
      <c r="I503">
        <f t="shared" ca="1" si="70"/>
        <v>1.1404931699454399E-2</v>
      </c>
      <c r="J503" s="5">
        <f t="shared" ca="1" si="71"/>
        <v>8.6054587184879489E-2</v>
      </c>
    </row>
    <row r="504" spans="1:10" x14ac:dyDescent="0.2">
      <c r="A504">
        <f t="shared" ca="1" si="63"/>
        <v>3.9413441463220011E-2</v>
      </c>
      <c r="B504">
        <f t="shared" ca="1" si="64"/>
        <v>-1.7575336999162354</v>
      </c>
      <c r="C504">
        <f t="shared" ca="1" si="68"/>
        <v>24.126766382739397</v>
      </c>
      <c r="D504" s="21">
        <f t="shared" ca="1" si="65"/>
        <v>8.5144889918507757E-2</v>
      </c>
      <c r="F504">
        <f t="shared" si="66"/>
        <v>0.49800000000000039</v>
      </c>
      <c r="G504">
        <f t="shared" ca="1" si="67"/>
        <v>9.4873171450335511E-2</v>
      </c>
      <c r="H504">
        <f t="shared" ca="1" si="69"/>
        <v>9.4877342757877167E-2</v>
      </c>
      <c r="I504">
        <f t="shared" ca="1" si="70"/>
        <v>1.1376597981887423E-2</v>
      </c>
      <c r="J504" s="5">
        <f t="shared" ca="1" si="71"/>
        <v>8.3500744775989746E-2</v>
      </c>
    </row>
    <row r="505" spans="1:10" x14ac:dyDescent="0.2">
      <c r="A505">
        <f t="shared" ca="1" si="63"/>
        <v>0.57501602676143526</v>
      </c>
      <c r="B505">
        <f t="shared" ca="1" si="64"/>
        <v>0.18915932443814276</v>
      </c>
      <c r="C505">
        <f t="shared" ca="1" si="68"/>
        <v>24.315925707177541</v>
      </c>
      <c r="D505" s="21">
        <f t="shared" ca="1" si="65"/>
        <v>0.39186842023076507</v>
      </c>
      <c r="F505">
        <f t="shared" si="66"/>
        <v>0.49900000000000039</v>
      </c>
      <c r="G505">
        <f t="shared" ca="1" si="67"/>
        <v>8.9316152430218551E-2</v>
      </c>
      <c r="H505">
        <f t="shared" ca="1" si="69"/>
        <v>8.9320045467363191E-2</v>
      </c>
      <c r="I505">
        <f t="shared" ca="1" si="70"/>
        <v>1.1314619236886946E-2</v>
      </c>
      <c r="J505" s="5">
        <f t="shared" ca="1" si="71"/>
        <v>7.8005426230476238E-2</v>
      </c>
    </row>
    <row r="506" spans="1:10" x14ac:dyDescent="0.2">
      <c r="A506">
        <f t="shared" ca="1" si="63"/>
        <v>0.177438194550251</v>
      </c>
      <c r="B506">
        <f t="shared" ca="1" si="64"/>
        <v>-0.92517210883596901</v>
      </c>
      <c r="C506">
        <f t="shared" ca="1" si="68"/>
        <v>23.390753598341572</v>
      </c>
      <c r="D506" s="21">
        <f t="shared" ca="1" si="65"/>
        <v>0.26004248728336549</v>
      </c>
      <c r="F506">
        <f t="shared" si="66"/>
        <v>0.50000000000000033</v>
      </c>
      <c r="G506">
        <f t="shared" ca="1" si="67"/>
        <v>8.9915365159972199E-2</v>
      </c>
      <c r="H506">
        <f t="shared" ca="1" si="69"/>
        <v>8.9919287768699743E-2</v>
      </c>
      <c r="I506">
        <f t="shared" ca="1" si="70"/>
        <v>1.1322464959135196E-2</v>
      </c>
      <c r="J506" s="5">
        <f t="shared" ca="1" si="71"/>
        <v>7.8596822809564551E-2</v>
      </c>
    </row>
    <row r="507" spans="1:10" x14ac:dyDescent="0.2">
      <c r="A507">
        <f t="shared" ca="1" si="63"/>
        <v>0.94738900931289227</v>
      </c>
      <c r="B507">
        <f t="shared" ca="1" si="64"/>
        <v>1.6200479299424777</v>
      </c>
      <c r="C507">
        <f t="shared" ca="1" si="68"/>
        <v>25.010801528284048</v>
      </c>
      <c r="D507" s="21">
        <f t="shared" ca="1" si="65"/>
        <v>0.10739773560734552</v>
      </c>
      <c r="F507">
        <f t="shared" si="66"/>
        <v>0.50100000000000033</v>
      </c>
      <c r="G507">
        <f t="shared" ca="1" si="67"/>
        <v>8.6990868757911594E-2</v>
      </c>
      <c r="H507">
        <f t="shared" ca="1" si="69"/>
        <v>8.6994644748340025E-2</v>
      </c>
      <c r="I507">
        <f t="shared" ca="1" si="70"/>
        <v>1.1290460329678847E-2</v>
      </c>
      <c r="J507" s="5">
        <f t="shared" ca="1" si="71"/>
        <v>7.5704184418661183E-2</v>
      </c>
    </row>
    <row r="508" spans="1:10" x14ac:dyDescent="0.2">
      <c r="A508">
        <f t="shared" ca="1" si="63"/>
        <v>0.18295608534502605</v>
      </c>
      <c r="B508">
        <f t="shared" ca="1" si="64"/>
        <v>-0.90415697500195358</v>
      </c>
      <c r="C508">
        <f t="shared" ca="1" si="68"/>
        <v>24.106644553282095</v>
      </c>
      <c r="D508" s="21">
        <f t="shared" ca="1" si="65"/>
        <v>0.26508932059802648</v>
      </c>
      <c r="F508">
        <f t="shared" si="66"/>
        <v>0.50200000000000033</v>
      </c>
      <c r="G508">
        <f t="shared" ca="1" si="67"/>
        <v>9.2114954841855112E-2</v>
      </c>
      <c r="H508">
        <f t="shared" ca="1" si="69"/>
        <v>9.2118986661124308E-2</v>
      </c>
      <c r="I508">
        <f t="shared" ca="1" si="70"/>
        <v>1.1349528394625738E-2</v>
      </c>
      <c r="J508" s="5">
        <f t="shared" ca="1" si="71"/>
        <v>8.0769458266498576E-2</v>
      </c>
    </row>
    <row r="509" spans="1:10" x14ac:dyDescent="0.2">
      <c r="A509">
        <f t="shared" ca="1" si="63"/>
        <v>0.56211713644266481</v>
      </c>
      <c r="B509">
        <f t="shared" ca="1" si="64"/>
        <v>0.15633911368245651</v>
      </c>
      <c r="C509">
        <f t="shared" ca="1" si="68"/>
        <v>24.262983666964551</v>
      </c>
      <c r="D509" s="21">
        <f t="shared" ca="1" si="65"/>
        <v>0.39409649344897568</v>
      </c>
      <c r="F509">
        <f t="shared" si="66"/>
        <v>0.50300000000000034</v>
      </c>
      <c r="G509">
        <f t="shared" ca="1" si="67"/>
        <v>8.9256690857426685E-2</v>
      </c>
      <c r="H509">
        <f t="shared" ca="1" si="69"/>
        <v>8.9260579359124098E-2</v>
      </c>
      <c r="I509">
        <f t="shared" ca="1" si="70"/>
        <v>1.1318199400086802E-2</v>
      </c>
      <c r="J509" s="5">
        <f t="shared" ca="1" si="71"/>
        <v>7.79423799590373E-2</v>
      </c>
    </row>
    <row r="510" spans="1:10" x14ac:dyDescent="0.2">
      <c r="A510">
        <f t="shared" ca="1" si="63"/>
        <v>0.50810446969545486</v>
      </c>
      <c r="B510">
        <f t="shared" ca="1" si="64"/>
        <v>2.0316290400075546E-2</v>
      </c>
      <c r="C510">
        <f t="shared" ca="1" si="68"/>
        <v>24.283299957364626</v>
      </c>
      <c r="D510" s="21">
        <f t="shared" ca="1" si="65"/>
        <v>0.39885995685315384</v>
      </c>
      <c r="F510">
        <f t="shared" si="66"/>
        <v>0.50400000000000034</v>
      </c>
      <c r="G510">
        <f t="shared" ca="1" si="67"/>
        <v>8.9752128102880344E-2</v>
      </c>
      <c r="H510">
        <f t="shared" ca="1" si="69"/>
        <v>8.9756040987796742E-2</v>
      </c>
      <c r="I510">
        <f t="shared" ca="1" si="70"/>
        <v>1.1324872173679924E-2</v>
      </c>
      <c r="J510" s="5">
        <f t="shared" ca="1" si="71"/>
        <v>7.8431168814116825E-2</v>
      </c>
    </row>
    <row r="511" spans="1:10" x14ac:dyDescent="0.2">
      <c r="A511">
        <f t="shared" ca="1" si="63"/>
        <v>0.98711266000504627</v>
      </c>
      <c r="B511">
        <f t="shared" ca="1" si="64"/>
        <v>2.2295899149480647</v>
      </c>
      <c r="C511">
        <f t="shared" ca="1" si="68"/>
        <v>26.512889872312691</v>
      </c>
      <c r="D511" s="21">
        <f t="shared" ca="1" si="65"/>
        <v>3.3224287223716675E-2</v>
      </c>
      <c r="F511">
        <f t="shared" si="66"/>
        <v>0.50500000000000034</v>
      </c>
      <c r="G511">
        <f t="shared" ca="1" si="67"/>
        <v>8.981739537794832E-2</v>
      </c>
      <c r="H511">
        <f t="shared" ca="1" si="69"/>
        <v>8.9821311134967607E-2</v>
      </c>
      <c r="I511">
        <f t="shared" ca="1" si="70"/>
        <v>1.1326675755059778E-2</v>
      </c>
      <c r="J511" s="5">
        <f t="shared" ca="1" si="71"/>
        <v>7.8494635379907834E-2</v>
      </c>
    </row>
    <row r="512" spans="1:10" x14ac:dyDescent="0.2">
      <c r="A512">
        <f t="shared" ca="1" si="63"/>
        <v>0.24443656940005043</v>
      </c>
      <c r="B512">
        <f t="shared" ca="1" si="64"/>
        <v>-0.69210221813642181</v>
      </c>
      <c r="C512">
        <f t="shared" ca="1" si="68"/>
        <v>25.820787654176268</v>
      </c>
      <c r="D512" s="21">
        <f t="shared" ca="1" si="65"/>
        <v>0.31397520116340621</v>
      </c>
      <c r="F512">
        <f t="shared" si="66"/>
        <v>0.50600000000000034</v>
      </c>
      <c r="G512">
        <f t="shared" ca="1" si="67"/>
        <v>9.686864345244528E-2</v>
      </c>
      <c r="H512">
        <f t="shared" ca="1" si="69"/>
        <v>9.6872911383231092E-2</v>
      </c>
      <c r="I512">
        <f t="shared" ca="1" si="70"/>
        <v>1.1407901306075085E-2</v>
      </c>
      <c r="J512" s="5">
        <f t="shared" ca="1" si="71"/>
        <v>8.5465010077156012E-2</v>
      </c>
    </row>
    <row r="513" spans="1:10" x14ac:dyDescent="0.2">
      <c r="A513">
        <f t="shared" ca="1" si="63"/>
        <v>0.78715229112939222</v>
      </c>
      <c r="B513">
        <f t="shared" ca="1" si="64"/>
        <v>0.79657927522294181</v>
      </c>
      <c r="C513">
        <f t="shared" ca="1" si="68"/>
        <v>26.617366929399211</v>
      </c>
      <c r="D513" s="21">
        <f t="shared" ca="1" si="65"/>
        <v>0.29048370300862214</v>
      </c>
      <c r="F513">
        <f t="shared" si="66"/>
        <v>0.50700000000000034</v>
      </c>
      <c r="G513">
        <f t="shared" ca="1" si="67"/>
        <v>9.4680446615887703E-2</v>
      </c>
      <c r="H513">
        <f t="shared" ca="1" si="69"/>
        <v>9.4684604709126985E-2</v>
      </c>
      <c r="I513">
        <f t="shared" ca="1" si="70"/>
        <v>1.1384042487139529E-2</v>
      </c>
      <c r="J513" s="5">
        <f t="shared" ca="1" si="71"/>
        <v>8.3300562221987451E-2</v>
      </c>
    </row>
    <row r="514" spans="1:10" x14ac:dyDescent="0.2">
      <c r="A514">
        <f t="shared" ca="1" si="63"/>
        <v>0.35257796157987065</v>
      </c>
      <c r="B514">
        <f t="shared" ca="1" si="64"/>
        <v>-0.3783697683055996</v>
      </c>
      <c r="C514">
        <f t="shared" ca="1" si="68"/>
        <v>26.238997161093611</v>
      </c>
      <c r="D514" s="21">
        <f t="shared" ca="1" si="65"/>
        <v>0.37138338247804009</v>
      </c>
      <c r="F514">
        <f t="shared" si="66"/>
        <v>0.50800000000000034</v>
      </c>
      <c r="G514">
        <f t="shared" ca="1" si="67"/>
        <v>9.7199857446225224E-2</v>
      </c>
      <c r="H514">
        <f t="shared" ca="1" si="69"/>
        <v>9.7204141095246693E-2</v>
      </c>
      <c r="I514">
        <f t="shared" ca="1" si="70"/>
        <v>1.141383935698892E-2</v>
      </c>
      <c r="J514" s="5">
        <f t="shared" ca="1" si="71"/>
        <v>8.5790301738257774E-2</v>
      </c>
    </row>
    <row r="515" spans="1:10" x14ac:dyDescent="0.2">
      <c r="A515">
        <f t="shared" ca="1" si="63"/>
        <v>0.75514580959487909</v>
      </c>
      <c r="B515">
        <f t="shared" ca="1" si="64"/>
        <v>0.69077272134976098</v>
      </c>
      <c r="C515">
        <f t="shared" ca="1" si="68"/>
        <v>26.92976988244337</v>
      </c>
      <c r="D515" s="21">
        <f t="shared" ca="1" si="65"/>
        <v>0.31426395993193051</v>
      </c>
      <c r="F515">
        <f t="shared" si="66"/>
        <v>0.50900000000000034</v>
      </c>
      <c r="G515">
        <f t="shared" ca="1" si="67"/>
        <v>9.600368700390513E-2</v>
      </c>
      <c r="H515">
        <f t="shared" ca="1" si="69"/>
        <v>9.6007910415541298E-2</v>
      </c>
      <c r="I515">
        <f t="shared" ca="1" si="70"/>
        <v>1.1401273817573171E-2</v>
      </c>
      <c r="J515" s="5">
        <f t="shared" ca="1" si="71"/>
        <v>8.4606636597968132E-2</v>
      </c>
    </row>
    <row r="516" spans="1:10" x14ac:dyDescent="0.2">
      <c r="A516">
        <f t="shared" ca="1" si="63"/>
        <v>0.40686818343163667</v>
      </c>
      <c r="B516">
        <f t="shared" ca="1" si="64"/>
        <v>-0.23560864202959014</v>
      </c>
      <c r="C516">
        <f t="shared" ca="1" si="68"/>
        <v>26.694161240413781</v>
      </c>
      <c r="D516" s="21">
        <f t="shared" ca="1" si="65"/>
        <v>0.38802160834289406</v>
      </c>
      <c r="F516">
        <f t="shared" si="66"/>
        <v>0.51000000000000034</v>
      </c>
      <c r="G516">
        <f t="shared" ca="1" si="67"/>
        <v>9.818839254399532E-2</v>
      </c>
      <c r="H516">
        <f t="shared" ca="1" si="69"/>
        <v>9.819272476947781E-2</v>
      </c>
      <c r="I516">
        <f t="shared" ca="1" si="70"/>
        <v>1.1427291695292082E-2</v>
      </c>
      <c r="J516" s="5">
        <f t="shared" ca="1" si="71"/>
        <v>8.676543307418573E-2</v>
      </c>
    </row>
    <row r="517" spans="1:10" x14ac:dyDescent="0.2">
      <c r="A517">
        <f t="shared" ca="1" si="63"/>
        <v>0.17689192626009531</v>
      </c>
      <c r="B517">
        <f t="shared" ca="1" si="64"/>
        <v>-0.92727484298376994</v>
      </c>
      <c r="C517">
        <f t="shared" ca="1" si="68"/>
        <v>25.76688639743001</v>
      </c>
      <c r="D517" s="21">
        <f t="shared" ca="1" si="65"/>
        <v>0.25953652095530549</v>
      </c>
      <c r="F517">
        <f t="shared" si="66"/>
        <v>0.51100000000000034</v>
      </c>
      <c r="G517">
        <f t="shared" ca="1" si="67"/>
        <v>9.7443551001895515E-2</v>
      </c>
      <c r="H517">
        <f t="shared" ca="1" si="69"/>
        <v>9.7447845551768081E-2</v>
      </c>
      <c r="I517">
        <f t="shared" ca="1" si="70"/>
        <v>1.1419865684616034E-2</v>
      </c>
      <c r="J517" s="5">
        <f t="shared" ca="1" si="71"/>
        <v>8.6027979867152049E-2</v>
      </c>
    </row>
    <row r="518" spans="1:10" x14ac:dyDescent="0.2">
      <c r="A518">
        <f t="shared" ca="1" si="63"/>
        <v>0.1689723054053921</v>
      </c>
      <c r="B518">
        <f t="shared" ca="1" si="64"/>
        <v>-0.95823432793081131</v>
      </c>
      <c r="C518">
        <f t="shared" ca="1" si="68"/>
        <v>24.8086520694992</v>
      </c>
      <c r="D518" s="21">
        <f t="shared" ca="1" si="65"/>
        <v>0.2520708584129559</v>
      </c>
      <c r="F518">
        <f t="shared" si="66"/>
        <v>0.51200000000000034</v>
      </c>
      <c r="G518">
        <f t="shared" ca="1" si="67"/>
        <v>9.4511652722127137E-2</v>
      </c>
      <c r="H518">
        <f t="shared" ca="1" si="69"/>
        <v>9.4515800246409182E-2</v>
      </c>
      <c r="I518">
        <f t="shared" ca="1" si="70"/>
        <v>1.1387510016844071E-2</v>
      </c>
      <c r="J518" s="5">
        <f t="shared" ca="1" si="71"/>
        <v>8.312829022956511E-2</v>
      </c>
    </row>
    <row r="519" spans="1:10" x14ac:dyDescent="0.2">
      <c r="A519">
        <f t="shared" ref="A519:A582" ca="1" si="72">RAND()</f>
        <v>0.53655713496553659</v>
      </c>
      <c r="B519">
        <f t="shared" ref="B519:B582" ca="1" si="73">NORMSINV(A519)</f>
        <v>9.1763769813252849E-2</v>
      </c>
      <c r="C519">
        <f t="shared" ca="1" si="68"/>
        <v>24.900415839312451</v>
      </c>
      <c r="D519" s="21">
        <f t="shared" ref="D519:D582" ca="1" si="74">_xlfn.NORM.DIST(B519,0,1,FALSE)</f>
        <v>0.39726614680683653</v>
      </c>
      <c r="F519">
        <f t="shared" ref="F519:F582" si="75">F518+$M$2/$N$2</f>
        <v>0.51300000000000034</v>
      </c>
      <c r="G519">
        <f t="shared" ref="G519:G582" ca="1" si="76">G518*EXP(-$M$4*$O$2) + $O$4*(1-EXP(-$M$4*$O$2)) + $N$4* SQRT((1-EXP(-2*$M$4*$O$2))/(2*$M$4)) *B518</f>
        <v>9.1482150024829803E-2</v>
      </c>
      <c r="H519">
        <f t="shared" ca="1" si="69"/>
        <v>9.1486145657962481E-2</v>
      </c>
      <c r="I519">
        <f t="shared" ca="1" si="70"/>
        <v>1.1354134369296828E-2</v>
      </c>
      <c r="J519" s="5">
        <f t="shared" ca="1" si="71"/>
        <v>8.013201128866565E-2</v>
      </c>
    </row>
    <row r="520" spans="1:10" x14ac:dyDescent="0.2">
      <c r="A520">
        <f t="shared" ca="1" si="72"/>
        <v>0.31416972685123967</v>
      </c>
      <c r="B520">
        <f t="shared" ca="1" si="73"/>
        <v>-0.4840654029187777</v>
      </c>
      <c r="C520">
        <f t="shared" ref="C520:C583" ca="1" si="77">B520+C519</f>
        <v>24.416350436393675</v>
      </c>
      <c r="D520" s="21">
        <f t="shared" ca="1" si="74"/>
        <v>0.35483648886621033</v>
      </c>
      <c r="F520">
        <f t="shared" si="75"/>
        <v>0.51400000000000035</v>
      </c>
      <c r="G520">
        <f t="shared" ca="1" si="76"/>
        <v>9.1773169778011324E-2</v>
      </c>
      <c r="H520">
        <f t="shared" ref="H520:H583" ca="1" si="78">H519+($M$6 + $N$6*H519)*$O$2 + $O$6*H519^$P$6*SQRT($O$2)*B519</f>
        <v>9.1777179562689978E-2</v>
      </c>
      <c r="I520">
        <f t="shared" ref="I520:I583" ca="1" si="79">I519*EXP(($M$8-0.5*($N$8^2))*$O$2 + $N$8*SQRT($O$2)*B519)</f>
        <v>1.1358508625767068E-2</v>
      </c>
      <c r="J520" s="5">
        <f t="shared" ref="J520:J583" ca="1" si="80">ABS(H520-I520)</f>
        <v>8.0418670936922912E-2</v>
      </c>
    </row>
    <row r="521" spans="1:10" x14ac:dyDescent="0.2">
      <c r="A521">
        <f t="shared" ca="1" si="72"/>
        <v>0.77268916100579366</v>
      </c>
      <c r="B521">
        <f t="shared" ca="1" si="73"/>
        <v>0.74773224431102048</v>
      </c>
      <c r="C521">
        <f t="shared" ca="1" si="77"/>
        <v>25.164082680704695</v>
      </c>
      <c r="D521" s="21">
        <f t="shared" ca="1" si="74"/>
        <v>0.30164927190812163</v>
      </c>
      <c r="F521">
        <f t="shared" si="75"/>
        <v>0.51500000000000035</v>
      </c>
      <c r="G521">
        <f t="shared" ca="1" si="76"/>
        <v>9.0243319744461842E-2</v>
      </c>
      <c r="H521">
        <f t="shared" ca="1" si="78"/>
        <v>9.0247252635023256E-2</v>
      </c>
      <c r="I521">
        <f t="shared" ca="1" si="79"/>
        <v>1.1342212357460699E-2</v>
      </c>
      <c r="J521" s="5">
        <f t="shared" ca="1" si="80"/>
        <v>7.8905040277562552E-2</v>
      </c>
    </row>
    <row r="522" spans="1:10" x14ac:dyDescent="0.2">
      <c r="A522">
        <f t="shared" ca="1" si="72"/>
        <v>0.58271543477500976</v>
      </c>
      <c r="B522">
        <f t="shared" ca="1" si="73"/>
        <v>0.20884514148711228</v>
      </c>
      <c r="C522">
        <f t="shared" ca="1" si="77"/>
        <v>25.372927822191809</v>
      </c>
      <c r="D522" s="21">
        <f t="shared" ca="1" si="74"/>
        <v>0.39033627032420176</v>
      </c>
      <c r="F522">
        <f t="shared" si="75"/>
        <v>0.51600000000000035</v>
      </c>
      <c r="G522">
        <f t="shared" ca="1" si="76"/>
        <v>9.2608714113755236E-2</v>
      </c>
      <c r="H522">
        <f t="shared" ca="1" si="78"/>
        <v>9.2612764881732063E-2</v>
      </c>
      <c r="I522">
        <f t="shared" ca="1" si="79"/>
        <v>1.137014328258908E-2</v>
      </c>
      <c r="J522" s="5">
        <f t="shared" ca="1" si="80"/>
        <v>8.1242621599142986E-2</v>
      </c>
    </row>
    <row r="523" spans="1:10" x14ac:dyDescent="0.2">
      <c r="A523">
        <f t="shared" ca="1" si="72"/>
        <v>0.63131761353964377</v>
      </c>
      <c r="B523">
        <f t="shared" ca="1" si="73"/>
        <v>0.3353451046037923</v>
      </c>
      <c r="C523">
        <f t="shared" ca="1" si="77"/>
        <v>25.708272926795601</v>
      </c>
      <c r="D523" s="21">
        <f t="shared" ca="1" si="74"/>
        <v>0.37712947978412575</v>
      </c>
      <c r="F523">
        <f t="shared" si="75"/>
        <v>0.51700000000000035</v>
      </c>
      <c r="G523">
        <f t="shared" ca="1" si="76"/>
        <v>9.3269846510807622E-2</v>
      </c>
      <c r="H523">
        <f t="shared" ca="1" si="78"/>
        <v>9.327392993060328E-2</v>
      </c>
      <c r="I523">
        <f t="shared" ca="1" si="79"/>
        <v>1.137873583325872E-2</v>
      </c>
      <c r="J523" s="5">
        <f t="shared" ca="1" si="80"/>
        <v>8.1895194097344554E-2</v>
      </c>
    </row>
    <row r="524" spans="1:10" x14ac:dyDescent="0.2">
      <c r="A524">
        <f t="shared" ca="1" si="72"/>
        <v>0.20726964449029428</v>
      </c>
      <c r="B524">
        <f t="shared" ca="1" si="73"/>
        <v>-0.81593154508805654</v>
      </c>
      <c r="C524">
        <f t="shared" ca="1" si="77"/>
        <v>24.892341381707546</v>
      </c>
      <c r="D524" s="21">
        <f t="shared" ca="1" si="74"/>
        <v>0.28598649877998444</v>
      </c>
      <c r="F524">
        <f t="shared" si="75"/>
        <v>0.51800000000000035</v>
      </c>
      <c r="G524">
        <f t="shared" ca="1" si="76"/>
        <v>9.4330920804734847E-2</v>
      </c>
      <c r="H524">
        <f t="shared" ca="1" si="78"/>
        <v>9.4335056870345615E-2</v>
      </c>
      <c r="I524">
        <f t="shared" ca="1" si="79"/>
        <v>1.1391891041535913E-2</v>
      </c>
      <c r="J524" s="5">
        <f t="shared" ca="1" si="80"/>
        <v>8.2943165828809701E-2</v>
      </c>
    </row>
    <row r="525" spans="1:10" x14ac:dyDescent="0.2">
      <c r="A525">
        <f t="shared" ca="1" si="72"/>
        <v>0.56757609836886713</v>
      </c>
      <c r="B525">
        <f t="shared" ca="1" si="73"/>
        <v>0.17020641961735639</v>
      </c>
      <c r="C525">
        <f t="shared" ca="1" si="77"/>
        <v>25.062547801324904</v>
      </c>
      <c r="D525" s="21">
        <f t="shared" ca="1" si="74"/>
        <v>0.39320520791539643</v>
      </c>
      <c r="F525">
        <f t="shared" si="75"/>
        <v>0.51900000000000035</v>
      </c>
      <c r="G525">
        <f t="shared" ca="1" si="76"/>
        <v>9.1751414591780961E-2</v>
      </c>
      <c r="H525">
        <f t="shared" ca="1" si="78"/>
        <v>9.1755421267399939E-2</v>
      </c>
      <c r="I525">
        <f t="shared" ca="1" si="79"/>
        <v>1.1363615040369701E-2</v>
      </c>
      <c r="J525" s="5">
        <f t="shared" ca="1" si="80"/>
        <v>8.0391806227030238E-2</v>
      </c>
    </row>
    <row r="526" spans="1:10" x14ac:dyDescent="0.2">
      <c r="A526">
        <f t="shared" ca="1" si="72"/>
        <v>0.91455757961861051</v>
      </c>
      <c r="B526">
        <f t="shared" ca="1" si="73"/>
        <v>1.3693661789091138</v>
      </c>
      <c r="C526">
        <f t="shared" ca="1" si="77"/>
        <v>26.431913980234018</v>
      </c>
      <c r="D526" s="21">
        <f t="shared" ca="1" si="74"/>
        <v>0.15621525248779464</v>
      </c>
      <c r="F526">
        <f t="shared" si="75"/>
        <v>0.52000000000000035</v>
      </c>
      <c r="G526">
        <f t="shared" ca="1" si="76"/>
        <v>9.2290452456576799E-2</v>
      </c>
      <c r="H526">
        <f t="shared" ca="1" si="78"/>
        <v>9.2294485683646413E-2</v>
      </c>
      <c r="I526">
        <f t="shared" ca="1" si="79"/>
        <v>1.1370813214329988E-2</v>
      </c>
      <c r="J526" s="5">
        <f t="shared" ca="1" si="80"/>
        <v>8.0923672469316421E-2</v>
      </c>
    </row>
    <row r="527" spans="1:10" x14ac:dyDescent="0.2">
      <c r="A527">
        <f t="shared" ca="1" si="72"/>
        <v>0.5657836222724113</v>
      </c>
      <c r="B527">
        <f t="shared" ca="1" si="73"/>
        <v>0.16564954391531331</v>
      </c>
      <c r="C527">
        <f t="shared" ca="1" si="77"/>
        <v>26.597563524149333</v>
      </c>
      <c r="D527" s="21">
        <f t="shared" ca="1" si="74"/>
        <v>0.39350621428776877</v>
      </c>
      <c r="F527">
        <f t="shared" si="75"/>
        <v>0.52100000000000035</v>
      </c>
      <c r="G527">
        <f t="shared" ca="1" si="76"/>
        <v>9.6621322942156404E-2</v>
      </c>
      <c r="H527">
        <f t="shared" ca="1" si="78"/>
        <v>9.6625572311232477E-2</v>
      </c>
      <c r="I527">
        <f t="shared" ca="1" si="79"/>
        <v>1.1421244160984946E-2</v>
      </c>
      <c r="J527" s="5">
        <f t="shared" ca="1" si="80"/>
        <v>8.5204328150247532E-2</v>
      </c>
    </row>
    <row r="528" spans="1:10" x14ac:dyDescent="0.2">
      <c r="A528">
        <f t="shared" ca="1" si="72"/>
        <v>9.8064567437288197E-2</v>
      </c>
      <c r="B528">
        <f t="shared" ca="1" si="73"/>
        <v>-1.2926586795482713</v>
      </c>
      <c r="C528">
        <f t="shared" ca="1" si="77"/>
        <v>25.304904844601062</v>
      </c>
      <c r="D528" s="21">
        <f t="shared" ca="1" si="74"/>
        <v>0.17300725237670264</v>
      </c>
      <c r="F528">
        <f t="shared" si="75"/>
        <v>0.52200000000000035</v>
      </c>
      <c r="G528">
        <f t="shared" ca="1" si="76"/>
        <v>9.7145464454708508E-2</v>
      </c>
      <c r="H528">
        <f t="shared" ca="1" si="78"/>
        <v>9.714973960614183E-2</v>
      </c>
      <c r="I528">
        <f t="shared" ca="1" si="79"/>
        <v>1.1428314155156452E-2</v>
      </c>
      <c r="J528" s="5">
        <f t="shared" ca="1" si="80"/>
        <v>8.5721425450985378E-2</v>
      </c>
    </row>
    <row r="529" spans="1:10" x14ac:dyDescent="0.2">
      <c r="A529">
        <f t="shared" ca="1" si="72"/>
        <v>0.31212898991340798</v>
      </c>
      <c r="B529">
        <f t="shared" ca="1" si="73"/>
        <v>-0.48982465895379501</v>
      </c>
      <c r="C529">
        <f t="shared" ca="1" si="77"/>
        <v>24.815080185647268</v>
      </c>
      <c r="D529" s="21">
        <f t="shared" ca="1" si="74"/>
        <v>0.35384276490162758</v>
      </c>
      <c r="F529">
        <f t="shared" si="75"/>
        <v>0.52300000000000035</v>
      </c>
      <c r="G529">
        <f t="shared" ca="1" si="76"/>
        <v>9.3058208608200035E-2</v>
      </c>
      <c r="H529">
        <f t="shared" ca="1" si="78"/>
        <v>9.3062278967622952E-2</v>
      </c>
      <c r="I529">
        <f t="shared" ca="1" si="79"/>
        <v>1.1382774777435836E-2</v>
      </c>
      <c r="J529" s="5">
        <f t="shared" ca="1" si="80"/>
        <v>8.1679504190187116E-2</v>
      </c>
    </row>
    <row r="530" spans="1:10" x14ac:dyDescent="0.2">
      <c r="A530">
        <f t="shared" ca="1" si="72"/>
        <v>9.5570108513431951E-2</v>
      </c>
      <c r="B530">
        <f t="shared" ca="1" si="73"/>
        <v>-1.307213484766875</v>
      </c>
      <c r="C530">
        <f t="shared" ca="1" si="77"/>
        <v>23.507866700880392</v>
      </c>
      <c r="D530" s="21">
        <f t="shared" ca="1" si="74"/>
        <v>0.16976467245936713</v>
      </c>
      <c r="F530">
        <f t="shared" si="75"/>
        <v>0.52400000000000035</v>
      </c>
      <c r="G530">
        <f t="shared" ca="1" si="76"/>
        <v>9.1510018621074191E-2</v>
      </c>
      <c r="H530">
        <f t="shared" ca="1" si="78"/>
        <v>9.1514011163317005E-2</v>
      </c>
      <c r="I530">
        <f t="shared" ca="1" si="79"/>
        <v>1.1366236686064691E-2</v>
      </c>
      <c r="J530" s="5">
        <f t="shared" ca="1" si="80"/>
        <v>8.0147774477252312E-2</v>
      </c>
    </row>
    <row r="531" spans="1:10" x14ac:dyDescent="0.2">
      <c r="A531">
        <f t="shared" ca="1" si="72"/>
        <v>0.41638722322626742</v>
      </c>
      <c r="B531">
        <f t="shared" ca="1" si="73"/>
        <v>-0.21114459029516461</v>
      </c>
      <c r="C531">
        <f t="shared" ca="1" si="77"/>
        <v>23.296722110585229</v>
      </c>
      <c r="D531" s="21">
        <f t="shared" ca="1" si="74"/>
        <v>0.3901478331945511</v>
      </c>
      <c r="F531">
        <f t="shared" si="75"/>
        <v>0.52500000000000036</v>
      </c>
      <c r="G531">
        <f t="shared" ca="1" si="76"/>
        <v>8.7377302256802791E-2</v>
      </c>
      <c r="H531">
        <f t="shared" ca="1" si="78"/>
        <v>8.7381087762251522E-2</v>
      </c>
      <c r="I531">
        <f t="shared" ca="1" si="79"/>
        <v>1.1320423624122103E-2</v>
      </c>
      <c r="J531" s="5">
        <f t="shared" ca="1" si="80"/>
        <v>7.6060664138129425E-2</v>
      </c>
    </row>
    <row r="532" spans="1:10" x14ac:dyDescent="0.2">
      <c r="A532">
        <f t="shared" ca="1" si="72"/>
        <v>0.79779714531698365</v>
      </c>
      <c r="B532">
        <f t="shared" ca="1" si="73"/>
        <v>0.83377868377849762</v>
      </c>
      <c r="C532">
        <f t="shared" ca="1" si="77"/>
        <v>24.130500794363726</v>
      </c>
      <c r="D532" s="21">
        <f t="shared" ca="1" si="74"/>
        <v>0.28180724222658382</v>
      </c>
      <c r="F532">
        <f t="shared" si="75"/>
        <v>0.52600000000000036</v>
      </c>
      <c r="G532">
        <f t="shared" ca="1" si="76"/>
        <v>8.6710900026009993E-2</v>
      </c>
      <c r="H532">
        <f t="shared" ca="1" si="78"/>
        <v>8.6714651832519501E-2</v>
      </c>
      <c r="I532">
        <f t="shared" ca="1" si="79"/>
        <v>1.1313942298278012E-2</v>
      </c>
      <c r="J532" s="5">
        <f t="shared" ca="1" si="80"/>
        <v>7.5400709534241495E-2</v>
      </c>
    </row>
    <row r="533" spans="1:10" x14ac:dyDescent="0.2">
      <c r="A533">
        <f t="shared" ca="1" si="72"/>
        <v>0.29440097755883521</v>
      </c>
      <c r="B533">
        <f t="shared" ca="1" si="73"/>
        <v>-0.54057296668924526</v>
      </c>
      <c r="C533">
        <f t="shared" ca="1" si="77"/>
        <v>23.589927827674479</v>
      </c>
      <c r="D533" s="21">
        <f t="shared" ca="1" si="74"/>
        <v>0.34471127397601209</v>
      </c>
      <c r="F533">
        <f t="shared" si="75"/>
        <v>0.52700000000000036</v>
      </c>
      <c r="G533">
        <f t="shared" ca="1" si="76"/>
        <v>8.9348736748308941E-2</v>
      </c>
      <c r="H533">
        <f t="shared" ca="1" si="78"/>
        <v>8.935262007257358E-2</v>
      </c>
      <c r="I533">
        <f t="shared" ca="1" si="79"/>
        <v>1.1344890162245717E-2</v>
      </c>
      <c r="J533" s="5">
        <f t="shared" ca="1" si="80"/>
        <v>7.8007729910327867E-2</v>
      </c>
    </row>
    <row r="534" spans="1:10" x14ac:dyDescent="0.2">
      <c r="A534">
        <f t="shared" ca="1" si="72"/>
        <v>0.99038529656594154</v>
      </c>
      <c r="B534">
        <f t="shared" ca="1" si="73"/>
        <v>2.341053587382361</v>
      </c>
      <c r="C534">
        <f t="shared" ca="1" si="77"/>
        <v>25.930981415056841</v>
      </c>
      <c r="D534" s="21">
        <f t="shared" ca="1" si="74"/>
        <v>2.5752991529880972E-2</v>
      </c>
      <c r="F534">
        <f t="shared" si="75"/>
        <v>0.52800000000000036</v>
      </c>
      <c r="G534">
        <f t="shared" ca="1" si="76"/>
        <v>8.7640445473656847E-2</v>
      </c>
      <c r="H534">
        <f t="shared" ca="1" si="78"/>
        <v>8.7644242994313976E-2</v>
      </c>
      <c r="I534">
        <f t="shared" ca="1" si="79"/>
        <v>1.1326589274001613E-2</v>
      </c>
      <c r="J534" s="5">
        <f t="shared" ca="1" si="80"/>
        <v>7.6317653720312364E-2</v>
      </c>
    </row>
    <row r="535" spans="1:10" x14ac:dyDescent="0.2">
      <c r="A535">
        <f t="shared" ca="1" si="72"/>
        <v>3.439215163178222E-2</v>
      </c>
      <c r="B535">
        <f t="shared" ca="1" si="73"/>
        <v>-1.8198339016236842</v>
      </c>
      <c r="C535">
        <f t="shared" ca="1" si="77"/>
        <v>24.111147513433156</v>
      </c>
      <c r="D535" s="21">
        <f t="shared" ca="1" si="74"/>
        <v>7.616629416397365E-2</v>
      </c>
      <c r="F535">
        <f t="shared" si="75"/>
        <v>0.52900000000000036</v>
      </c>
      <c r="G535">
        <f t="shared" ca="1" si="76"/>
        <v>9.5044372690299389E-2</v>
      </c>
      <c r="H535">
        <f t="shared" ca="1" si="78"/>
        <v>9.504854003065083E-2</v>
      </c>
      <c r="I535">
        <f t="shared" ca="1" si="79"/>
        <v>1.1411835929461656E-2</v>
      </c>
      <c r="J535" s="5">
        <f t="shared" ca="1" si="80"/>
        <v>8.3636704101189174E-2</v>
      </c>
    </row>
    <row r="536" spans="1:10" x14ac:dyDescent="0.2">
      <c r="A536">
        <f t="shared" ca="1" si="72"/>
        <v>0.82976193847346835</v>
      </c>
      <c r="B536">
        <f t="shared" ca="1" si="73"/>
        <v>0.95322491941030396</v>
      </c>
      <c r="C536">
        <f t="shared" ca="1" si="77"/>
        <v>25.064372432843459</v>
      </c>
      <c r="D536" s="21">
        <f t="shared" ca="1" si="74"/>
        <v>0.2532805765045289</v>
      </c>
      <c r="F536">
        <f t="shared" si="75"/>
        <v>0.53000000000000036</v>
      </c>
      <c r="G536">
        <f t="shared" ca="1" si="76"/>
        <v>8.9290335864947334E-2</v>
      </c>
      <c r="H536">
        <f t="shared" ca="1" si="78"/>
        <v>8.929421508432614E-2</v>
      </c>
      <c r="I536">
        <f t="shared" ca="1" si="79"/>
        <v>1.1347429427714863E-2</v>
      </c>
      <c r="J536" s="5">
        <f t="shared" ca="1" si="80"/>
        <v>7.7946785656611284E-2</v>
      </c>
    </row>
    <row r="537" spans="1:10" x14ac:dyDescent="0.2">
      <c r="A537">
        <f t="shared" ca="1" si="72"/>
        <v>0.39415040653961064</v>
      </c>
      <c r="B537">
        <f t="shared" ca="1" si="73"/>
        <v>-0.26851775101564768</v>
      </c>
      <c r="C537">
        <f t="shared" ca="1" si="77"/>
        <v>24.795854681827812</v>
      </c>
      <c r="D537" s="21">
        <f t="shared" ca="1" si="74"/>
        <v>0.38481621415151362</v>
      </c>
      <c r="F537">
        <f t="shared" si="75"/>
        <v>0.53100000000000036</v>
      </c>
      <c r="G537">
        <f t="shared" ca="1" si="76"/>
        <v>9.230561793376757E-2</v>
      </c>
      <c r="H537">
        <f t="shared" ca="1" si="78"/>
        <v>9.230964753058471E-2</v>
      </c>
      <c r="I537">
        <f t="shared" ca="1" si="79"/>
        <v>1.1382767603191055E-2</v>
      </c>
      <c r="J537" s="5">
        <f t="shared" ca="1" si="80"/>
        <v>8.0926879927393655E-2</v>
      </c>
    </row>
    <row r="538" spans="1:10" x14ac:dyDescent="0.2">
      <c r="A538">
        <f t="shared" ca="1" si="72"/>
        <v>0.24462935110397888</v>
      </c>
      <c r="B538">
        <f t="shared" ca="1" si="73"/>
        <v>-0.69148834555872907</v>
      </c>
      <c r="C538">
        <f t="shared" ca="1" si="77"/>
        <v>24.104366336269084</v>
      </c>
      <c r="D538" s="21">
        <f t="shared" ca="1" si="74"/>
        <v>0.31410856663242243</v>
      </c>
      <c r="F538">
        <f t="shared" si="75"/>
        <v>0.53200000000000036</v>
      </c>
      <c r="G538">
        <f t="shared" ca="1" si="76"/>
        <v>9.1457302102723459E-2</v>
      </c>
      <c r="H538">
        <f t="shared" ca="1" si="78"/>
        <v>9.1461288880436212E-2</v>
      </c>
      <c r="I538">
        <f t="shared" ca="1" si="79"/>
        <v>1.13741867789303E-2</v>
      </c>
      <c r="J538" s="5">
        <f t="shared" ca="1" si="80"/>
        <v>8.0087102101505908E-2</v>
      </c>
    </row>
    <row r="539" spans="1:10" x14ac:dyDescent="0.2">
      <c r="A539">
        <f t="shared" ca="1" si="72"/>
        <v>0.36340207584347017</v>
      </c>
      <c r="B539">
        <f t="shared" ca="1" si="73"/>
        <v>-0.34937985938819616</v>
      </c>
      <c r="C539">
        <f t="shared" ca="1" si="77"/>
        <v>23.754986476880887</v>
      </c>
      <c r="D539" s="21">
        <f t="shared" ca="1" si="74"/>
        <v>0.37532172920927304</v>
      </c>
      <c r="F539">
        <f t="shared" si="75"/>
        <v>0.53300000000000036</v>
      </c>
      <c r="G539">
        <f t="shared" ca="1" si="76"/>
        <v>8.9271587511725939E-2</v>
      </c>
      <c r="H539">
        <f t="shared" ca="1" si="78"/>
        <v>8.9275464604121002E-2</v>
      </c>
      <c r="I539">
        <f t="shared" ca="1" si="79"/>
        <v>1.1350420505362609E-2</v>
      </c>
      <c r="J539" s="5">
        <f t="shared" ca="1" si="80"/>
        <v>7.7925044098758389E-2</v>
      </c>
    </row>
    <row r="540" spans="1:10" x14ac:dyDescent="0.2">
      <c r="A540">
        <f t="shared" ca="1" si="72"/>
        <v>0.79031572994456611</v>
      </c>
      <c r="B540">
        <f t="shared" ca="1" si="73"/>
        <v>0.80751725031687827</v>
      </c>
      <c r="C540">
        <f t="shared" ca="1" si="77"/>
        <v>24.562503727197765</v>
      </c>
      <c r="D540" s="21">
        <f t="shared" ca="1" si="74"/>
        <v>0.28794649769844066</v>
      </c>
      <c r="F540">
        <f t="shared" si="75"/>
        <v>0.53400000000000036</v>
      </c>
      <c r="G540">
        <f t="shared" ca="1" si="76"/>
        <v>8.8167879414582997E-2</v>
      </c>
      <c r="H540">
        <f t="shared" ca="1" si="78"/>
        <v>8.8171700933404526E-2</v>
      </c>
      <c r="I540">
        <f t="shared" ca="1" si="79"/>
        <v>1.1338964226166651E-2</v>
      </c>
      <c r="J540" s="5">
        <f t="shared" ca="1" si="80"/>
        <v>7.6832736707237878E-2</v>
      </c>
    </row>
    <row r="541" spans="1:10" x14ac:dyDescent="0.2">
      <c r="A541">
        <f t="shared" ca="1" si="72"/>
        <v>0.93320468674007029</v>
      </c>
      <c r="B541">
        <f t="shared" ca="1" si="73"/>
        <v>1.5000917931446385</v>
      </c>
      <c r="C541">
        <f t="shared" ca="1" si="77"/>
        <v>26.062595520342402</v>
      </c>
      <c r="D541" s="21">
        <f t="shared" ca="1" si="74"/>
        <v>0.12949976310689276</v>
      </c>
      <c r="F541">
        <f t="shared" si="75"/>
        <v>0.53500000000000036</v>
      </c>
      <c r="G541">
        <f t="shared" ca="1" si="76"/>
        <v>9.0722528653992274E-2</v>
      </c>
      <c r="H541">
        <f t="shared" ca="1" si="78"/>
        <v>9.0726477524188845E-2</v>
      </c>
      <c r="I541">
        <f t="shared" ca="1" si="79"/>
        <v>1.1369036342901494E-2</v>
      </c>
      <c r="J541" s="5">
        <f t="shared" ca="1" si="80"/>
        <v>7.9357441181287347E-2</v>
      </c>
    </row>
    <row r="542" spans="1:10" x14ac:dyDescent="0.2">
      <c r="A542">
        <f t="shared" ca="1" si="72"/>
        <v>0.19162678029943758</v>
      </c>
      <c r="B542">
        <f t="shared" ca="1" si="73"/>
        <v>-0.87191718003009744</v>
      </c>
      <c r="C542">
        <f t="shared" ca="1" si="77"/>
        <v>25.190678340312303</v>
      </c>
      <c r="D542" s="21">
        <f t="shared" ca="1" si="74"/>
        <v>0.27278855229523091</v>
      </c>
      <c r="F542">
        <f t="shared" si="75"/>
        <v>0.53600000000000037</v>
      </c>
      <c r="G542">
        <f t="shared" ca="1" si="76"/>
        <v>9.5466925944948294E-2</v>
      </c>
      <c r="H542">
        <f t="shared" ca="1" si="78"/>
        <v>9.5471111642099635E-2</v>
      </c>
      <c r="I542">
        <f t="shared" ca="1" si="79"/>
        <v>1.1424181082994127E-2</v>
      </c>
      <c r="J542" s="5">
        <f t="shared" ca="1" si="80"/>
        <v>8.4046930559105504E-2</v>
      </c>
    </row>
    <row r="543" spans="1:10" x14ac:dyDescent="0.2">
      <c r="A543">
        <f t="shared" ca="1" si="72"/>
        <v>0.19602847436050808</v>
      </c>
      <c r="B543">
        <f t="shared" ca="1" si="73"/>
        <v>-0.85589303346942924</v>
      </c>
      <c r="C543">
        <f t="shared" ca="1" si="77"/>
        <v>24.334785306842875</v>
      </c>
      <c r="D543" s="21">
        <f t="shared" ca="1" si="74"/>
        <v>0.27659111690574173</v>
      </c>
      <c r="F543">
        <f t="shared" si="75"/>
        <v>0.53700000000000037</v>
      </c>
      <c r="G543">
        <f t="shared" ca="1" si="76"/>
        <v>9.2710272866229973E-2</v>
      </c>
      <c r="H543">
        <f t="shared" ca="1" si="78"/>
        <v>9.2714320311009235E-2</v>
      </c>
      <c r="I543">
        <f t="shared" ca="1" si="79"/>
        <v>1.1393807571730401E-2</v>
      </c>
      <c r="J543" s="5">
        <f t="shared" ca="1" si="80"/>
        <v>8.132051273927883E-2</v>
      </c>
    </row>
    <row r="544" spans="1:10" x14ac:dyDescent="0.2">
      <c r="A544">
        <f t="shared" ca="1" si="72"/>
        <v>0.171491210800921</v>
      </c>
      <c r="B544">
        <f t="shared" ca="1" si="73"/>
        <v>-0.94828885782266692</v>
      </c>
      <c r="C544">
        <f t="shared" ca="1" si="77"/>
        <v>23.386496449020207</v>
      </c>
      <c r="D544" s="21">
        <f t="shared" ca="1" si="74"/>
        <v>0.25447201439053158</v>
      </c>
      <c r="F544">
        <f t="shared" si="75"/>
        <v>0.53800000000000037</v>
      </c>
      <c r="G544">
        <f t="shared" ca="1" si="76"/>
        <v>9.000456570619432E-2</v>
      </c>
      <c r="H544">
        <f t="shared" ca="1" si="78"/>
        <v>9.000847745974401E-2</v>
      </c>
      <c r="I544">
        <f t="shared" ca="1" si="79"/>
        <v>1.1364090650340972E-2</v>
      </c>
      <c r="J544" s="5">
        <f t="shared" ca="1" si="80"/>
        <v>7.8644386809403041E-2</v>
      </c>
    </row>
    <row r="545" spans="1:10" x14ac:dyDescent="0.2">
      <c r="A545">
        <f t="shared" ca="1" si="72"/>
        <v>2.3064337437277427E-2</v>
      </c>
      <c r="B545">
        <f t="shared" ca="1" si="73"/>
        <v>-1.9942139812486701</v>
      </c>
      <c r="C545">
        <f t="shared" ca="1" si="77"/>
        <v>21.392282467771537</v>
      </c>
      <c r="D545" s="21">
        <f t="shared" ca="1" si="74"/>
        <v>5.4618466741337919E-2</v>
      </c>
      <c r="F545">
        <f t="shared" si="75"/>
        <v>0.53900000000000037</v>
      </c>
      <c r="G545">
        <f t="shared" ca="1" si="76"/>
        <v>8.7006962460555379E-2</v>
      </c>
      <c r="H545">
        <f t="shared" ca="1" si="78"/>
        <v>8.7010723941518833E-2</v>
      </c>
      <c r="I545">
        <f t="shared" ca="1" si="79"/>
        <v>1.1331140005182126E-2</v>
      </c>
      <c r="J545" s="5">
        <f t="shared" ca="1" si="80"/>
        <v>7.5679583936336711E-2</v>
      </c>
    </row>
    <row r="546" spans="1:10" x14ac:dyDescent="0.2">
      <c r="A546">
        <f t="shared" ca="1" si="72"/>
        <v>0.52146360398398428</v>
      </c>
      <c r="B546">
        <f t="shared" ca="1" si="73"/>
        <v>5.3827258276320337E-2</v>
      </c>
      <c r="C546">
        <f t="shared" ca="1" si="77"/>
        <v>21.446109726047858</v>
      </c>
      <c r="D546" s="21">
        <f t="shared" ca="1" si="74"/>
        <v>0.39836475638594682</v>
      </c>
      <c r="F546">
        <f t="shared" si="75"/>
        <v>0.54000000000000037</v>
      </c>
      <c r="G546">
        <f t="shared" ca="1" si="76"/>
        <v>8.0702318676626833E-2</v>
      </c>
      <c r="H546">
        <f t="shared" ca="1" si="78"/>
        <v>8.0705764546626577E-2</v>
      </c>
      <c r="I546">
        <f t="shared" ca="1" si="79"/>
        <v>1.1260977491839767E-2</v>
      </c>
      <c r="J546" s="5">
        <f t="shared" ca="1" si="80"/>
        <v>6.9444787054786808E-2</v>
      </c>
    </row>
    <row r="547" spans="1:10" x14ac:dyDescent="0.2">
      <c r="A547">
        <f t="shared" ca="1" si="72"/>
        <v>7.5242831628363871E-2</v>
      </c>
      <c r="B547">
        <f t="shared" ca="1" si="73"/>
        <v>-1.4378181320528958</v>
      </c>
      <c r="C547">
        <f t="shared" ca="1" si="77"/>
        <v>20.008291593994961</v>
      </c>
      <c r="D547" s="21">
        <f t="shared" ca="1" si="74"/>
        <v>0.141904778021085</v>
      </c>
      <c r="F547">
        <f t="shared" si="75"/>
        <v>0.54100000000000037</v>
      </c>
      <c r="G547">
        <f t="shared" ca="1" si="76"/>
        <v>8.0874456574147074E-2</v>
      </c>
      <c r="H547">
        <f t="shared" ca="1" si="78"/>
        <v>8.0877910706527237E-2</v>
      </c>
      <c r="I547">
        <f t="shared" ca="1" si="79"/>
        <v>1.126396448762145E-2</v>
      </c>
      <c r="J547" s="5">
        <f t="shared" ca="1" si="80"/>
        <v>6.9613946218905792E-2</v>
      </c>
    </row>
    <row r="548" spans="1:10" x14ac:dyDescent="0.2">
      <c r="A548">
        <f t="shared" ca="1" si="72"/>
        <v>8.1410285549818551E-2</v>
      </c>
      <c r="B548">
        <f t="shared" ca="1" si="73"/>
        <v>-1.3956478318018788</v>
      </c>
      <c r="C548">
        <f t="shared" ca="1" si="77"/>
        <v>18.612643762193084</v>
      </c>
      <c r="D548" s="21">
        <f t="shared" ca="1" si="74"/>
        <v>0.15064111869022453</v>
      </c>
      <c r="F548">
        <f t="shared" si="75"/>
        <v>0.54200000000000037</v>
      </c>
      <c r="G548">
        <f t="shared" ca="1" si="76"/>
        <v>7.6329816204025097E-2</v>
      </c>
      <c r="H548">
        <f t="shared" ca="1" si="78"/>
        <v>7.6333042757080694E-2</v>
      </c>
      <c r="I548">
        <f t="shared" ca="1" si="79"/>
        <v>1.1213931245140193E-2</v>
      </c>
      <c r="J548" s="5">
        <f t="shared" ca="1" si="80"/>
        <v>6.5119111511940497E-2</v>
      </c>
    </row>
    <row r="549" spans="1:10" x14ac:dyDescent="0.2">
      <c r="A549">
        <f t="shared" ca="1" si="72"/>
        <v>0.55818391815464352</v>
      </c>
      <c r="B549">
        <f t="shared" ca="1" si="73"/>
        <v>0.14636638333246885</v>
      </c>
      <c r="C549">
        <f t="shared" ca="1" si="77"/>
        <v>18.759010145525554</v>
      </c>
      <c r="D549" s="21">
        <f t="shared" ca="1" si="74"/>
        <v>0.39469179191352177</v>
      </c>
      <c r="F549">
        <f t="shared" si="75"/>
        <v>0.54300000000000037</v>
      </c>
      <c r="G549">
        <f t="shared" ca="1" si="76"/>
        <v>7.1918977806191969E-2</v>
      </c>
      <c r="H549">
        <f t="shared" ca="1" si="78"/>
        <v>7.1921983492835462E-2</v>
      </c>
      <c r="I549">
        <f t="shared" ca="1" si="79"/>
        <v>1.1165609126180127E-2</v>
      </c>
      <c r="J549" s="5">
        <f t="shared" ca="1" si="80"/>
        <v>6.0756374366655333E-2</v>
      </c>
    </row>
    <row r="550" spans="1:10" x14ac:dyDescent="0.2">
      <c r="A550">
        <f t="shared" ca="1" si="72"/>
        <v>0.37373560131669525</v>
      </c>
      <c r="B550">
        <f t="shared" ca="1" si="73"/>
        <v>-0.32197556933980853</v>
      </c>
      <c r="C550">
        <f t="shared" ca="1" si="77"/>
        <v>18.437034576185745</v>
      </c>
      <c r="D550" s="21">
        <f t="shared" ca="1" si="74"/>
        <v>0.37879024634365094</v>
      </c>
      <c r="F550">
        <f t="shared" si="75"/>
        <v>0.54400000000000037</v>
      </c>
      <c r="G550">
        <f t="shared" ca="1" si="76"/>
        <v>7.2384613770629852E-2</v>
      </c>
      <c r="H550">
        <f t="shared" ca="1" si="78"/>
        <v>7.238764243869808E-2</v>
      </c>
      <c r="I550">
        <f t="shared" ca="1" si="79"/>
        <v>1.1171839611687148E-2</v>
      </c>
      <c r="J550" s="5">
        <f t="shared" ca="1" si="80"/>
        <v>6.1215802827010932E-2</v>
      </c>
    </row>
    <row r="551" spans="1:10" x14ac:dyDescent="0.2">
      <c r="A551">
        <f t="shared" ca="1" si="72"/>
        <v>0.9519353002870754</v>
      </c>
      <c r="B551">
        <f t="shared" ca="1" si="73"/>
        <v>1.6639150877994677</v>
      </c>
      <c r="C551">
        <f t="shared" ca="1" si="77"/>
        <v>20.100949663985212</v>
      </c>
      <c r="D551" s="21">
        <f t="shared" ca="1" si="74"/>
        <v>9.9934006793703137E-2</v>
      </c>
      <c r="F551">
        <f t="shared" si="75"/>
        <v>0.54500000000000037</v>
      </c>
      <c r="G551">
        <f t="shared" ca="1" si="76"/>
        <v>7.1369249927823591E-2</v>
      </c>
      <c r="H551">
        <f t="shared" ca="1" si="78"/>
        <v>7.1372227524410942E-2</v>
      </c>
      <c r="I551">
        <f t="shared" ca="1" si="79"/>
        <v>1.1161530794964541E-2</v>
      </c>
      <c r="J551" s="5">
        <f t="shared" ca="1" si="80"/>
        <v>6.02106967294464E-2</v>
      </c>
    </row>
    <row r="552" spans="1:10" x14ac:dyDescent="0.2">
      <c r="A552">
        <f t="shared" ca="1" si="72"/>
        <v>0.95610040512450734</v>
      </c>
      <c r="B552">
        <f t="shared" ca="1" si="73"/>
        <v>1.7071230173232144</v>
      </c>
      <c r="C552">
        <f t="shared" ca="1" si="77"/>
        <v>21.808072681308428</v>
      </c>
      <c r="D552" s="21">
        <f t="shared" ca="1" si="74"/>
        <v>9.2914735277597194E-2</v>
      </c>
      <c r="F552">
        <f t="shared" si="75"/>
        <v>0.54600000000000037</v>
      </c>
      <c r="G552">
        <f t="shared" ca="1" si="76"/>
        <v>7.6633611293133189E-2</v>
      </c>
      <c r="H552">
        <f t="shared" ca="1" si="78"/>
        <v>7.6636851812223877E-2</v>
      </c>
      <c r="I552">
        <f t="shared" ca="1" si="79"/>
        <v>1.1221480879323181E-2</v>
      </c>
      <c r="J552" s="5">
        <f t="shared" ca="1" si="80"/>
        <v>6.5415370932900702E-2</v>
      </c>
    </row>
    <row r="553" spans="1:10" x14ac:dyDescent="0.2">
      <c r="A553">
        <f t="shared" ca="1" si="72"/>
        <v>0.43136224852765814</v>
      </c>
      <c r="B553">
        <f t="shared" ca="1" si="73"/>
        <v>-0.17290704105578986</v>
      </c>
      <c r="C553">
        <f t="shared" ca="1" si="77"/>
        <v>21.635165640252637</v>
      </c>
      <c r="D553" s="21">
        <f t="shared" ca="1" si="74"/>
        <v>0.39302307429090977</v>
      </c>
      <c r="F553">
        <f t="shared" si="75"/>
        <v>0.54700000000000037</v>
      </c>
      <c r="G553">
        <f t="shared" ca="1" si="76"/>
        <v>8.2034074887413391E-2</v>
      </c>
      <c r="H553">
        <f t="shared" ca="1" si="78"/>
        <v>8.2037585107883088E-2</v>
      </c>
      <c r="I553">
        <f t="shared" ca="1" si="79"/>
        <v>1.1283294556592275E-2</v>
      </c>
      <c r="J553" s="5">
        <f t="shared" ca="1" si="80"/>
        <v>7.0754290551290816E-2</v>
      </c>
    </row>
    <row r="554" spans="1:10" x14ac:dyDescent="0.2">
      <c r="A554">
        <f t="shared" ca="1" si="72"/>
        <v>0.70217147792316159</v>
      </c>
      <c r="B554">
        <f t="shared" ca="1" si="73"/>
        <v>0.53065619864029201</v>
      </c>
      <c r="C554">
        <f t="shared" ca="1" si="77"/>
        <v>22.165821838892928</v>
      </c>
      <c r="D554" s="21">
        <f t="shared" ca="1" si="74"/>
        <v>0.34654710175756165</v>
      </c>
      <c r="F554">
        <f t="shared" si="75"/>
        <v>0.54800000000000038</v>
      </c>
      <c r="G554">
        <f t="shared" ca="1" si="76"/>
        <v>8.1489118654746062E-2</v>
      </c>
      <c r="H554">
        <f t="shared" ca="1" si="78"/>
        <v>8.1492601276155763E-2</v>
      </c>
      <c r="I554">
        <f t="shared" ca="1" si="79"/>
        <v>1.1278198140267728E-2</v>
      </c>
      <c r="J554" s="5">
        <f t="shared" ca="1" si="80"/>
        <v>7.0214403135888032E-2</v>
      </c>
    </row>
    <row r="555" spans="1:10" x14ac:dyDescent="0.2">
      <c r="A555">
        <f t="shared" ca="1" si="72"/>
        <v>0.76541848196762641</v>
      </c>
      <c r="B555">
        <f t="shared" ca="1" si="73"/>
        <v>0.72384151956075515</v>
      </c>
      <c r="C555">
        <f t="shared" ca="1" si="77"/>
        <v>22.889663358453681</v>
      </c>
      <c r="D555" s="21">
        <f t="shared" ca="1" si="74"/>
        <v>0.3069986877221732</v>
      </c>
      <c r="F555">
        <f t="shared" si="75"/>
        <v>0.54900000000000038</v>
      </c>
      <c r="G555">
        <f t="shared" ca="1" si="76"/>
        <v>8.316896799190307E-2</v>
      </c>
      <c r="H555">
        <f t="shared" ca="1" si="78"/>
        <v>8.3172534258218217E-2</v>
      </c>
      <c r="I555">
        <f t="shared" ca="1" si="79"/>
        <v>1.1298213051912738E-2</v>
      </c>
      <c r="J555" s="5">
        <f t="shared" ca="1" si="80"/>
        <v>7.1874321206305478E-2</v>
      </c>
    </row>
    <row r="556" spans="1:10" x14ac:dyDescent="0.2">
      <c r="A556">
        <f t="shared" ca="1" si="72"/>
        <v>0.43051978851523376</v>
      </c>
      <c r="B556">
        <f t="shared" ca="1" si="73"/>
        <v>-0.17505097832915384</v>
      </c>
      <c r="C556">
        <f t="shared" ca="1" si="77"/>
        <v>22.714612380124528</v>
      </c>
      <c r="D556" s="21">
        <f t="shared" ca="1" si="74"/>
        <v>0.39287650398838481</v>
      </c>
      <c r="F556">
        <f t="shared" si="75"/>
        <v>0.55000000000000038</v>
      </c>
      <c r="G556">
        <f t="shared" ca="1" si="76"/>
        <v>8.5459524433135994E-2</v>
      </c>
      <c r="H556">
        <f t="shared" ca="1" si="78"/>
        <v>8.5463204871601708E-2</v>
      </c>
      <c r="I556">
        <f t="shared" ca="1" si="79"/>
        <v>1.1325179986395446E-2</v>
      </c>
      <c r="J556" s="5">
        <f t="shared" ca="1" si="80"/>
        <v>7.4138024885206266E-2</v>
      </c>
    </row>
    <row r="557" spans="1:10" x14ac:dyDescent="0.2">
      <c r="A557">
        <f t="shared" ca="1" si="72"/>
        <v>0.90452646303636941</v>
      </c>
      <c r="B557">
        <f t="shared" ca="1" si="73"/>
        <v>1.3077825518022885</v>
      </c>
      <c r="C557">
        <f t="shared" ca="1" si="77"/>
        <v>24.022394931926815</v>
      </c>
      <c r="D557" s="21">
        <f t="shared" ca="1" si="74"/>
        <v>0.16963840535278688</v>
      </c>
      <c r="F557">
        <f t="shared" si="75"/>
        <v>0.55100000000000038</v>
      </c>
      <c r="G557">
        <f t="shared" ca="1" si="76"/>
        <v>8.4907446286668534E-2</v>
      </c>
      <c r="H557">
        <f t="shared" ca="1" si="78"/>
        <v>8.4911098752953634E-2</v>
      </c>
      <c r="I557">
        <f t="shared" ca="1" si="79"/>
        <v>1.1319987904677701E-2</v>
      </c>
      <c r="J557" s="5">
        <f t="shared" ca="1" si="80"/>
        <v>7.3591110848275937E-2</v>
      </c>
    </row>
    <row r="558" spans="1:10" x14ac:dyDescent="0.2">
      <c r="A558">
        <f t="shared" ca="1" si="72"/>
        <v>0.37217805898503398</v>
      </c>
      <c r="B558">
        <f t="shared" ca="1" si="73"/>
        <v>-0.32609019133165063</v>
      </c>
      <c r="C558">
        <f t="shared" ca="1" si="77"/>
        <v>23.696304740595163</v>
      </c>
      <c r="D558" s="21">
        <f t="shared" ca="1" si="74"/>
        <v>0.37828555212772269</v>
      </c>
      <c r="F558">
        <f t="shared" si="75"/>
        <v>0.55200000000000038</v>
      </c>
      <c r="G558">
        <f t="shared" ca="1" si="76"/>
        <v>8.9044320244539996E-2</v>
      </c>
      <c r="H558">
        <f t="shared" ca="1" si="78"/>
        <v>8.904817919100072E-2</v>
      </c>
      <c r="I558">
        <f t="shared" ca="1" si="79"/>
        <v>1.1367979367510469E-2</v>
      </c>
      <c r="J558" s="5">
        <f t="shared" ca="1" si="80"/>
        <v>7.7680199823490254E-2</v>
      </c>
    </row>
    <row r="559" spans="1:10" x14ac:dyDescent="0.2">
      <c r="A559">
        <f t="shared" ca="1" si="72"/>
        <v>0.72758378444370297</v>
      </c>
      <c r="B559">
        <f t="shared" ca="1" si="73"/>
        <v>0.60552166925782158</v>
      </c>
      <c r="C559">
        <f t="shared" ca="1" si="77"/>
        <v>24.301826409852985</v>
      </c>
      <c r="D559" s="21">
        <f t="shared" ca="1" si="74"/>
        <v>0.33211739300547893</v>
      </c>
      <c r="F559">
        <f t="shared" si="75"/>
        <v>0.55300000000000038</v>
      </c>
      <c r="G559">
        <f t="shared" ca="1" si="76"/>
        <v>8.8014279587729005E-2</v>
      </c>
      <c r="H559">
        <f t="shared" ca="1" si="78"/>
        <v>8.8018086645833507E-2</v>
      </c>
      <c r="I559">
        <f t="shared" ca="1" si="79"/>
        <v>1.1357341784907077E-2</v>
      </c>
      <c r="J559" s="5">
        <f t="shared" ca="1" si="80"/>
        <v>7.666074486092643E-2</v>
      </c>
    </row>
    <row r="560" spans="1:10" x14ac:dyDescent="0.2">
      <c r="A560">
        <f t="shared" ca="1" si="72"/>
        <v>0.57139848702189988</v>
      </c>
      <c r="B560">
        <f t="shared" ca="1" si="73"/>
        <v>0.17993572812839809</v>
      </c>
      <c r="C560">
        <f t="shared" ca="1" si="77"/>
        <v>24.481762137981384</v>
      </c>
      <c r="D560" s="21">
        <f t="shared" ca="1" si="74"/>
        <v>0.39253602350789385</v>
      </c>
      <c r="F560">
        <f t="shared" si="75"/>
        <v>0.55400000000000038</v>
      </c>
      <c r="G560">
        <f t="shared" ca="1" si="76"/>
        <v>8.9930210009892181E-2</v>
      </c>
      <c r="H560">
        <f t="shared" ca="1" si="78"/>
        <v>8.9934112484610793E-2</v>
      </c>
      <c r="I560">
        <f t="shared" ca="1" si="79"/>
        <v>1.138019103826694E-2</v>
      </c>
      <c r="J560" s="5">
        <f t="shared" ca="1" si="80"/>
        <v>7.855392144634385E-2</v>
      </c>
    </row>
    <row r="561" spans="1:10" x14ac:dyDescent="0.2">
      <c r="A561">
        <f t="shared" ca="1" si="72"/>
        <v>0.69593749276768657</v>
      </c>
      <c r="B561">
        <f t="shared" ca="1" si="73"/>
        <v>0.51275170787074997</v>
      </c>
      <c r="C561">
        <f t="shared" ca="1" si="77"/>
        <v>24.994513845852133</v>
      </c>
      <c r="D561" s="21">
        <f t="shared" ca="1" si="74"/>
        <v>0.34979930957620725</v>
      </c>
      <c r="F561">
        <f t="shared" si="75"/>
        <v>0.55500000000000038</v>
      </c>
      <c r="G561">
        <f t="shared" ca="1" si="76"/>
        <v>9.0500195222719196E-2</v>
      </c>
      <c r="H561">
        <f t="shared" ca="1" si="78"/>
        <v>9.0504125806688901E-2</v>
      </c>
      <c r="I561">
        <f t="shared" ca="1" si="79"/>
        <v>1.1387750071089503E-2</v>
      </c>
      <c r="J561" s="5">
        <f t="shared" ca="1" si="80"/>
        <v>7.9116375735599404E-2</v>
      </c>
    </row>
    <row r="562" spans="1:10" x14ac:dyDescent="0.2">
      <c r="A562">
        <f t="shared" ca="1" si="72"/>
        <v>0.74128525492269115</v>
      </c>
      <c r="B562">
        <f t="shared" ca="1" si="73"/>
        <v>0.64731284454926752</v>
      </c>
      <c r="C562">
        <f t="shared" ca="1" si="77"/>
        <v>25.641826690401402</v>
      </c>
      <c r="D562" s="21">
        <f t="shared" ca="1" si="74"/>
        <v>0.32353580452765046</v>
      </c>
      <c r="F562">
        <f t="shared" si="75"/>
        <v>0.55600000000000038</v>
      </c>
      <c r="G562">
        <f t="shared" ca="1" si="76"/>
        <v>9.2122527356926692E-2</v>
      </c>
      <c r="H562">
        <f t="shared" ca="1" si="78"/>
        <v>9.2126538665121091E-2</v>
      </c>
      <c r="I562">
        <f t="shared" ca="1" si="79"/>
        <v>1.1407313510985794E-2</v>
      </c>
      <c r="J562" s="5">
        <f t="shared" ca="1" si="80"/>
        <v>8.0719225154135293E-2</v>
      </c>
    </row>
    <row r="563" spans="1:10" x14ac:dyDescent="0.2">
      <c r="A563">
        <f t="shared" ca="1" si="72"/>
        <v>0.67629063658992239</v>
      </c>
      <c r="B563">
        <f t="shared" ca="1" si="73"/>
        <v>0.45735107118006674</v>
      </c>
      <c r="C563">
        <f t="shared" ca="1" si="77"/>
        <v>26.099177761581469</v>
      </c>
      <c r="D563" s="21">
        <f t="shared" ca="1" si="74"/>
        <v>0.3593266073309358</v>
      </c>
      <c r="F563">
        <f t="shared" si="75"/>
        <v>0.55700000000000038</v>
      </c>
      <c r="G563">
        <f t="shared" ca="1" si="76"/>
        <v>9.4170195667380135E-2</v>
      </c>
      <c r="H563">
        <f t="shared" ca="1" si="78"/>
        <v>9.4174308958712774E-2</v>
      </c>
      <c r="I563">
        <f t="shared" ca="1" si="79"/>
        <v>1.1431773969593014E-2</v>
      </c>
      <c r="J563" s="5">
        <f t="shared" ca="1" si="80"/>
        <v>8.2742534989119765E-2</v>
      </c>
    </row>
    <row r="564" spans="1:10" x14ac:dyDescent="0.2">
      <c r="A564">
        <f t="shared" ca="1" si="72"/>
        <v>0.53803679026004214</v>
      </c>
      <c r="B564">
        <f t="shared" ca="1" si="73"/>
        <v>9.5489009548865397E-2</v>
      </c>
      <c r="C564">
        <f t="shared" ca="1" si="77"/>
        <v>26.194666771130333</v>
      </c>
      <c r="D564" s="21">
        <f t="shared" ca="1" si="74"/>
        <v>0.39712761218384812</v>
      </c>
      <c r="F564">
        <f t="shared" si="75"/>
        <v>0.55800000000000038</v>
      </c>
      <c r="G564">
        <f t="shared" ca="1" si="76"/>
        <v>9.5616977383371313E-2</v>
      </c>
      <c r="H564">
        <f t="shared" ca="1" si="78"/>
        <v>9.5621162603063706E-2</v>
      </c>
      <c r="I564">
        <f t="shared" ca="1" si="79"/>
        <v>1.1449407017313683E-2</v>
      </c>
      <c r="J564" s="5">
        <f t="shared" ca="1" si="80"/>
        <v>8.4171755585750019E-2</v>
      </c>
    </row>
    <row r="565" spans="1:10" x14ac:dyDescent="0.2">
      <c r="A565">
        <f t="shared" ca="1" si="72"/>
        <v>0.12864587898133051</v>
      </c>
      <c r="B565">
        <f t="shared" ca="1" si="73"/>
        <v>-1.1328154594480124</v>
      </c>
      <c r="C565">
        <f t="shared" ca="1" si="77"/>
        <v>25.061851311682322</v>
      </c>
      <c r="D565" s="21">
        <f t="shared" ca="1" si="74"/>
        <v>0.21001549489195465</v>
      </c>
      <c r="F565">
        <f t="shared" si="75"/>
        <v>0.55900000000000039</v>
      </c>
      <c r="G565">
        <f t="shared" ca="1" si="76"/>
        <v>9.591936332789755E-2</v>
      </c>
      <c r="H565">
        <f t="shared" ca="1" si="78"/>
        <v>9.5923563248491384E-2</v>
      </c>
      <c r="I565">
        <f t="shared" ca="1" si="79"/>
        <v>1.1453952907757884E-2</v>
      </c>
      <c r="J565" s="5">
        <f t="shared" ca="1" si="80"/>
        <v>8.4469610340733497E-2</v>
      </c>
    </row>
    <row r="566" spans="1:10" x14ac:dyDescent="0.2">
      <c r="A566">
        <f t="shared" ca="1" si="72"/>
        <v>0.84718585341024322</v>
      </c>
      <c r="B566">
        <f t="shared" ca="1" si="73"/>
        <v>1.0244383134594943</v>
      </c>
      <c r="C566">
        <f t="shared" ca="1" si="77"/>
        <v>26.086289625141816</v>
      </c>
      <c r="D566" s="21">
        <f t="shared" ca="1" si="74"/>
        <v>0.23605853802231458</v>
      </c>
      <c r="F566">
        <f t="shared" si="75"/>
        <v>0.56000000000000039</v>
      </c>
      <c r="G566">
        <f t="shared" ca="1" si="76"/>
        <v>9.2337673457044703E-2</v>
      </c>
      <c r="H566">
        <f t="shared" ca="1" si="78"/>
        <v>9.2341693871660704E-2</v>
      </c>
      <c r="I566">
        <f t="shared" ca="1" si="79"/>
        <v>1.1414079366439726E-2</v>
      </c>
      <c r="J566" s="5">
        <f t="shared" ca="1" si="80"/>
        <v>8.0927614505220985E-2</v>
      </c>
    </row>
    <row r="567" spans="1:10" x14ac:dyDescent="0.2">
      <c r="A567">
        <f t="shared" ca="1" si="72"/>
        <v>0.77357602821745419</v>
      </c>
      <c r="B567">
        <f t="shared" ca="1" si="73"/>
        <v>0.75067554582979201</v>
      </c>
      <c r="C567">
        <f t="shared" ca="1" si="77"/>
        <v>26.836965170971609</v>
      </c>
      <c r="D567" s="21">
        <f t="shared" ca="1" si="74"/>
        <v>0.30098482801840998</v>
      </c>
      <c r="F567">
        <f t="shared" si="75"/>
        <v>0.56100000000000039</v>
      </c>
      <c r="G567">
        <f t="shared" ca="1" si="76"/>
        <v>9.5577836073091324E-2</v>
      </c>
      <c r="H567">
        <f t="shared" ca="1" si="78"/>
        <v>9.5582018095147062E-2</v>
      </c>
      <c r="I567">
        <f t="shared" ca="1" si="79"/>
        <v>1.1452203809352201E-2</v>
      </c>
      <c r="J567" s="5">
        <f t="shared" ca="1" si="80"/>
        <v>8.4129814285794857E-2</v>
      </c>
    </row>
    <row r="568" spans="1:10" x14ac:dyDescent="0.2">
      <c r="A568">
        <f t="shared" ca="1" si="72"/>
        <v>0.50063403772268578</v>
      </c>
      <c r="B568">
        <f t="shared" ca="1" si="73"/>
        <v>1.5892975519255256E-3</v>
      </c>
      <c r="C568">
        <f t="shared" ca="1" si="77"/>
        <v>26.838554468523537</v>
      </c>
      <c r="D568" s="21">
        <f t="shared" ca="1" si="74"/>
        <v>0.39894177656423851</v>
      </c>
      <c r="F568">
        <f t="shared" si="75"/>
        <v>0.56200000000000039</v>
      </c>
      <c r="G568">
        <f t="shared" ca="1" si="76"/>
        <v>9.7952004088706052E-2</v>
      </c>
      <c r="H568">
        <f t="shared" ca="1" si="78"/>
        <v>9.7956304401949801E-2</v>
      </c>
      <c r="I568">
        <f t="shared" ca="1" si="79"/>
        <v>1.1480512450275888E-2</v>
      </c>
      <c r="J568" s="5">
        <f t="shared" ca="1" si="80"/>
        <v>8.6475791951673917E-2</v>
      </c>
    </row>
    <row r="569" spans="1:10" x14ac:dyDescent="0.2">
      <c r="A569">
        <f t="shared" ca="1" si="72"/>
        <v>0.94050697008408057</v>
      </c>
      <c r="B569">
        <f t="shared" ca="1" si="73"/>
        <v>1.5590436054241856</v>
      </c>
      <c r="C569">
        <f t="shared" ca="1" si="77"/>
        <v>28.397598073947723</v>
      </c>
      <c r="D569" s="21">
        <f t="shared" ca="1" si="74"/>
        <v>0.11833366030808955</v>
      </c>
      <c r="F569">
        <f t="shared" si="75"/>
        <v>0.56300000000000039</v>
      </c>
      <c r="G569">
        <f t="shared" ca="1" si="76"/>
        <v>9.7957234426921821E-2</v>
      </c>
      <c r="H569">
        <f t="shared" ca="1" si="78"/>
        <v>9.7961534571653422E-2</v>
      </c>
      <c r="I569">
        <f t="shared" ca="1" si="79"/>
        <v>1.1481660855153888E-2</v>
      </c>
      <c r="J569" s="5">
        <f t="shared" ca="1" si="80"/>
        <v>8.6479873716499539E-2</v>
      </c>
    </row>
    <row r="570" spans="1:10" x14ac:dyDescent="0.2">
      <c r="A570">
        <f t="shared" ca="1" si="72"/>
        <v>0.3470693209770529</v>
      </c>
      <c r="B570">
        <f t="shared" ca="1" si="73"/>
        <v>-0.3932448567874488</v>
      </c>
      <c r="C570">
        <f t="shared" ca="1" si="77"/>
        <v>28.004353217160276</v>
      </c>
      <c r="D570" s="21">
        <f t="shared" ca="1" si="74"/>
        <v>0.36925814783894145</v>
      </c>
      <c r="F570">
        <f t="shared" si="75"/>
        <v>0.56400000000000039</v>
      </c>
      <c r="G570">
        <f t="shared" ca="1" si="76"/>
        <v>0.10288732096175932</v>
      </c>
      <c r="H570">
        <f t="shared" ca="1" si="78"/>
        <v>0.10289186718285753</v>
      </c>
      <c r="I570">
        <f t="shared" ca="1" si="79"/>
        <v>1.1539502889500028E-2</v>
      </c>
      <c r="J570" s="5">
        <f t="shared" ca="1" si="80"/>
        <v>9.135236429335751E-2</v>
      </c>
    </row>
    <row r="571" spans="1:10" x14ac:dyDescent="0.2">
      <c r="A571">
        <f t="shared" ca="1" si="72"/>
        <v>0.46948009154504511</v>
      </c>
      <c r="B571">
        <f t="shared" ca="1" si="73"/>
        <v>-7.6576840947397612E-2</v>
      </c>
      <c r="C571">
        <f t="shared" ca="1" si="77"/>
        <v>27.927776376212879</v>
      </c>
      <c r="D571" s="21">
        <f t="shared" ca="1" si="74"/>
        <v>0.39777429223909588</v>
      </c>
      <c r="F571">
        <f t="shared" si="75"/>
        <v>0.56500000000000039</v>
      </c>
      <c r="G571">
        <f t="shared" ca="1" si="76"/>
        <v>0.10164354499338486</v>
      </c>
      <c r="H571">
        <f t="shared" ca="1" si="78"/>
        <v>0.10164802857054418</v>
      </c>
      <c r="I571">
        <f t="shared" ca="1" si="79"/>
        <v>1.1526256808430189E-2</v>
      </c>
      <c r="J571" s="5">
        <f t="shared" ca="1" si="80"/>
        <v>9.0121771762114E-2</v>
      </c>
    </row>
    <row r="572" spans="1:10" x14ac:dyDescent="0.2">
      <c r="A572">
        <f t="shared" ca="1" si="72"/>
        <v>0.84212715214854073</v>
      </c>
      <c r="B572">
        <f t="shared" ca="1" si="73"/>
        <v>1.0032387187789646</v>
      </c>
      <c r="C572">
        <f t="shared" ca="1" si="77"/>
        <v>28.931015094991842</v>
      </c>
      <c r="D572" s="21">
        <f t="shared" ca="1" si="74"/>
        <v>0.24118705212752833</v>
      </c>
      <c r="F572">
        <f t="shared" si="75"/>
        <v>0.56600000000000039</v>
      </c>
      <c r="G572">
        <f t="shared" ca="1" si="76"/>
        <v>0.10140123552104595</v>
      </c>
      <c r="H572">
        <f t="shared" ca="1" si="78"/>
        <v>0.1014057065342729</v>
      </c>
      <c r="I572">
        <f t="shared" ca="1" si="79"/>
        <v>1.1524560761162511E-2</v>
      </c>
      <c r="J572" s="5">
        <f t="shared" ca="1" si="80"/>
        <v>8.9881145773110391E-2</v>
      </c>
    </row>
    <row r="573" spans="1:10" x14ac:dyDescent="0.2">
      <c r="A573">
        <f t="shared" ca="1" si="72"/>
        <v>0.1611808193991493</v>
      </c>
      <c r="B573">
        <f t="shared" ca="1" si="73"/>
        <v>-0.98961642475150913</v>
      </c>
      <c r="C573">
        <f t="shared" ca="1" si="77"/>
        <v>27.941398670240332</v>
      </c>
      <c r="D573" s="21">
        <f t="shared" ca="1" si="74"/>
        <v>0.24448315521331099</v>
      </c>
      <c r="F573">
        <f t="shared" si="75"/>
        <v>0.56700000000000039</v>
      </c>
      <c r="G573">
        <f t="shared" ca="1" si="76"/>
        <v>0.10457345617335018</v>
      </c>
      <c r="H573">
        <f t="shared" ca="1" si="78"/>
        <v>0.10457808535183015</v>
      </c>
      <c r="I573">
        <f t="shared" ca="1" si="79"/>
        <v>1.1562279075993855E-2</v>
      </c>
      <c r="J573" s="5">
        <f t="shared" ca="1" si="80"/>
        <v>9.3015806275836291E-2</v>
      </c>
    </row>
    <row r="574" spans="1:10" x14ac:dyDescent="0.2">
      <c r="A574">
        <f t="shared" ca="1" si="72"/>
        <v>0.35414818169684459</v>
      </c>
      <c r="B574">
        <f t="shared" ca="1" si="73"/>
        <v>-0.37414510396292133</v>
      </c>
      <c r="C574">
        <f t="shared" ca="1" si="77"/>
        <v>27.567253566277412</v>
      </c>
      <c r="D574" s="21">
        <f t="shared" ca="1" si="74"/>
        <v>0.37197418859470316</v>
      </c>
      <c r="F574">
        <f t="shared" si="75"/>
        <v>0.56800000000000039</v>
      </c>
      <c r="G574">
        <f t="shared" ca="1" si="76"/>
        <v>0.10144371340404817</v>
      </c>
      <c r="H574">
        <f t="shared" ca="1" si="78"/>
        <v>0.10144818563116757</v>
      </c>
      <c r="I574">
        <f t="shared" ca="1" si="79"/>
        <v>1.1527247189758529E-2</v>
      </c>
      <c r="J574" s="5">
        <f t="shared" ca="1" si="80"/>
        <v>8.992093844140904E-2</v>
      </c>
    </row>
    <row r="575" spans="1:10" x14ac:dyDescent="0.2">
      <c r="A575">
        <f t="shared" ca="1" si="72"/>
        <v>0.98446686806768702</v>
      </c>
      <c r="B575">
        <f t="shared" ca="1" si="73"/>
        <v>2.1562229046388564</v>
      </c>
      <c r="C575">
        <f t="shared" ca="1" si="77"/>
        <v>29.723476470916268</v>
      </c>
      <c r="D575" s="21">
        <f t="shared" ca="1" si="74"/>
        <v>3.9023660377919447E-2</v>
      </c>
      <c r="F575">
        <f t="shared" si="75"/>
        <v>0.56900000000000039</v>
      </c>
      <c r="G575">
        <f t="shared" ca="1" si="76"/>
        <v>0.10026047749107317</v>
      </c>
      <c r="H575">
        <f t="shared" ca="1" si="78"/>
        <v>0.10026489010868114</v>
      </c>
      <c r="I575">
        <f t="shared" ca="1" si="79"/>
        <v>1.1514710629685046E-2</v>
      </c>
      <c r="J575" s="5">
        <f t="shared" ca="1" si="80"/>
        <v>8.8750179478996091E-2</v>
      </c>
    </row>
    <row r="576" spans="1:10" x14ac:dyDescent="0.2">
      <c r="A576">
        <f t="shared" ca="1" si="72"/>
        <v>0.72769560662593391</v>
      </c>
      <c r="B576">
        <f t="shared" ca="1" si="73"/>
        <v>0.60585839833969746</v>
      </c>
      <c r="C576">
        <f t="shared" ca="1" si="77"/>
        <v>30.329334869255966</v>
      </c>
      <c r="D576" s="21">
        <f t="shared" ca="1" si="74"/>
        <v>0.33204966342478398</v>
      </c>
      <c r="F576">
        <f t="shared" si="75"/>
        <v>0.5700000000000004</v>
      </c>
      <c r="G576">
        <f t="shared" ca="1" si="76"/>
        <v>0.1070786860517379</v>
      </c>
      <c r="H576">
        <f t="shared" ca="1" si="78"/>
        <v>0.1070834391413531</v>
      </c>
      <c r="I576">
        <f t="shared" ca="1" si="79"/>
        <v>1.1594594273850678E-2</v>
      </c>
      <c r="J576" s="5">
        <f t="shared" ca="1" si="80"/>
        <v>9.548884486750242E-2</v>
      </c>
    </row>
    <row r="577" spans="1:10" x14ac:dyDescent="0.2">
      <c r="A577">
        <f t="shared" ca="1" si="72"/>
        <v>0.71692016156026905</v>
      </c>
      <c r="B577">
        <f t="shared" ca="1" si="73"/>
        <v>0.57371647642734236</v>
      </c>
      <c r="C577">
        <f t="shared" ca="1" si="77"/>
        <v>30.903051345683309</v>
      </c>
      <c r="D577" s="21">
        <f t="shared" ca="1" si="74"/>
        <v>0.33840433844551671</v>
      </c>
      <c r="F577">
        <f t="shared" si="75"/>
        <v>0.5710000000000004</v>
      </c>
      <c r="G577">
        <f t="shared" ca="1" si="76"/>
        <v>0.10899377490618734</v>
      </c>
      <c r="H577">
        <f t="shared" ca="1" si="78"/>
        <v>0.10899862327573398</v>
      </c>
      <c r="I577">
        <f t="shared" ca="1" si="79"/>
        <v>1.1617933214450281E-2</v>
      </c>
      <c r="J577" s="5">
        <f t="shared" ca="1" si="80"/>
        <v>9.7380690061283692E-2</v>
      </c>
    </row>
    <row r="578" spans="1:10" x14ac:dyDescent="0.2">
      <c r="A578">
        <f t="shared" ca="1" si="72"/>
        <v>0.33052154139039258</v>
      </c>
      <c r="B578">
        <f t="shared" ca="1" si="73"/>
        <v>-0.43847349073186093</v>
      </c>
      <c r="C578">
        <f t="shared" ca="1" si="77"/>
        <v>30.464577854951447</v>
      </c>
      <c r="D578" s="21">
        <f t="shared" ca="1" si="74"/>
        <v>0.36237777489659012</v>
      </c>
      <c r="F578">
        <f t="shared" si="75"/>
        <v>0.5720000000000004</v>
      </c>
      <c r="G578">
        <f t="shared" ca="1" si="76"/>
        <v>0.11080703566158048</v>
      </c>
      <c r="H578">
        <f t="shared" ca="1" si="78"/>
        <v>0.11081197421008311</v>
      </c>
      <c r="I578">
        <f t="shared" ca="1" si="79"/>
        <v>1.1640135951247644E-2</v>
      </c>
      <c r="J578" s="5">
        <f t="shared" ca="1" si="80"/>
        <v>9.9171838258835465E-2</v>
      </c>
    </row>
    <row r="579" spans="1:10" x14ac:dyDescent="0.2">
      <c r="A579">
        <f t="shared" ca="1" si="72"/>
        <v>0.73273308660354164</v>
      </c>
      <c r="B579">
        <f t="shared" ca="1" si="73"/>
        <v>0.62110000376186791</v>
      </c>
      <c r="C579">
        <f t="shared" ca="1" si="77"/>
        <v>31.085677858713314</v>
      </c>
      <c r="D579" s="21">
        <f t="shared" ca="1" si="74"/>
        <v>0.32895933405872874</v>
      </c>
      <c r="F579">
        <f t="shared" si="75"/>
        <v>0.5730000000000004</v>
      </c>
      <c r="G579">
        <f t="shared" ca="1" si="76"/>
        <v>0.10941944941358793</v>
      </c>
      <c r="H579">
        <f t="shared" ca="1" si="78"/>
        <v>0.10942431808834469</v>
      </c>
      <c r="I579">
        <f t="shared" ca="1" si="79"/>
        <v>1.1625111548197084E-2</v>
      </c>
      <c r="J579" s="5">
        <f t="shared" ca="1" si="80"/>
        <v>9.7799206540147607E-2</v>
      </c>
    </row>
    <row r="580" spans="1:10" x14ac:dyDescent="0.2">
      <c r="A580">
        <f t="shared" ca="1" si="72"/>
        <v>0.21280532713497879</v>
      </c>
      <c r="B580">
        <f t="shared" ca="1" si="73"/>
        <v>-0.79672518426487016</v>
      </c>
      <c r="C580">
        <f t="shared" ca="1" si="77"/>
        <v>30.288952674448446</v>
      </c>
      <c r="D580" s="21">
        <f t="shared" ca="1" si="74"/>
        <v>0.29044993950449277</v>
      </c>
      <c r="F580">
        <f t="shared" si="75"/>
        <v>0.5740000000000004</v>
      </c>
      <c r="G580">
        <f t="shared" ca="1" si="76"/>
        <v>0.11138249998192723</v>
      </c>
      <c r="H580">
        <f t="shared" ca="1" si="78"/>
        <v>0.11138746632316252</v>
      </c>
      <c r="I580">
        <f t="shared" ca="1" si="79"/>
        <v>1.1649073368198213E-2</v>
      </c>
      <c r="J580" s="5">
        <f t="shared" ca="1" si="80"/>
        <v>9.9738392954964297E-2</v>
      </c>
    </row>
    <row r="581" spans="1:10" x14ac:dyDescent="0.2">
      <c r="A581">
        <f t="shared" ca="1" si="72"/>
        <v>0.50111620512056554</v>
      </c>
      <c r="B581">
        <f t="shared" ca="1" si="73"/>
        <v>2.7979149659926165E-3</v>
      </c>
      <c r="C581">
        <f t="shared" ca="1" si="77"/>
        <v>30.291750589414438</v>
      </c>
      <c r="D581" s="21">
        <f t="shared" ca="1" si="74"/>
        <v>0.39894071887894544</v>
      </c>
      <c r="F581">
        <f t="shared" si="75"/>
        <v>0.5750000000000004</v>
      </c>
      <c r="G581">
        <f t="shared" ca="1" si="76"/>
        <v>0.10886202150540922</v>
      </c>
      <c r="H581">
        <f t="shared" ca="1" si="78"/>
        <v>0.10886686132503585</v>
      </c>
      <c r="I581">
        <f t="shared" ca="1" si="79"/>
        <v>1.1620864792143743E-2</v>
      </c>
      <c r="J581" s="5">
        <f t="shared" ca="1" si="80"/>
        <v>9.7245996532892107E-2</v>
      </c>
    </row>
    <row r="582" spans="1:10" x14ac:dyDescent="0.2">
      <c r="A582">
        <f t="shared" ca="1" si="72"/>
        <v>0.57208987292655344</v>
      </c>
      <c r="B582">
        <f t="shared" ca="1" si="73"/>
        <v>0.18169733930111689</v>
      </c>
      <c r="C582">
        <f t="shared" ca="1" si="77"/>
        <v>30.473447928715554</v>
      </c>
      <c r="D582" s="21">
        <f t="shared" ca="1" si="74"/>
        <v>0.39241100953748453</v>
      </c>
      <c r="F582">
        <f t="shared" si="75"/>
        <v>0.5760000000000004</v>
      </c>
      <c r="G582">
        <f t="shared" ca="1" si="76"/>
        <v>0.10886998268918854</v>
      </c>
      <c r="H582">
        <f t="shared" ca="1" si="78"/>
        <v>0.10887482242289535</v>
      </c>
      <c r="I582">
        <f t="shared" ca="1" si="79"/>
        <v>1.1622071655864454E-2</v>
      </c>
      <c r="J582" s="5">
        <f t="shared" ca="1" si="80"/>
        <v>9.7252750767030896E-2</v>
      </c>
    </row>
    <row r="583" spans="1:10" x14ac:dyDescent="0.2">
      <c r="A583">
        <f t="shared" ref="A583:A646" ca="1" si="81">RAND()</f>
        <v>0.99840586538071785</v>
      </c>
      <c r="B583">
        <f t="shared" ref="B583:B646" ca="1" si="82">NORMSINV(A583)</f>
        <v>2.9489777551420104</v>
      </c>
      <c r="C583">
        <f t="shared" ca="1" si="77"/>
        <v>33.422425683857568</v>
      </c>
      <c r="D583" s="21">
        <f t="shared" ref="D583:D646" ca="1" si="83">_xlfn.NORM.DIST(B583,0,1,FALSE)</f>
        <v>5.1581698978123963E-3</v>
      </c>
      <c r="F583">
        <f t="shared" ref="F583:F646" si="84">F582+$M$2/$N$2</f>
        <v>0.5770000000000004</v>
      </c>
      <c r="G583">
        <f t="shared" ref="G583:G646" ca="1" si="85">G582*EXP(-$M$4*$O$2) + $O$4*(1-EXP(-$M$4*$O$2)) + $N$4* SQRT((1-EXP(-2*$M$4*$O$2))/(2*$M$4)) *B582</f>
        <v>0.10944364444457715</v>
      </c>
      <c r="H583">
        <f t="shared" ca="1" si="78"/>
        <v>0.10944851237763702</v>
      </c>
      <c r="I583">
        <f t="shared" ca="1" si="79"/>
        <v>1.1629856138682421E-2</v>
      </c>
      <c r="J583" s="5">
        <f t="shared" ca="1" si="80"/>
        <v>9.7818656238954596E-2</v>
      </c>
    </row>
    <row r="584" spans="1:10" x14ac:dyDescent="0.2">
      <c r="A584">
        <f t="shared" ca="1" si="81"/>
        <v>0.11573782616578276</v>
      </c>
      <c r="B584">
        <f t="shared" ca="1" si="82"/>
        <v>-1.1965662743260779</v>
      </c>
      <c r="C584">
        <f t="shared" ref="C584:C647" ca="1" si="86">B584+C583</f>
        <v>32.225859409531488</v>
      </c>
      <c r="D584" s="21">
        <f t="shared" ca="1" si="83"/>
        <v>0.19498669419733297</v>
      </c>
      <c r="F584">
        <f t="shared" si="84"/>
        <v>0.5780000000000004</v>
      </c>
      <c r="G584">
        <f t="shared" ca="1" si="85"/>
        <v>0.11876772034787189</v>
      </c>
      <c r="H584">
        <f t="shared" ref="H584:H647" ca="1" si="87">H583+($M$6 + $N$6*H583)*$O$2 + $O$6*H583^$P$6*SQRT($O$2)*B583</f>
        <v>0.11877305400181833</v>
      </c>
      <c r="I584">
        <f t="shared" ref="I584:I647" ca="1" si="88">I583*EXP(($M$8-0.5*($N$8^2))*$O$2 + $N$8*SQRT($O$2)*B583)</f>
        <v>1.1739932714528832E-2</v>
      </c>
      <c r="J584" s="5">
        <f t="shared" ref="J584:J647" ca="1" si="89">ABS(H584-I584)</f>
        <v>0.10703312128728949</v>
      </c>
    </row>
    <row r="585" spans="1:10" x14ac:dyDescent="0.2">
      <c r="A585">
        <f t="shared" ca="1" si="81"/>
        <v>1.4880650064479917E-2</v>
      </c>
      <c r="B585">
        <f t="shared" ca="1" si="82"/>
        <v>-2.1732527426966071</v>
      </c>
      <c r="C585">
        <f t="shared" ca="1" si="86"/>
        <v>30.05260666683488</v>
      </c>
      <c r="D585" s="21">
        <f t="shared" ca="1" si="83"/>
        <v>3.7611242334332454E-2</v>
      </c>
      <c r="F585">
        <f t="shared" si="84"/>
        <v>0.5790000000000004</v>
      </c>
      <c r="G585">
        <f t="shared" ca="1" si="85"/>
        <v>0.1149821580573175</v>
      </c>
      <c r="H585">
        <f t="shared" ca="1" si="87"/>
        <v>0.11498730189820587</v>
      </c>
      <c r="I585">
        <f t="shared" ca="1" si="88"/>
        <v>1.1696705351789089E-2</v>
      </c>
      <c r="J585" s="5">
        <f t="shared" ca="1" si="89"/>
        <v>0.10329059654641679</v>
      </c>
    </row>
    <row r="586" spans="1:10" x14ac:dyDescent="0.2">
      <c r="A586">
        <f t="shared" ca="1" si="81"/>
        <v>4.7870521046892156E-3</v>
      </c>
      <c r="B586">
        <f t="shared" ca="1" si="82"/>
        <v>-2.5908434200245991</v>
      </c>
      <c r="C586">
        <f t="shared" ca="1" si="86"/>
        <v>27.461763246810282</v>
      </c>
      <c r="D586" s="21">
        <f t="shared" ca="1" si="83"/>
        <v>1.3909637319557506E-2</v>
      </c>
      <c r="F586">
        <f t="shared" si="84"/>
        <v>0.5800000000000004</v>
      </c>
      <c r="G586">
        <f t="shared" ca="1" si="85"/>
        <v>0.10810857492540389</v>
      </c>
      <c r="H586">
        <f t="shared" ca="1" si="87"/>
        <v>0.10811337456988691</v>
      </c>
      <c r="I586">
        <f t="shared" ca="1" si="88"/>
        <v>1.1617699796107057E-2</v>
      </c>
      <c r="J586" s="5">
        <f t="shared" ca="1" si="89"/>
        <v>9.6495674773779849E-2</v>
      </c>
    </row>
    <row r="587" spans="1:10" x14ac:dyDescent="0.2">
      <c r="A587">
        <f t="shared" ca="1" si="81"/>
        <v>3.6534205047955348E-2</v>
      </c>
      <c r="B587">
        <f t="shared" ca="1" si="82"/>
        <v>-1.7924031530726889</v>
      </c>
      <c r="C587">
        <f t="shared" ca="1" si="86"/>
        <v>25.669360093737595</v>
      </c>
      <c r="D587" s="21">
        <f t="shared" ca="1" si="83"/>
        <v>8.0034853952773072E-2</v>
      </c>
      <c r="F587">
        <f t="shared" si="84"/>
        <v>0.58100000000000041</v>
      </c>
      <c r="G587">
        <f t="shared" ca="1" si="85"/>
        <v>9.9915207471560311E-2</v>
      </c>
      <c r="H587">
        <f t="shared" ca="1" si="87"/>
        <v>9.9919596964291896E-2</v>
      </c>
      <c r="I587">
        <f t="shared" ca="1" si="88"/>
        <v>1.1523999956162519E-2</v>
      </c>
      <c r="J587" s="5">
        <f t="shared" ca="1" si="89"/>
        <v>8.8395597008129378E-2</v>
      </c>
    </row>
    <row r="588" spans="1:10" x14ac:dyDescent="0.2">
      <c r="A588">
        <f t="shared" ca="1" si="81"/>
        <v>0.41888924489134682</v>
      </c>
      <c r="B588">
        <f t="shared" ca="1" si="82"/>
        <v>-0.20473587510926064</v>
      </c>
      <c r="C588">
        <f t="shared" ca="1" si="86"/>
        <v>25.464624218628334</v>
      </c>
      <c r="D588" s="21">
        <f t="shared" ca="1" si="83"/>
        <v>0.3906681023811181</v>
      </c>
      <c r="F588">
        <f t="shared" si="84"/>
        <v>0.58200000000000041</v>
      </c>
      <c r="G588">
        <f t="shared" ca="1" si="85"/>
        <v>9.4247422893426538E-2</v>
      </c>
      <c r="H588">
        <f t="shared" ca="1" si="87"/>
        <v>9.4251528555618344E-2</v>
      </c>
      <c r="I588">
        <f t="shared" ca="1" si="88"/>
        <v>1.1459954454414195E-2</v>
      </c>
      <c r="J588" s="5">
        <f t="shared" ca="1" si="89"/>
        <v>8.2791574101204149E-2</v>
      </c>
    </row>
    <row r="589" spans="1:10" x14ac:dyDescent="0.2">
      <c r="A589">
        <f t="shared" ca="1" si="81"/>
        <v>0.61505887647295265</v>
      </c>
      <c r="B589">
        <f t="shared" ca="1" si="82"/>
        <v>0.29252892573019956</v>
      </c>
      <c r="C589">
        <f t="shared" ca="1" si="86"/>
        <v>25.757153144358533</v>
      </c>
      <c r="D589" s="21">
        <f t="shared" ca="1" si="83"/>
        <v>0.38223291945393501</v>
      </c>
      <c r="F589">
        <f t="shared" si="84"/>
        <v>0.58300000000000041</v>
      </c>
      <c r="G589">
        <f t="shared" ca="1" si="85"/>
        <v>9.3600598808517677E-2</v>
      </c>
      <c r="H589">
        <f t="shared" ca="1" si="87"/>
        <v>9.3604671718669749E-2</v>
      </c>
      <c r="I589">
        <f t="shared" ca="1" si="88"/>
        <v>1.1453625360832186E-2</v>
      </c>
      <c r="J589" s="5">
        <f t="shared" ca="1" si="89"/>
        <v>8.215104635783757E-2</v>
      </c>
    </row>
    <row r="590" spans="1:10" x14ac:dyDescent="0.2">
      <c r="A590">
        <f t="shared" ca="1" si="81"/>
        <v>0.70266717081543661</v>
      </c>
      <c r="B590">
        <f t="shared" ca="1" si="82"/>
        <v>0.53208711893712191</v>
      </c>
      <c r="C590">
        <f t="shared" ca="1" si="86"/>
        <v>26.289240263295653</v>
      </c>
      <c r="D590" s="21">
        <f t="shared" ca="1" si="83"/>
        <v>0.3462837046480865</v>
      </c>
      <c r="F590">
        <f t="shared" si="84"/>
        <v>0.58400000000000041</v>
      </c>
      <c r="G590">
        <f t="shared" ca="1" si="85"/>
        <v>9.4526250152473332E-2</v>
      </c>
      <c r="H590">
        <f t="shared" ca="1" si="87"/>
        <v>9.4530368938287548E-2</v>
      </c>
      <c r="I590">
        <f t="shared" ca="1" si="88"/>
        <v>1.1465314680299621E-2</v>
      </c>
      <c r="J590" s="5">
        <f t="shared" ca="1" si="89"/>
        <v>8.3065054257987922E-2</v>
      </c>
    </row>
    <row r="591" spans="1:10" x14ac:dyDescent="0.2">
      <c r="A591">
        <f t="shared" ca="1" si="81"/>
        <v>0.27070335260329159</v>
      </c>
      <c r="B591">
        <f t="shared" ca="1" si="82"/>
        <v>-0.61068716426506686</v>
      </c>
      <c r="C591">
        <f t="shared" ca="1" si="86"/>
        <v>25.678553099030587</v>
      </c>
      <c r="D591" s="21">
        <f t="shared" ca="1" si="83"/>
        <v>0.33107579579447272</v>
      </c>
      <c r="F591">
        <f t="shared" si="84"/>
        <v>0.58500000000000041</v>
      </c>
      <c r="G591">
        <f t="shared" ca="1" si="85"/>
        <v>9.6209320582713267E-2</v>
      </c>
      <c r="H591">
        <f t="shared" ca="1" si="87"/>
        <v>9.6213523110871932E-2</v>
      </c>
      <c r="I591">
        <f t="shared" ca="1" si="88"/>
        <v>1.1485713631624195E-2</v>
      </c>
      <c r="J591" s="5">
        <f t="shared" ca="1" si="89"/>
        <v>8.472780947924774E-2</v>
      </c>
    </row>
    <row r="592" spans="1:10" x14ac:dyDescent="0.2">
      <c r="A592">
        <f t="shared" ca="1" si="81"/>
        <v>0.42751766702051974</v>
      </c>
      <c r="B592">
        <f t="shared" ca="1" si="82"/>
        <v>-0.18269755532993565</v>
      </c>
      <c r="C592">
        <f t="shared" ca="1" si="86"/>
        <v>25.495855543700653</v>
      </c>
      <c r="D592" s="21">
        <f t="shared" ca="1" si="83"/>
        <v>0.3923395043236293</v>
      </c>
      <c r="F592">
        <f t="shared" si="84"/>
        <v>0.58600000000000041</v>
      </c>
      <c r="G592">
        <f t="shared" ca="1" si="85"/>
        <v>9.4278633808890996E-2</v>
      </c>
      <c r="H592">
        <f t="shared" ca="1" si="87"/>
        <v>9.4282739381653852E-2</v>
      </c>
      <c r="I592">
        <f t="shared" ca="1" si="88"/>
        <v>1.1464643346534114E-2</v>
      </c>
      <c r="J592" s="5">
        <f t="shared" ca="1" si="89"/>
        <v>8.2818096035119734E-2</v>
      </c>
    </row>
    <row r="593" spans="1:10" x14ac:dyDescent="0.2">
      <c r="A593">
        <f t="shared" ca="1" si="81"/>
        <v>0.71508708026606371</v>
      </c>
      <c r="B593">
        <f t="shared" ca="1" si="82"/>
        <v>0.56830801226201977</v>
      </c>
      <c r="C593">
        <f t="shared" ca="1" si="86"/>
        <v>26.064163555962672</v>
      </c>
      <c r="D593" s="21">
        <f t="shared" ca="1" si="83"/>
        <v>0.33945104775790041</v>
      </c>
      <c r="F593">
        <f t="shared" si="84"/>
        <v>0.58700000000000041</v>
      </c>
      <c r="G593">
        <f t="shared" ca="1" si="85"/>
        <v>9.3701494404933305E-2</v>
      </c>
      <c r="H593">
        <f t="shared" ca="1" si="87"/>
        <v>9.3705570709928465E-2</v>
      </c>
      <c r="I593">
        <f t="shared" ca="1" si="88"/>
        <v>1.145911023568004E-2</v>
      </c>
      <c r="J593" s="5">
        <f t="shared" ca="1" si="89"/>
        <v>8.2246460474248426E-2</v>
      </c>
    </row>
    <row r="594" spans="1:10" x14ac:dyDescent="0.2">
      <c r="A594">
        <f t="shared" ca="1" si="81"/>
        <v>0.84474012497361717</v>
      </c>
      <c r="B594">
        <f t="shared" ca="1" si="82"/>
        <v>1.0141320428635043</v>
      </c>
      <c r="C594">
        <f t="shared" ca="1" si="86"/>
        <v>27.078295598826177</v>
      </c>
      <c r="D594" s="21">
        <f t="shared" ca="1" si="83"/>
        <v>0.23855141070158478</v>
      </c>
      <c r="F594">
        <f t="shared" si="84"/>
        <v>0.58800000000000041</v>
      </c>
      <c r="G594">
        <f t="shared" ca="1" si="85"/>
        <v>9.549918210162954E-2</v>
      </c>
      <c r="H594">
        <f t="shared" ca="1" si="87"/>
        <v>9.5503347884128342E-2</v>
      </c>
      <c r="I594">
        <f t="shared" ca="1" si="88"/>
        <v>1.1480813091144142E-2</v>
      </c>
      <c r="J594" s="5">
        <f t="shared" ca="1" si="89"/>
        <v>8.4022534792984202E-2</v>
      </c>
    </row>
    <row r="595" spans="1:10" x14ac:dyDescent="0.2">
      <c r="A595">
        <f t="shared" ca="1" si="81"/>
        <v>0.86163212642990794</v>
      </c>
      <c r="B595">
        <f t="shared" ca="1" si="82"/>
        <v>1.0876814782625348</v>
      </c>
      <c r="C595">
        <f t="shared" ca="1" si="86"/>
        <v>28.165977077088712</v>
      </c>
      <c r="D595" s="21">
        <f t="shared" ca="1" si="83"/>
        <v>0.22080749237825781</v>
      </c>
      <c r="F595">
        <f t="shared" si="84"/>
        <v>0.58900000000000041</v>
      </c>
      <c r="G595">
        <f t="shared" ca="1" si="85"/>
        <v>9.8706438922849915E-2</v>
      </c>
      <c r="H595">
        <f t="shared" ca="1" si="87"/>
        <v>9.8710764652948119E-2</v>
      </c>
      <c r="I595">
        <f t="shared" ca="1" si="88"/>
        <v>1.1518785014814575E-2</v>
      </c>
      <c r="J595" s="5">
        <f t="shared" ca="1" si="89"/>
        <v>8.7191979638133549E-2</v>
      </c>
    </row>
    <row r="596" spans="1:10" x14ac:dyDescent="0.2">
      <c r="A596">
        <f t="shared" ca="1" si="81"/>
        <v>0.13624160823392339</v>
      </c>
      <c r="B596">
        <f t="shared" ca="1" si="82"/>
        <v>-1.0973619117473736</v>
      </c>
      <c r="C596">
        <f t="shared" ca="1" si="86"/>
        <v>27.068615165341338</v>
      </c>
      <c r="D596" s="21">
        <f t="shared" ca="1" si="83"/>
        <v>0.21848451950984335</v>
      </c>
      <c r="F596">
        <f t="shared" si="84"/>
        <v>0.59000000000000041</v>
      </c>
      <c r="G596">
        <f t="shared" ca="1" si="85"/>
        <v>0.10214594714220199</v>
      </c>
      <c r="H596">
        <f t="shared" ca="1" si="87"/>
        <v>0.10215044441657135</v>
      </c>
      <c r="I596">
        <f t="shared" ca="1" si="88"/>
        <v>1.1559570783290059E-2</v>
      </c>
      <c r="J596" s="5">
        <f t="shared" ca="1" si="89"/>
        <v>9.0590873633281291E-2</v>
      </c>
    </row>
    <row r="597" spans="1:10" x14ac:dyDescent="0.2">
      <c r="A597">
        <f t="shared" ca="1" si="81"/>
        <v>0.74334624574897423</v>
      </c>
      <c r="B597">
        <f t="shared" ca="1" si="82"/>
        <v>0.65369626741015852</v>
      </c>
      <c r="C597">
        <f t="shared" ca="1" si="86"/>
        <v>27.722311432751496</v>
      </c>
      <c r="D597" s="21">
        <f t="shared" ca="1" si="83"/>
        <v>0.32219512515783894</v>
      </c>
      <c r="F597">
        <f t="shared" si="84"/>
        <v>0.59100000000000041</v>
      </c>
      <c r="G597">
        <f t="shared" ca="1" si="85"/>
        <v>9.8675743000502497E-2</v>
      </c>
      <c r="H597">
        <f t="shared" ca="1" si="87"/>
        <v>9.8680066313491313E-2</v>
      </c>
      <c r="I597">
        <f t="shared" ca="1" si="88"/>
        <v>1.1520621114725148E-2</v>
      </c>
      <c r="J597" s="5">
        <f t="shared" ca="1" si="89"/>
        <v>8.7159445198766172E-2</v>
      </c>
    </row>
    <row r="598" spans="1:10" x14ac:dyDescent="0.2">
      <c r="A598">
        <f t="shared" ca="1" si="81"/>
        <v>0.87552690301674918</v>
      </c>
      <c r="B598">
        <f t="shared" ca="1" si="82"/>
        <v>1.1529127604492944</v>
      </c>
      <c r="C598">
        <f t="shared" ca="1" si="86"/>
        <v>28.87522419320079</v>
      </c>
      <c r="D598" s="21">
        <f t="shared" ca="1" si="83"/>
        <v>0.20524673261872917</v>
      </c>
      <c r="F598">
        <f t="shared" si="84"/>
        <v>0.59200000000000041</v>
      </c>
      <c r="G598">
        <f t="shared" ca="1" si="85"/>
        <v>0.10074294116839924</v>
      </c>
      <c r="H598">
        <f t="shared" ca="1" si="87"/>
        <v>0.10074736740982657</v>
      </c>
      <c r="I598">
        <f t="shared" ca="1" si="88"/>
        <v>1.1545557594474631E-2</v>
      </c>
      <c r="J598" s="5">
        <f t="shared" ca="1" si="89"/>
        <v>8.9201809815351932E-2</v>
      </c>
    </row>
    <row r="599" spans="1:10" x14ac:dyDescent="0.2">
      <c r="A599">
        <f t="shared" ca="1" si="81"/>
        <v>0.74016484438841135</v>
      </c>
      <c r="B599">
        <f t="shared" ca="1" si="82"/>
        <v>0.64385369463425701</v>
      </c>
      <c r="C599">
        <f t="shared" ca="1" si="86"/>
        <v>29.519077887835046</v>
      </c>
      <c r="D599" s="21">
        <f t="shared" ca="1" si="83"/>
        <v>0.32425912210240432</v>
      </c>
      <c r="F599">
        <f t="shared" si="84"/>
        <v>0.59300000000000042</v>
      </c>
      <c r="G599">
        <f t="shared" ca="1" si="85"/>
        <v>0.10438851486057067</v>
      </c>
      <c r="H599">
        <f t="shared" ca="1" si="87"/>
        <v>0.10439312293957745</v>
      </c>
      <c r="I599">
        <f t="shared" ca="1" si="88"/>
        <v>1.1588828449769802E-2</v>
      </c>
      <c r="J599" s="5">
        <f t="shared" ca="1" si="89"/>
        <v>9.2804294489807648E-2</v>
      </c>
    </row>
    <row r="600" spans="1:10" x14ac:dyDescent="0.2">
      <c r="A600">
        <f t="shared" ca="1" si="81"/>
        <v>0.3147917625625386</v>
      </c>
      <c r="B600">
        <f t="shared" ca="1" si="82"/>
        <v>-0.48231312468459364</v>
      </c>
      <c r="C600">
        <f t="shared" ca="1" si="86"/>
        <v>29.036764763150451</v>
      </c>
      <c r="D600" s="21">
        <f t="shared" ca="1" si="83"/>
        <v>0.35513704976670574</v>
      </c>
      <c r="F600">
        <f t="shared" si="84"/>
        <v>0.59400000000000042</v>
      </c>
      <c r="G600">
        <f t="shared" ca="1" si="85"/>
        <v>0.10642401838801907</v>
      </c>
      <c r="H600">
        <f t="shared" ca="1" si="87"/>
        <v>0.10642872778224227</v>
      </c>
      <c r="I600">
        <f t="shared" ca="1" si="88"/>
        <v>1.161355108806124E-2</v>
      </c>
      <c r="J600" s="5">
        <f t="shared" ca="1" si="89"/>
        <v>9.4815176694181033E-2</v>
      </c>
    </row>
    <row r="601" spans="1:10" x14ac:dyDescent="0.2">
      <c r="A601">
        <f t="shared" ca="1" si="81"/>
        <v>0.12188802441203228</v>
      </c>
      <c r="B601">
        <f t="shared" ca="1" si="82"/>
        <v>-1.1656003931220125</v>
      </c>
      <c r="C601">
        <f t="shared" ca="1" si="86"/>
        <v>27.871164370028438</v>
      </c>
      <c r="D601" s="21">
        <f t="shared" ca="1" si="83"/>
        <v>0.20225001043928939</v>
      </c>
      <c r="F601">
        <f t="shared" si="84"/>
        <v>0.59500000000000042</v>
      </c>
      <c r="G601">
        <f t="shared" ca="1" si="85"/>
        <v>0.10489824425612679</v>
      </c>
      <c r="H601">
        <f t="shared" ca="1" si="87"/>
        <v>0.10490287689006796</v>
      </c>
      <c r="I601">
        <f t="shared" ca="1" si="88"/>
        <v>1.159695316623113E-2</v>
      </c>
      <c r="J601" s="5">
        <f t="shared" ca="1" si="89"/>
        <v>9.3305923723836823E-2</v>
      </c>
    </row>
    <row r="602" spans="1:10" x14ac:dyDescent="0.2">
      <c r="A602">
        <f t="shared" ca="1" si="81"/>
        <v>9.406975504226478E-2</v>
      </c>
      <c r="B602">
        <f t="shared" ca="1" si="82"/>
        <v>-1.3161028930828813</v>
      </c>
      <c r="C602">
        <f t="shared" ca="1" si="86"/>
        <v>26.555061476945557</v>
      </c>
      <c r="D602" s="21">
        <f t="shared" ca="1" si="83"/>
        <v>0.16779673450178131</v>
      </c>
      <c r="F602">
        <f t="shared" si="84"/>
        <v>0.59600000000000042</v>
      </c>
      <c r="G602">
        <f t="shared" ca="1" si="85"/>
        <v>0.10121198666226382</v>
      </c>
      <c r="H602">
        <f t="shared" ca="1" si="87"/>
        <v>0.10121643451852573</v>
      </c>
      <c r="I602">
        <f t="shared" ca="1" si="88"/>
        <v>1.1555383744662587E-2</v>
      </c>
      <c r="J602" s="5">
        <f t="shared" ca="1" si="89"/>
        <v>8.9661050773863146E-2</v>
      </c>
    </row>
    <row r="603" spans="1:10" x14ac:dyDescent="0.2">
      <c r="A603">
        <f t="shared" ca="1" si="81"/>
        <v>0.11128109328573377</v>
      </c>
      <c r="B603">
        <f t="shared" ca="1" si="82"/>
        <v>-1.2197433396086439</v>
      </c>
      <c r="C603">
        <f t="shared" ca="1" si="86"/>
        <v>25.335318137336913</v>
      </c>
      <c r="D603" s="21">
        <f t="shared" ca="1" si="83"/>
        <v>0.18960251196953806</v>
      </c>
      <c r="F603">
        <f t="shared" si="84"/>
        <v>0.59700000000000042</v>
      </c>
      <c r="G603">
        <f t="shared" ca="1" si="85"/>
        <v>9.7050190777847004E-2</v>
      </c>
      <c r="H603">
        <f t="shared" ca="1" si="87"/>
        <v>9.7054430097794908E-2</v>
      </c>
      <c r="I603">
        <f t="shared" ca="1" si="88"/>
        <v>1.1508484784453909E-2</v>
      </c>
      <c r="J603" s="5">
        <f t="shared" ca="1" si="89"/>
        <v>8.5545945313341004E-2</v>
      </c>
    </row>
    <row r="604" spans="1:10" x14ac:dyDescent="0.2">
      <c r="A604">
        <f t="shared" ca="1" si="81"/>
        <v>0.73768514300469179</v>
      </c>
      <c r="B604">
        <f t="shared" ca="1" si="82"/>
        <v>0.6362251024044977</v>
      </c>
      <c r="C604">
        <f t="shared" ca="1" si="86"/>
        <v>25.971543239741411</v>
      </c>
      <c r="D604" s="21">
        <f t="shared" ca="1" si="83"/>
        <v>0.32584622098770483</v>
      </c>
      <c r="F604">
        <f t="shared" si="84"/>
        <v>0.59800000000000042</v>
      </c>
      <c r="G604">
        <f t="shared" ca="1" si="85"/>
        <v>9.3193511480357358E-2</v>
      </c>
      <c r="H604">
        <f t="shared" ca="1" si="87"/>
        <v>9.3197557540801543E-2</v>
      </c>
      <c r="I604">
        <f t="shared" ca="1" si="88"/>
        <v>1.146526928440492E-2</v>
      </c>
      <c r="J604" s="5">
        <f t="shared" ca="1" si="89"/>
        <v>8.1732288256396626E-2</v>
      </c>
    </row>
    <row r="605" spans="1:10" x14ac:dyDescent="0.2">
      <c r="A605">
        <f t="shared" ca="1" si="81"/>
        <v>0.33206825037674292</v>
      </c>
      <c r="B605">
        <f t="shared" ca="1" si="82"/>
        <v>-0.43420924429407642</v>
      </c>
      <c r="C605">
        <f t="shared" ca="1" si="86"/>
        <v>25.537333995447334</v>
      </c>
      <c r="D605" s="21">
        <f t="shared" ca="1" si="83"/>
        <v>0.3630526669881628</v>
      </c>
      <c r="F605">
        <f t="shared" si="84"/>
        <v>0.59900000000000042</v>
      </c>
      <c r="G605">
        <f t="shared" ca="1" si="85"/>
        <v>9.5206011931520007E-2</v>
      </c>
      <c r="H605">
        <f t="shared" ca="1" si="87"/>
        <v>9.5210158213219542E-2</v>
      </c>
      <c r="I605">
        <f t="shared" ca="1" si="88"/>
        <v>1.1489451160173244E-2</v>
      </c>
      <c r="J605" s="5">
        <f t="shared" ca="1" si="89"/>
        <v>8.3720707053046295E-2</v>
      </c>
    </row>
    <row r="606" spans="1:10" x14ac:dyDescent="0.2">
      <c r="A606">
        <f t="shared" ca="1" si="81"/>
        <v>6.4199694148180497E-2</v>
      </c>
      <c r="B606">
        <f t="shared" ca="1" si="82"/>
        <v>-1.5204441385343206</v>
      </c>
      <c r="C606">
        <f t="shared" ca="1" si="86"/>
        <v>24.016889856913014</v>
      </c>
      <c r="D606" s="21">
        <f t="shared" ca="1" si="83"/>
        <v>0.12557981802087481</v>
      </c>
      <c r="F606">
        <f t="shared" si="84"/>
        <v>0.60000000000000042</v>
      </c>
      <c r="G606">
        <f t="shared" ca="1" si="85"/>
        <v>9.383346976493713E-2</v>
      </c>
      <c r="H606">
        <f t="shared" ca="1" si="87"/>
        <v>9.3837547004328475E-2</v>
      </c>
      <c r="I606">
        <f t="shared" ca="1" si="88"/>
        <v>1.1474775985417816E-2</v>
      </c>
      <c r="J606" s="5">
        <f t="shared" ca="1" si="89"/>
        <v>8.2362771018910652E-2</v>
      </c>
    </row>
    <row r="607" spans="1:10" x14ac:dyDescent="0.2">
      <c r="A607">
        <f t="shared" ca="1" si="81"/>
        <v>0.27314566563829201</v>
      </c>
      <c r="B607">
        <f t="shared" ca="1" si="82"/>
        <v>-0.60332676454068801</v>
      </c>
      <c r="C607">
        <f t="shared" ca="1" si="86"/>
        <v>23.413563092372325</v>
      </c>
      <c r="D607" s="21">
        <f t="shared" ca="1" si="83"/>
        <v>0.3325582901230501</v>
      </c>
      <c r="F607">
        <f t="shared" si="84"/>
        <v>0.60100000000000042</v>
      </c>
      <c r="G607">
        <f t="shared" ca="1" si="85"/>
        <v>8.9026260247618241E-2</v>
      </c>
      <c r="H607">
        <f t="shared" ca="1" si="87"/>
        <v>8.9030096716807006E-2</v>
      </c>
      <c r="I607">
        <f t="shared" ca="1" si="88"/>
        <v>1.1420821847344107E-2</v>
      </c>
      <c r="J607" s="5">
        <f t="shared" ca="1" si="89"/>
        <v>7.7609274869462896E-2</v>
      </c>
    </row>
    <row r="608" spans="1:10" x14ac:dyDescent="0.2">
      <c r="A608">
        <f t="shared" ca="1" si="81"/>
        <v>0.11832281015630164</v>
      </c>
      <c r="B608">
        <f t="shared" ca="1" si="82"/>
        <v>-1.1834127156001562</v>
      </c>
      <c r="C608">
        <f t="shared" ca="1" si="86"/>
        <v>22.230150376772169</v>
      </c>
      <c r="D608" s="21">
        <f t="shared" ca="1" si="83"/>
        <v>0.19806275363984302</v>
      </c>
      <c r="F608">
        <f t="shared" si="84"/>
        <v>0.60200000000000042</v>
      </c>
      <c r="G608">
        <f t="shared" ca="1" si="85"/>
        <v>8.71195662078008E-2</v>
      </c>
      <c r="H608">
        <f t="shared" ca="1" si="87"/>
        <v>8.7123306957846647E-2</v>
      </c>
      <c r="I608">
        <f t="shared" ca="1" si="88"/>
        <v>1.1400135947013825E-2</v>
      </c>
      <c r="J608" s="5">
        <f t="shared" ca="1" si="89"/>
        <v>7.5723171010832827E-2</v>
      </c>
    </row>
    <row r="609" spans="1:10" x14ac:dyDescent="0.2">
      <c r="A609">
        <f t="shared" ca="1" si="81"/>
        <v>0.15885187646008914</v>
      </c>
      <c r="B609">
        <f t="shared" ca="1" si="82"/>
        <v>-0.99918774179265657</v>
      </c>
      <c r="C609">
        <f t="shared" ca="1" si="86"/>
        <v>21.230962634979512</v>
      </c>
      <c r="D609" s="21">
        <f t="shared" ca="1" si="83"/>
        <v>0.24216726718283821</v>
      </c>
      <c r="F609">
        <f t="shared" si="84"/>
        <v>0.60300000000000042</v>
      </c>
      <c r="G609">
        <f t="shared" ca="1" si="85"/>
        <v>8.3378761699662018E-2</v>
      </c>
      <c r="H609">
        <f t="shared" ca="1" si="87"/>
        <v>8.3382315033849283E-2</v>
      </c>
      <c r="I609">
        <f t="shared" ca="1" si="88"/>
        <v>1.1358632197711495E-2</v>
      </c>
      <c r="J609" s="5">
        <f t="shared" ca="1" si="89"/>
        <v>7.202368283613779E-2</v>
      </c>
    </row>
    <row r="610" spans="1:10" x14ac:dyDescent="0.2">
      <c r="A610">
        <f t="shared" ca="1" si="81"/>
        <v>0.22894981813281556</v>
      </c>
      <c r="B610">
        <f t="shared" ca="1" si="82"/>
        <v>-0.7423098318309117</v>
      </c>
      <c r="C610">
        <f t="shared" ca="1" si="86"/>
        <v>20.4886528031486</v>
      </c>
      <c r="D610" s="21">
        <f t="shared" ca="1" si="83"/>
        <v>0.3028703428554575</v>
      </c>
      <c r="F610">
        <f t="shared" si="84"/>
        <v>0.60400000000000043</v>
      </c>
      <c r="G610">
        <f t="shared" ca="1" si="85"/>
        <v>8.0220872645074895E-2</v>
      </c>
      <c r="H610">
        <f t="shared" ca="1" si="87"/>
        <v>8.0224267728160881E-2</v>
      </c>
      <c r="I610">
        <f t="shared" ca="1" si="88"/>
        <v>1.1323874582738742E-2</v>
      </c>
      <c r="J610" s="5">
        <f t="shared" ca="1" si="89"/>
        <v>6.8900393145422137E-2</v>
      </c>
    </row>
    <row r="611" spans="1:10" x14ac:dyDescent="0.2">
      <c r="A611">
        <f t="shared" ca="1" si="81"/>
        <v>0.79078842988101505</v>
      </c>
      <c r="B611">
        <f t="shared" ca="1" si="82"/>
        <v>0.80915996431113324</v>
      </c>
      <c r="C611">
        <f t="shared" ca="1" si="86"/>
        <v>21.297812767459732</v>
      </c>
      <c r="D611" s="21">
        <f t="shared" ca="1" si="83"/>
        <v>0.28756439617605956</v>
      </c>
      <c r="F611">
        <f t="shared" si="84"/>
        <v>0.60500000000000043</v>
      </c>
      <c r="G611">
        <f t="shared" ca="1" si="85"/>
        <v>7.787557802539552E-2</v>
      </c>
      <c r="H611">
        <f t="shared" ca="1" si="87"/>
        <v>7.7878855503265829E-2</v>
      </c>
      <c r="I611">
        <f t="shared" ca="1" si="88"/>
        <v>1.1298397506078129E-2</v>
      </c>
      <c r="J611" s="5">
        <f t="shared" ca="1" si="89"/>
        <v>6.6580457997187703E-2</v>
      </c>
    </row>
    <row r="612" spans="1:10" x14ac:dyDescent="0.2">
      <c r="A612">
        <f t="shared" ca="1" si="81"/>
        <v>0.74977537443234998</v>
      </c>
      <c r="B612">
        <f t="shared" ca="1" si="82"/>
        <v>0.67378305223647428</v>
      </c>
      <c r="C612">
        <f t="shared" ca="1" si="86"/>
        <v>21.971595819696205</v>
      </c>
      <c r="D612" s="21">
        <f t="shared" ca="1" si="83"/>
        <v>0.3179280009496015</v>
      </c>
      <c r="F612">
        <f t="shared" si="84"/>
        <v>0.60600000000000043</v>
      </c>
      <c r="G612">
        <f t="shared" ca="1" si="85"/>
        <v>8.0436450901524931E-2</v>
      </c>
      <c r="H612">
        <f t="shared" ca="1" si="87"/>
        <v>8.0439856096359244E-2</v>
      </c>
      <c r="I612">
        <f t="shared" ca="1" si="88"/>
        <v>1.1328420883433152E-2</v>
      </c>
      <c r="J612" s="5">
        <f t="shared" ca="1" si="89"/>
        <v>6.9111435212926092E-2</v>
      </c>
    </row>
    <row r="613" spans="1:10" x14ac:dyDescent="0.2">
      <c r="A613">
        <f t="shared" ca="1" si="81"/>
        <v>0.65928757199791033</v>
      </c>
      <c r="B613">
        <f t="shared" ca="1" si="82"/>
        <v>0.41051956271030066</v>
      </c>
      <c r="C613">
        <f t="shared" ca="1" si="86"/>
        <v>22.382115382406507</v>
      </c>
      <c r="D613" s="21">
        <f t="shared" ca="1" si="83"/>
        <v>0.36670348917306073</v>
      </c>
      <c r="F613">
        <f t="shared" si="84"/>
        <v>0.60700000000000043</v>
      </c>
      <c r="G613">
        <f t="shared" ca="1" si="85"/>
        <v>8.2568989722491798E-2</v>
      </c>
      <c r="H613">
        <f t="shared" ca="1" si="87"/>
        <v>8.2572501204637078E-2</v>
      </c>
      <c r="I613">
        <f t="shared" ca="1" si="88"/>
        <v>1.1353662505826279E-2</v>
      </c>
      <c r="J613" s="5">
        <f t="shared" ca="1" si="89"/>
        <v>7.1218838698810794E-2</v>
      </c>
    </row>
    <row r="614" spans="1:10" x14ac:dyDescent="0.2">
      <c r="A614">
        <f t="shared" ca="1" si="81"/>
        <v>0.24991042759393933</v>
      </c>
      <c r="B614">
        <f t="shared" ca="1" si="82"/>
        <v>-0.67477164927479993</v>
      </c>
      <c r="C614">
        <f t="shared" ca="1" si="86"/>
        <v>21.707343733131708</v>
      </c>
      <c r="D614" s="21">
        <f t="shared" ca="1" si="83"/>
        <v>0.31771614438952933</v>
      </c>
      <c r="F614">
        <f t="shared" si="84"/>
        <v>0.60800000000000043</v>
      </c>
      <c r="G614">
        <f t="shared" ca="1" si="85"/>
        <v>8.3868844672450593E-2</v>
      </c>
      <c r="H614">
        <f t="shared" ca="1" si="87"/>
        <v>8.3872420796737485E-2</v>
      </c>
      <c r="I614">
        <f t="shared" ca="1" si="88"/>
        <v>1.136949118902101E-2</v>
      </c>
      <c r="J614" s="5">
        <f t="shared" ca="1" si="89"/>
        <v>7.2502929607716482E-2</v>
      </c>
    </row>
    <row r="615" spans="1:10" x14ac:dyDescent="0.2">
      <c r="A615">
        <f t="shared" ca="1" si="81"/>
        <v>0.62422924190888829</v>
      </c>
      <c r="B615">
        <f t="shared" ca="1" si="82"/>
        <v>0.31660740511030838</v>
      </c>
      <c r="C615">
        <f t="shared" ca="1" si="86"/>
        <v>22.023951138242015</v>
      </c>
      <c r="D615" s="21">
        <f t="shared" ca="1" si="83"/>
        <v>0.37944005301642164</v>
      </c>
      <c r="F615">
        <f t="shared" si="84"/>
        <v>0.60900000000000043</v>
      </c>
      <c r="G615">
        <f t="shared" ca="1" si="85"/>
        <v>8.173674908143394E-2</v>
      </c>
      <c r="H615">
        <f t="shared" ca="1" si="87"/>
        <v>8.174021824244114E-2</v>
      </c>
      <c r="I615">
        <f t="shared" ca="1" si="88"/>
        <v>1.1346334510409598E-2</v>
      </c>
      <c r="J615" s="5">
        <f t="shared" ca="1" si="89"/>
        <v>7.0393883732031537E-2</v>
      </c>
    </row>
    <row r="616" spans="1:10" x14ac:dyDescent="0.2">
      <c r="A616">
        <f t="shared" ca="1" si="81"/>
        <v>0.31365826746270931</v>
      </c>
      <c r="B616">
        <f t="shared" ca="1" si="82"/>
        <v>-0.48550730107477486</v>
      </c>
      <c r="C616">
        <f t="shared" ca="1" si="86"/>
        <v>21.53844383716724</v>
      </c>
      <c r="D616" s="21">
        <f t="shared" ca="1" si="83"/>
        <v>0.35458854037800874</v>
      </c>
      <c r="F616">
        <f t="shared" si="84"/>
        <v>0.61000000000000043</v>
      </c>
      <c r="G616">
        <f t="shared" ca="1" si="85"/>
        <v>8.2739725781496326E-2</v>
      </c>
      <c r="H616">
        <f t="shared" ca="1" si="87"/>
        <v>8.2743244744841113E-2</v>
      </c>
      <c r="I616">
        <f t="shared" ca="1" si="88"/>
        <v>1.1358779187932761E-2</v>
      </c>
      <c r="J616" s="5">
        <f t="shared" ca="1" si="89"/>
        <v>7.1384465556908347E-2</v>
      </c>
    </row>
    <row r="617" spans="1:10" x14ac:dyDescent="0.2">
      <c r="A617">
        <f t="shared" ca="1" si="81"/>
        <v>0.86611850537881208</v>
      </c>
      <c r="B617">
        <f t="shared" ca="1" si="82"/>
        <v>1.108228861616559</v>
      </c>
      <c r="C617">
        <f t="shared" ca="1" si="86"/>
        <v>22.646672698783799</v>
      </c>
      <c r="D617" s="21">
        <f t="shared" ca="1" si="83"/>
        <v>0.21588182271859863</v>
      </c>
      <c r="F617">
        <f t="shared" si="84"/>
        <v>0.61100000000000043</v>
      </c>
      <c r="G617">
        <f t="shared" ca="1" si="85"/>
        <v>8.1206219592828463E-2</v>
      </c>
      <c r="H617">
        <f t="shared" ca="1" si="87"/>
        <v>8.120966152832923E-2</v>
      </c>
      <c r="I617">
        <f t="shared" ca="1" si="88"/>
        <v>1.1342430813446476E-2</v>
      </c>
      <c r="J617" s="5">
        <f t="shared" ca="1" si="89"/>
        <v>6.9867230714882753E-2</v>
      </c>
    </row>
    <row r="618" spans="1:10" x14ac:dyDescent="0.2">
      <c r="A618">
        <f t="shared" ca="1" si="81"/>
        <v>0.4137888604503791</v>
      </c>
      <c r="B618">
        <f t="shared" ca="1" si="82"/>
        <v>-0.21780927083043455</v>
      </c>
      <c r="C618">
        <f t="shared" ca="1" si="86"/>
        <v>22.428863427953363</v>
      </c>
      <c r="D618" s="21">
        <f t="shared" ca="1" si="83"/>
        <v>0.38959054638468998</v>
      </c>
      <c r="F618">
        <f t="shared" si="84"/>
        <v>0.61200000000000043</v>
      </c>
      <c r="G618">
        <f t="shared" ca="1" si="85"/>
        <v>8.471245102927949E-2</v>
      </c>
      <c r="H618">
        <f t="shared" ca="1" si="87"/>
        <v>8.4716067933620284E-2</v>
      </c>
      <c r="I618">
        <f t="shared" ca="1" si="88"/>
        <v>1.1383331771515801E-2</v>
      </c>
      <c r="J618" s="5">
        <f t="shared" ca="1" si="89"/>
        <v>7.3332736162104478E-2</v>
      </c>
    </row>
    <row r="619" spans="1:10" x14ac:dyDescent="0.2">
      <c r="A619">
        <f t="shared" ca="1" si="81"/>
        <v>0.51846119003648983</v>
      </c>
      <c r="B619">
        <f t="shared" ca="1" si="82"/>
        <v>4.6291869043214341E-2</v>
      </c>
      <c r="C619">
        <f t="shared" ca="1" si="86"/>
        <v>22.475155296996576</v>
      </c>
      <c r="D619" s="21">
        <f t="shared" ca="1" si="83"/>
        <v>0.39851505520689223</v>
      </c>
      <c r="F619">
        <f t="shared" si="84"/>
        <v>0.61300000000000043</v>
      </c>
      <c r="G619">
        <f t="shared" ca="1" si="85"/>
        <v>8.4025240753651392E-2</v>
      </c>
      <c r="H619">
        <f t="shared" ca="1" si="87"/>
        <v>8.4028822935502276E-2</v>
      </c>
      <c r="I619">
        <f t="shared" ca="1" si="88"/>
        <v>1.1376574658300796E-2</v>
      </c>
      <c r="J619" s="5">
        <f t="shared" ca="1" si="89"/>
        <v>7.2652248277201487E-2</v>
      </c>
    </row>
    <row r="620" spans="1:10" x14ac:dyDescent="0.2">
      <c r="A620">
        <f t="shared" ca="1" si="81"/>
        <v>0.2734925799203114</v>
      </c>
      <c r="B620">
        <f t="shared" ca="1" si="82"/>
        <v>-0.60228392413648957</v>
      </c>
      <c r="C620">
        <f t="shared" ca="1" si="86"/>
        <v>21.872871372860086</v>
      </c>
      <c r="D620" s="21">
        <f t="shared" ca="1" si="83"/>
        <v>0.33276741188732678</v>
      </c>
      <c r="F620">
        <f t="shared" si="84"/>
        <v>0.61400000000000043</v>
      </c>
      <c r="G620">
        <f t="shared" ca="1" si="85"/>
        <v>8.4173218573945482E-2</v>
      </c>
      <c r="H620">
        <f t="shared" ca="1" si="87"/>
        <v>8.4176807796531514E-2</v>
      </c>
      <c r="I620">
        <f t="shared" ca="1" si="88"/>
        <v>1.1379321155456347E-2</v>
      </c>
      <c r="J620" s="5">
        <f t="shared" ca="1" si="89"/>
        <v>7.279748664107516E-2</v>
      </c>
    </row>
    <row r="621" spans="1:10" x14ac:dyDescent="0.2">
      <c r="A621">
        <f t="shared" ca="1" si="81"/>
        <v>0.61741914735138503</v>
      </c>
      <c r="B621">
        <f t="shared" ca="1" si="82"/>
        <v>0.2987095033754712</v>
      </c>
      <c r="C621">
        <f t="shared" ca="1" si="86"/>
        <v>22.171580876235556</v>
      </c>
      <c r="D621" s="21">
        <f t="shared" ca="1" si="83"/>
        <v>0.38153518025183475</v>
      </c>
      <c r="F621">
        <f t="shared" si="84"/>
        <v>0.61500000000000044</v>
      </c>
      <c r="G621">
        <f t="shared" ca="1" si="85"/>
        <v>8.2270307400063636E-2</v>
      </c>
      <c r="H621">
        <f t="shared" ca="1" si="87"/>
        <v>8.2273801117376491E-2</v>
      </c>
      <c r="I621">
        <f t="shared" ca="1" si="88"/>
        <v>1.135874788128388E-2</v>
      </c>
      <c r="J621" s="5">
        <f t="shared" ca="1" si="89"/>
        <v>7.0915053236092609E-2</v>
      </c>
    </row>
    <row r="622" spans="1:10" x14ac:dyDescent="0.2">
      <c r="A622">
        <f t="shared" ca="1" si="81"/>
        <v>0.43824099110576786</v>
      </c>
      <c r="B622">
        <f t="shared" ca="1" si="82"/>
        <v>-0.15543044748913362</v>
      </c>
      <c r="C622">
        <f t="shared" ca="1" si="86"/>
        <v>22.016150428746421</v>
      </c>
      <c r="D622" s="21">
        <f t="shared" ca="1" si="83"/>
        <v>0.39415232007944367</v>
      </c>
      <c r="F622">
        <f t="shared" si="84"/>
        <v>0.61600000000000044</v>
      </c>
      <c r="G622">
        <f t="shared" ca="1" si="85"/>
        <v>8.3216635441930725E-2</v>
      </c>
      <c r="H622">
        <f t="shared" ca="1" si="87"/>
        <v>8.3220176126669002E-2</v>
      </c>
      <c r="I622">
        <f t="shared" ca="1" si="88"/>
        <v>1.1370562602964261E-2</v>
      </c>
      <c r="J622" s="5">
        <f t="shared" ca="1" si="89"/>
        <v>7.1849613523704739E-2</v>
      </c>
    </row>
    <row r="623" spans="1:10" x14ac:dyDescent="0.2">
      <c r="A623">
        <f t="shared" ca="1" si="81"/>
        <v>0.50058409967173056</v>
      </c>
      <c r="B623">
        <f t="shared" ca="1" si="82"/>
        <v>1.4641212754565505E-3</v>
      </c>
      <c r="C623">
        <f t="shared" ca="1" si="86"/>
        <v>22.017614550021879</v>
      </c>
      <c r="D623" s="21">
        <f t="shared" ca="1" si="83"/>
        <v>0.39894185280513089</v>
      </c>
      <c r="F623">
        <f t="shared" si="84"/>
        <v>0.61700000000000044</v>
      </c>
      <c r="G623">
        <f t="shared" ca="1" si="85"/>
        <v>8.272682403735529E-2</v>
      </c>
      <c r="H623">
        <f t="shared" ca="1" si="87"/>
        <v>8.2730339877251466E-2</v>
      </c>
      <c r="I623">
        <f t="shared" ca="1" si="88"/>
        <v>1.1366054906810457E-2</v>
      </c>
      <c r="J623" s="5">
        <f t="shared" ca="1" si="89"/>
        <v>7.1364284970441005E-2</v>
      </c>
    </row>
    <row r="624" spans="1:10" x14ac:dyDescent="0.2">
      <c r="A624">
        <f t="shared" ca="1" si="81"/>
        <v>0.49277335624754548</v>
      </c>
      <c r="B624">
        <f t="shared" ca="1" si="82"/>
        <v>-1.8115500343190871E-2</v>
      </c>
      <c r="C624">
        <f t="shared" ca="1" si="86"/>
        <v>21.999499049678686</v>
      </c>
      <c r="D624" s="21">
        <f t="shared" ca="1" si="83"/>
        <v>0.39887682505782057</v>
      </c>
      <c r="F624">
        <f t="shared" si="84"/>
        <v>0.61800000000000044</v>
      </c>
      <c r="G624">
        <f t="shared" ca="1" si="85"/>
        <v>8.2733180995101449E-2</v>
      </c>
      <c r="H624">
        <f t="shared" ca="1" si="87"/>
        <v>8.27366968012649E-2</v>
      </c>
      <c r="I624">
        <f t="shared" ca="1" si="88"/>
        <v>1.1367187362795796E-2</v>
      </c>
      <c r="J624" s="5">
        <f t="shared" ca="1" si="89"/>
        <v>7.1369509438469106E-2</v>
      </c>
    </row>
    <row r="625" spans="1:10" x14ac:dyDescent="0.2">
      <c r="A625">
        <f t="shared" ca="1" si="81"/>
        <v>9.8060464274530634E-2</v>
      </c>
      <c r="B625">
        <f t="shared" ca="1" si="82"/>
        <v>-1.2926823966213965</v>
      </c>
      <c r="C625">
        <f t="shared" ca="1" si="86"/>
        <v>20.706816653057288</v>
      </c>
      <c r="D625" s="21">
        <f t="shared" ca="1" si="83"/>
        <v>0.17300194833909321</v>
      </c>
      <c r="F625">
        <f t="shared" si="84"/>
        <v>0.61900000000000044</v>
      </c>
      <c r="G625">
        <f t="shared" ca="1" si="85"/>
        <v>8.2677624212825429E-2</v>
      </c>
      <c r="H625">
        <f t="shared" ca="1" si="87"/>
        <v>8.268113688954673E-2</v>
      </c>
      <c r="I625">
        <f t="shared" ca="1" si="88"/>
        <v>1.1367616070232737E-2</v>
      </c>
      <c r="J625" s="5">
        <f t="shared" ca="1" si="89"/>
        <v>7.1313520819313997E-2</v>
      </c>
    </row>
    <row r="626" spans="1:10" x14ac:dyDescent="0.2">
      <c r="A626">
        <f t="shared" ca="1" si="81"/>
        <v>3.8748426754650511E-2</v>
      </c>
      <c r="B626">
        <f t="shared" ca="1" si="82"/>
        <v>-1.7653982726031168</v>
      </c>
      <c r="C626">
        <f t="shared" ca="1" si="86"/>
        <v>18.94141838045417</v>
      </c>
      <c r="D626" s="21">
        <f t="shared" ca="1" si="83"/>
        <v>8.3973495166710058E-2</v>
      </c>
      <c r="F626">
        <f t="shared" si="84"/>
        <v>0.62000000000000044</v>
      </c>
      <c r="G626">
        <f t="shared" ca="1" si="85"/>
        <v>7.8591740081783698E-2</v>
      </c>
      <c r="H626">
        <f t="shared" ca="1" si="87"/>
        <v>7.8595048111329016E-2</v>
      </c>
      <c r="I626">
        <f t="shared" ca="1" si="88"/>
        <v>1.132231771217233E-2</v>
      </c>
      <c r="J626" s="5">
        <f t="shared" ca="1" si="89"/>
        <v>6.7272730399156683E-2</v>
      </c>
    </row>
    <row r="627" spans="1:10" x14ac:dyDescent="0.2">
      <c r="A627">
        <f t="shared" ca="1" si="81"/>
        <v>0.94965310882193255</v>
      </c>
      <c r="B627">
        <f t="shared" ca="1" si="82"/>
        <v>1.6414994442194635</v>
      </c>
      <c r="C627">
        <f t="shared" ca="1" si="86"/>
        <v>20.582917824673633</v>
      </c>
      <c r="D627" s="21">
        <f t="shared" ca="1" si="83"/>
        <v>0.10370564328516989</v>
      </c>
      <c r="F627">
        <f t="shared" si="84"/>
        <v>0.62100000000000044</v>
      </c>
      <c r="G627">
        <f t="shared" ca="1" si="85"/>
        <v>7.3011480404330961E-2</v>
      </c>
      <c r="H627">
        <f t="shared" ca="1" si="87"/>
        <v>7.3014509087765203E-2</v>
      </c>
      <c r="I627">
        <f t="shared" ca="1" si="88"/>
        <v>1.1260354633417036E-2</v>
      </c>
      <c r="J627" s="5">
        <f t="shared" ca="1" si="89"/>
        <v>6.1754154454348169E-2</v>
      </c>
    </row>
    <row r="628" spans="1:10" x14ac:dyDescent="0.2">
      <c r="A628">
        <f t="shared" ca="1" si="81"/>
        <v>0.20204279340649911</v>
      </c>
      <c r="B628">
        <f t="shared" ca="1" si="82"/>
        <v>-0.83434679975737835</v>
      </c>
      <c r="C628">
        <f t="shared" ca="1" si="86"/>
        <v>19.748571024916256</v>
      </c>
      <c r="D628" s="21">
        <f t="shared" ca="1" si="83"/>
        <v>0.28167374108303184</v>
      </c>
      <c r="F628">
        <f t="shared" si="84"/>
        <v>0.62200000000000044</v>
      </c>
      <c r="G628">
        <f t="shared" ca="1" si="85"/>
        <v>7.8204796609949223E-2</v>
      </c>
      <c r="H628">
        <f t="shared" ca="1" si="87"/>
        <v>7.8208084658490454E-2</v>
      </c>
      <c r="I628">
        <f t="shared" ca="1" si="88"/>
        <v>1.132003307071577E-2</v>
      </c>
      <c r="J628" s="5">
        <f t="shared" ca="1" si="89"/>
        <v>6.688805158777468E-2</v>
      </c>
    </row>
    <row r="629" spans="1:10" x14ac:dyDescent="0.2">
      <c r="A629">
        <f t="shared" ca="1" si="81"/>
        <v>4.1136231500487397E-2</v>
      </c>
      <c r="B629">
        <f t="shared" ca="1" si="82"/>
        <v>-1.7376502320002736</v>
      </c>
      <c r="C629">
        <f t="shared" ca="1" si="86"/>
        <v>18.010920792915982</v>
      </c>
      <c r="D629" s="21">
        <f t="shared" ca="1" si="83"/>
        <v>8.8155524758254666E-2</v>
      </c>
      <c r="F629">
        <f t="shared" si="84"/>
        <v>0.62300000000000044</v>
      </c>
      <c r="G629">
        <f t="shared" ca="1" si="85"/>
        <v>7.5568671691925882E-2</v>
      </c>
      <c r="H629">
        <f t="shared" ca="1" si="87"/>
        <v>7.5571827604318867E-2</v>
      </c>
      <c r="I629">
        <f t="shared" ca="1" si="88"/>
        <v>1.1291277872309673E-2</v>
      </c>
      <c r="J629" s="5">
        <f t="shared" ca="1" si="89"/>
        <v>6.4280549732009196E-2</v>
      </c>
    </row>
    <row r="630" spans="1:10" x14ac:dyDescent="0.2">
      <c r="A630">
        <f t="shared" ca="1" si="81"/>
        <v>0.28285603703276652</v>
      </c>
      <c r="B630">
        <f t="shared" ca="1" si="82"/>
        <v>-0.57437794516859908</v>
      </c>
      <c r="C630">
        <f t="shared" ca="1" si="86"/>
        <v>17.436542847747383</v>
      </c>
      <c r="D630" s="21">
        <f t="shared" ca="1" si="83"/>
        <v>0.33827586587676051</v>
      </c>
      <c r="F630">
        <f t="shared" si="84"/>
        <v>0.62400000000000044</v>
      </c>
      <c r="G630">
        <f t="shared" ca="1" si="85"/>
        <v>7.0076456927941469E-2</v>
      </c>
      <c r="H630">
        <f t="shared" ca="1" si="87"/>
        <v>7.0079337911717568E-2</v>
      </c>
      <c r="I630">
        <f t="shared" ca="1" si="88"/>
        <v>1.123047006064808E-2</v>
      </c>
      <c r="J630" s="5">
        <f t="shared" ca="1" si="89"/>
        <v>5.8848867851069492E-2</v>
      </c>
    </row>
    <row r="631" spans="1:10" x14ac:dyDescent="0.2">
      <c r="A631">
        <f t="shared" ca="1" si="81"/>
        <v>0.92937986169187947</v>
      </c>
      <c r="B631">
        <f t="shared" ca="1" si="82"/>
        <v>1.4711880181736889</v>
      </c>
      <c r="C631">
        <f t="shared" ca="1" si="86"/>
        <v>18.907730865921071</v>
      </c>
      <c r="D631" s="21">
        <f t="shared" ca="1" si="83"/>
        <v>0.13518168025679417</v>
      </c>
      <c r="F631">
        <f t="shared" si="84"/>
        <v>0.62500000000000044</v>
      </c>
      <c r="G631">
        <f t="shared" ca="1" si="85"/>
        <v>6.8263197401479209E-2</v>
      </c>
      <c r="H631">
        <f t="shared" ca="1" si="87"/>
        <v>6.8265987433426309E-2</v>
      </c>
      <c r="I631">
        <f t="shared" ca="1" si="88"/>
        <v>1.1211155203250034E-2</v>
      </c>
      <c r="J631" s="5">
        <f t="shared" ca="1" si="89"/>
        <v>5.7054832230176274E-2</v>
      </c>
    </row>
    <row r="632" spans="1:10" x14ac:dyDescent="0.2">
      <c r="A632">
        <f t="shared" ca="1" si="81"/>
        <v>0.63337297139104298</v>
      </c>
      <c r="B632">
        <f t="shared" ca="1" si="82"/>
        <v>0.34080012384939751</v>
      </c>
      <c r="C632">
        <f t="shared" ca="1" si="86"/>
        <v>19.248530989770469</v>
      </c>
      <c r="D632" s="21">
        <f t="shared" ca="1" si="83"/>
        <v>0.37643462130522348</v>
      </c>
      <c r="F632">
        <f t="shared" si="84"/>
        <v>0.62600000000000044</v>
      </c>
      <c r="G632">
        <f t="shared" ca="1" si="85"/>
        <v>7.2918443321280071E-2</v>
      </c>
      <c r="H632">
        <f t="shared" ca="1" si="87"/>
        <v>7.2921465838461014E-2</v>
      </c>
      <c r="I632">
        <f t="shared" ca="1" si="88"/>
        <v>1.1264504508963553E-2</v>
      </c>
      <c r="J632" s="5">
        <f t="shared" ca="1" si="89"/>
        <v>6.165696132949746E-2</v>
      </c>
    </row>
    <row r="633" spans="1:10" x14ac:dyDescent="0.2">
      <c r="A633">
        <f t="shared" ca="1" si="81"/>
        <v>0.72421068508218189</v>
      </c>
      <c r="B633">
        <f t="shared" ca="1" si="82"/>
        <v>0.59539625263309481</v>
      </c>
      <c r="C633">
        <f t="shared" ca="1" si="86"/>
        <v>19.843927242403563</v>
      </c>
      <c r="D633" s="21">
        <f t="shared" ca="1" si="83"/>
        <v>0.33414278343891451</v>
      </c>
      <c r="F633">
        <f t="shared" si="84"/>
        <v>0.62700000000000045</v>
      </c>
      <c r="G633">
        <f t="shared" ca="1" si="85"/>
        <v>7.3998802076790451E-2</v>
      </c>
      <c r="H633">
        <f t="shared" ca="1" si="87"/>
        <v>7.4001878310108724E-2</v>
      </c>
      <c r="I633">
        <f t="shared" ca="1" si="88"/>
        <v>1.1277722194128738E-2</v>
      </c>
      <c r="J633" s="5">
        <f t="shared" ca="1" si="89"/>
        <v>6.2724156115979979E-2</v>
      </c>
    </row>
    <row r="634" spans="1:10" x14ac:dyDescent="0.2">
      <c r="A634">
        <f t="shared" ca="1" si="81"/>
        <v>0.29281513353188093</v>
      </c>
      <c r="B634">
        <f t="shared" ca="1" si="82"/>
        <v>-0.54517921244594048</v>
      </c>
      <c r="C634">
        <f t="shared" ca="1" si="86"/>
        <v>19.298748029957622</v>
      </c>
      <c r="D634" s="21">
        <f t="shared" ca="1" si="83"/>
        <v>0.34385035869420233</v>
      </c>
      <c r="F634">
        <f t="shared" si="84"/>
        <v>0.62800000000000045</v>
      </c>
      <c r="G634">
        <f t="shared" ca="1" si="85"/>
        <v>7.5884116198739623E-2</v>
      </c>
      <c r="H634">
        <f t="shared" ca="1" si="87"/>
        <v>7.5887286390927317E-2</v>
      </c>
      <c r="I634">
        <f t="shared" ca="1" si="88"/>
        <v>1.1300049438561976E-2</v>
      </c>
      <c r="J634" s="5">
        <f t="shared" ca="1" si="89"/>
        <v>6.4587236952365346E-2</v>
      </c>
    </row>
    <row r="635" spans="1:10" x14ac:dyDescent="0.2">
      <c r="A635">
        <f t="shared" ca="1" si="81"/>
        <v>0.32622186238071338</v>
      </c>
      <c r="B635">
        <f t="shared" ca="1" si="82"/>
        <v>-0.45036992797856346</v>
      </c>
      <c r="C635">
        <f t="shared" ca="1" si="86"/>
        <v>18.848378101979058</v>
      </c>
      <c r="D635" s="21">
        <f t="shared" ca="1" si="83"/>
        <v>0.36046692673767905</v>
      </c>
      <c r="F635">
        <f t="shared" si="84"/>
        <v>0.62900000000000045</v>
      </c>
      <c r="G635">
        <f t="shared" ca="1" si="85"/>
        <v>7.4162605819049043E-2</v>
      </c>
      <c r="H635">
        <f t="shared" ca="1" si="87"/>
        <v>7.4165689617982242E-2</v>
      </c>
      <c r="I635">
        <f t="shared" ca="1" si="88"/>
        <v>1.1281656552272748E-2</v>
      </c>
      <c r="J635" s="5">
        <f t="shared" ca="1" si="89"/>
        <v>6.2884033065709499E-2</v>
      </c>
    </row>
    <row r="636" spans="1:10" x14ac:dyDescent="0.2">
      <c r="A636">
        <f t="shared" ca="1" si="81"/>
        <v>0.18859847219083525</v>
      </c>
      <c r="B636">
        <f t="shared" ca="1" si="82"/>
        <v>-0.88307279029252161</v>
      </c>
      <c r="C636">
        <f t="shared" ca="1" si="86"/>
        <v>17.965305311686535</v>
      </c>
      <c r="D636" s="21">
        <f t="shared" ca="1" si="83"/>
        <v>0.27013125467440485</v>
      </c>
      <c r="F636">
        <f t="shared" si="84"/>
        <v>0.63000000000000045</v>
      </c>
      <c r="G636">
        <f t="shared" ca="1" si="85"/>
        <v>7.2741065873997382E-2</v>
      </c>
      <c r="H636">
        <f t="shared" ca="1" si="87"/>
        <v>7.2744078286962194E-2</v>
      </c>
      <c r="I636">
        <f t="shared" ca="1" si="88"/>
        <v>1.1266670995044536E-2</v>
      </c>
      <c r="J636" s="5">
        <f t="shared" ca="1" si="89"/>
        <v>6.1477407291917655E-2</v>
      </c>
    </row>
    <row r="637" spans="1:10" x14ac:dyDescent="0.2">
      <c r="A637">
        <f t="shared" ca="1" si="81"/>
        <v>2.4634546936564305E-2</v>
      </c>
      <c r="B637">
        <f t="shared" ca="1" si="82"/>
        <v>-1.9662555908932811</v>
      </c>
      <c r="C637">
        <f t="shared" ca="1" si="86"/>
        <v>15.999049720793254</v>
      </c>
      <c r="D637" s="21">
        <f t="shared" ca="1" si="83"/>
        <v>5.7727647685807383E-2</v>
      </c>
      <c r="F637">
        <f t="shared" si="84"/>
        <v>0.63100000000000045</v>
      </c>
      <c r="G637">
        <f t="shared" ca="1" si="85"/>
        <v>6.9951409894325606E-2</v>
      </c>
      <c r="H637">
        <f t="shared" ca="1" si="87"/>
        <v>6.9954282522088906E-2</v>
      </c>
      <c r="I637">
        <f t="shared" ca="1" si="88"/>
        <v>1.1236319864228874E-2</v>
      </c>
      <c r="J637" s="5">
        <f t="shared" ca="1" si="89"/>
        <v>5.8717962657860029E-2</v>
      </c>
    </row>
    <row r="638" spans="1:10" x14ac:dyDescent="0.2">
      <c r="A638">
        <f t="shared" ca="1" si="81"/>
        <v>0.81203663843699569</v>
      </c>
      <c r="B638">
        <f t="shared" ca="1" si="82"/>
        <v>0.88542635519571389</v>
      </c>
      <c r="C638">
        <f t="shared" ca="1" si="86"/>
        <v>16.884476075988967</v>
      </c>
      <c r="D638" s="21">
        <f t="shared" ca="1" si="83"/>
        <v>0.2695696586323359</v>
      </c>
      <c r="F638">
        <f t="shared" si="84"/>
        <v>0.63200000000000045</v>
      </c>
      <c r="G638">
        <f t="shared" ca="1" si="85"/>
        <v>6.3736879353188419E-2</v>
      </c>
      <c r="H638">
        <f t="shared" ca="1" si="87"/>
        <v>6.3739440964573693E-2</v>
      </c>
      <c r="I638">
        <f t="shared" ca="1" si="88"/>
        <v>1.1167731798005015E-2</v>
      </c>
      <c r="J638" s="5">
        <f t="shared" ca="1" si="89"/>
        <v>5.2571709166568677E-2</v>
      </c>
    </row>
    <row r="639" spans="1:10" x14ac:dyDescent="0.2">
      <c r="A639">
        <f t="shared" ca="1" si="81"/>
        <v>0.16579952737468584</v>
      </c>
      <c r="B639">
        <f t="shared" ca="1" si="82"/>
        <v>-0.97089803908707339</v>
      </c>
      <c r="C639">
        <f t="shared" ca="1" si="86"/>
        <v>15.913578036901894</v>
      </c>
      <c r="D639" s="21">
        <f t="shared" ca="1" si="83"/>
        <v>0.24901054491541477</v>
      </c>
      <c r="F639">
        <f t="shared" si="84"/>
        <v>0.63300000000000045</v>
      </c>
      <c r="G639">
        <f t="shared" ca="1" si="85"/>
        <v>6.654032947433712E-2</v>
      </c>
      <c r="H639">
        <f t="shared" ca="1" si="87"/>
        <v>6.6543031003236955E-2</v>
      </c>
      <c r="I639">
        <f t="shared" ca="1" si="88"/>
        <v>1.1200108821876192E-2</v>
      </c>
      <c r="J639" s="5">
        <f t="shared" ca="1" si="89"/>
        <v>5.5342922181360762E-2</v>
      </c>
    </row>
    <row r="640" spans="1:10" x14ac:dyDescent="0.2">
      <c r="A640">
        <f t="shared" ca="1" si="81"/>
        <v>0.6179921462439758</v>
      </c>
      <c r="B640">
        <f t="shared" ca="1" si="82"/>
        <v>0.30021166543700267</v>
      </c>
      <c r="C640">
        <f t="shared" ca="1" si="86"/>
        <v>16.213789702338897</v>
      </c>
      <c r="D640" s="21">
        <f t="shared" ca="1" si="83"/>
        <v>0.38136358970086143</v>
      </c>
      <c r="F640">
        <f t="shared" si="84"/>
        <v>0.63400000000000045</v>
      </c>
      <c r="G640">
        <f t="shared" ca="1" si="85"/>
        <v>6.3473579600853466E-2</v>
      </c>
      <c r="H640">
        <f t="shared" ca="1" si="87"/>
        <v>6.3476127520830289E-2</v>
      </c>
      <c r="I640">
        <f t="shared" ca="1" si="88"/>
        <v>1.1166835230453665E-2</v>
      </c>
      <c r="J640" s="5">
        <f t="shared" ca="1" si="89"/>
        <v>5.2309292290376626E-2</v>
      </c>
    </row>
    <row r="641" spans="1:10" x14ac:dyDescent="0.2">
      <c r="A641">
        <f t="shared" ca="1" si="81"/>
        <v>9.0484134231309521E-2</v>
      </c>
      <c r="B641">
        <f t="shared" ca="1" si="82"/>
        <v>-1.3377796777007116</v>
      </c>
      <c r="C641">
        <f t="shared" ca="1" si="86"/>
        <v>14.876010024638186</v>
      </c>
      <c r="D641" s="21">
        <f t="shared" ca="1" si="83"/>
        <v>0.1630390125134932</v>
      </c>
      <c r="F641">
        <f t="shared" si="84"/>
        <v>0.63500000000000045</v>
      </c>
      <c r="G641">
        <f t="shared" ca="1" si="85"/>
        <v>6.4426537237546336E-2</v>
      </c>
      <c r="H641">
        <f t="shared" ca="1" si="87"/>
        <v>6.4429132551011584E-2</v>
      </c>
      <c r="I641">
        <f t="shared" ca="1" si="88"/>
        <v>1.1178503436139997E-2</v>
      </c>
      <c r="J641" s="5">
        <f t="shared" ca="1" si="89"/>
        <v>5.3250629114871585E-2</v>
      </c>
    </row>
    <row r="642" spans="1:10" x14ac:dyDescent="0.2">
      <c r="A642">
        <f t="shared" ca="1" si="81"/>
        <v>0.68759667510993827</v>
      </c>
      <c r="B642">
        <f t="shared" ca="1" si="82"/>
        <v>0.48904950412936404</v>
      </c>
      <c r="C642">
        <f t="shared" ca="1" si="86"/>
        <v>15.365059528767549</v>
      </c>
      <c r="D642" s="21">
        <f t="shared" ca="1" si="83"/>
        <v>0.35397703460524266</v>
      </c>
      <c r="F642">
        <f t="shared" si="84"/>
        <v>0.63600000000000045</v>
      </c>
      <c r="G642">
        <f t="shared" ca="1" si="85"/>
        <v>6.0199875129667416E-2</v>
      </c>
      <c r="H642">
        <f t="shared" ca="1" si="87"/>
        <v>6.020225884873627E-2</v>
      </c>
      <c r="I642">
        <f t="shared" ca="1" si="88"/>
        <v>1.1132370963424664E-2</v>
      </c>
      <c r="J642" s="5">
        <f t="shared" ca="1" si="89"/>
        <v>4.9069887885311608E-2</v>
      </c>
    </row>
    <row r="643" spans="1:10" x14ac:dyDescent="0.2">
      <c r="A643">
        <f t="shared" ca="1" si="81"/>
        <v>0.85236883723384316</v>
      </c>
      <c r="B643">
        <f t="shared" ca="1" si="82"/>
        <v>1.0466471968969431</v>
      </c>
      <c r="C643">
        <f t="shared" ca="1" si="86"/>
        <v>16.411706725664491</v>
      </c>
      <c r="D643" s="21">
        <f t="shared" ca="1" si="83"/>
        <v>0.2306915572754151</v>
      </c>
      <c r="F643">
        <f t="shared" si="84"/>
        <v>0.63700000000000045</v>
      </c>
      <c r="G643">
        <f t="shared" ca="1" si="85"/>
        <v>6.1750287942490836E-2</v>
      </c>
      <c r="H643">
        <f t="shared" ca="1" si="87"/>
        <v>6.1752748944476112E-2</v>
      </c>
      <c r="I643">
        <f t="shared" ca="1" si="88"/>
        <v>1.1150659871874569E-2</v>
      </c>
      <c r="J643" s="5">
        <f t="shared" ca="1" si="89"/>
        <v>5.0602089072601539E-2</v>
      </c>
    </row>
    <row r="644" spans="1:10" x14ac:dyDescent="0.2">
      <c r="A644">
        <f t="shared" ca="1" si="81"/>
        <v>0.74287107308264322</v>
      </c>
      <c r="B644">
        <f t="shared" ca="1" si="82"/>
        <v>0.65222217950968919</v>
      </c>
      <c r="C644">
        <f t="shared" ca="1" si="86"/>
        <v>17.06392890517418</v>
      </c>
      <c r="D644" s="21">
        <f t="shared" ca="1" si="83"/>
        <v>0.32250539347687307</v>
      </c>
      <c r="F644">
        <f t="shared" si="84"/>
        <v>0.63800000000000046</v>
      </c>
      <c r="G644">
        <f t="shared" ca="1" si="85"/>
        <v>6.5063736288722113E-2</v>
      </c>
      <c r="H644">
        <f t="shared" ca="1" si="87"/>
        <v>6.5066362718406726E-2</v>
      </c>
      <c r="I644">
        <f t="shared" ca="1" si="88"/>
        <v>1.1188690222414845E-2</v>
      </c>
      <c r="J644" s="5">
        <f t="shared" ca="1" si="89"/>
        <v>5.3877672495991881E-2</v>
      </c>
    </row>
    <row r="645" spans="1:10" x14ac:dyDescent="0.2">
      <c r="A645">
        <f t="shared" ca="1" si="81"/>
        <v>0.31102514405718529</v>
      </c>
      <c r="B645">
        <f t="shared" ca="1" si="82"/>
        <v>-0.49294664416668504</v>
      </c>
      <c r="C645">
        <f t="shared" ca="1" si="86"/>
        <v>16.570982261007494</v>
      </c>
      <c r="D645" s="21">
        <f t="shared" ca="1" si="83"/>
        <v>0.35330035132691173</v>
      </c>
      <c r="F645">
        <f t="shared" si="84"/>
        <v>0.63900000000000046</v>
      </c>
      <c r="G645">
        <f t="shared" ca="1" si="85"/>
        <v>6.7129634247062878E-2</v>
      </c>
      <c r="H645">
        <f t="shared" ca="1" si="87"/>
        <v>6.7132363709864709E-2</v>
      </c>
      <c r="I645">
        <f t="shared" ca="1" si="88"/>
        <v>1.1212855966428561E-2</v>
      </c>
      <c r="J645" s="5">
        <f t="shared" ca="1" si="89"/>
        <v>5.5919507743436146E-2</v>
      </c>
    </row>
    <row r="646" spans="1:10" x14ac:dyDescent="0.2">
      <c r="A646">
        <f t="shared" ca="1" si="81"/>
        <v>0.87628301762946459</v>
      </c>
      <c r="B646">
        <f t="shared" ca="1" si="82"/>
        <v>1.1566045444356441</v>
      </c>
      <c r="C646">
        <f t="shared" ca="1" si="86"/>
        <v>17.727586805443138</v>
      </c>
      <c r="D646" s="21">
        <f t="shared" ca="1" si="83"/>
        <v>0.20437360371913407</v>
      </c>
      <c r="F646">
        <f t="shared" si="84"/>
        <v>0.64000000000000046</v>
      </c>
      <c r="G646">
        <f t="shared" ca="1" si="85"/>
        <v>6.557416489724914E-2</v>
      </c>
      <c r="H646">
        <f t="shared" ca="1" si="87"/>
        <v>6.5576816312990435E-2</v>
      </c>
      <c r="I646">
        <f t="shared" ca="1" si="88"/>
        <v>1.1196454212480781E-2</v>
      </c>
      <c r="J646" s="5">
        <f t="shared" ca="1" si="89"/>
        <v>5.4380362100509658E-2</v>
      </c>
    </row>
    <row r="647" spans="1:10" x14ac:dyDescent="0.2">
      <c r="A647">
        <f t="shared" ref="A647:A710" ca="1" si="90">RAND()</f>
        <v>0.71221035326394089</v>
      </c>
      <c r="B647">
        <f t="shared" ref="B647:B710" ca="1" si="91">NORMSINV(A647)</f>
        <v>0.55985360956683083</v>
      </c>
      <c r="C647">
        <f t="shared" ca="1" si="86"/>
        <v>18.287440415009968</v>
      </c>
      <c r="D647" s="21">
        <f t="shared" ref="D647:D710" ca="1" si="92">_xlfn.NORM.DIST(B647,0,1,FALSE)</f>
        <v>0.34107374459255807</v>
      </c>
      <c r="F647">
        <f t="shared" ref="F647:F710" si="93">F646+$M$2/$N$2</f>
        <v>0.64100000000000046</v>
      </c>
      <c r="G647">
        <f t="shared" ref="G647:G710" ca="1" si="94">G646*EXP(-$M$4*$O$2) + $O$4*(1-EXP(-$M$4*$O$2)) + $N$4* SQRT((1-EXP(-2*$M$4*$O$2))/(2*$M$4)) *B646</f>
        <v>6.9234929153537877E-2</v>
      </c>
      <c r="H647">
        <f t="shared" ca="1" si="87"/>
        <v>6.9237763343877198E-2</v>
      </c>
      <c r="I647">
        <f t="shared" ca="1" si="88"/>
        <v>1.1238547888641254E-2</v>
      </c>
      <c r="J647" s="5">
        <f t="shared" ca="1" si="89"/>
        <v>5.7999215455235946E-2</v>
      </c>
    </row>
    <row r="648" spans="1:10" x14ac:dyDescent="0.2">
      <c r="A648">
        <f t="shared" ca="1" si="90"/>
        <v>0.47785569426686836</v>
      </c>
      <c r="B648">
        <f t="shared" ca="1" si="91"/>
        <v>-5.5536077582843117E-2</v>
      </c>
      <c r="C648">
        <f t="shared" ref="C648:C711" ca="1" si="95">B648+C647</f>
        <v>18.231904337427125</v>
      </c>
      <c r="D648" s="21">
        <f t="shared" ca="1" si="92"/>
        <v>0.3983275344879984</v>
      </c>
      <c r="F648">
        <f t="shared" si="93"/>
        <v>0.64200000000000046</v>
      </c>
      <c r="G648">
        <f t="shared" ca="1" si="94"/>
        <v>7.1008329552360194E-2</v>
      </c>
      <c r="H648">
        <f t="shared" ref="H648:H711" ca="1" si="96">H647+($M$6 + $N$6*H647)*$O$2 + $O$6*H647^$P$6*SQRT($O$2)*B647</f>
        <v>7.1011252130040642E-2</v>
      </c>
      <c r="I648">
        <f t="shared" ref="I648:I711" ca="1" si="97">I647*EXP(($M$8-0.5*($N$8^2))*$O$2 + $N$8*SQRT($O$2)*B647)</f>
        <v>1.1259531982968569E-2</v>
      </c>
      <c r="J648" s="5">
        <f t="shared" ref="J648:J711" ca="1" si="98">ABS(H648-I648)</f>
        <v>5.9751720147072071E-2</v>
      </c>
    </row>
    <row r="649" spans="1:10" x14ac:dyDescent="0.2">
      <c r="A649">
        <f t="shared" ca="1" si="90"/>
        <v>0.79930476646673332</v>
      </c>
      <c r="B649">
        <f t="shared" ca="1" si="91"/>
        <v>0.83914050786459171</v>
      </c>
      <c r="C649">
        <f t="shared" ca="1" si="95"/>
        <v>19.071044845291716</v>
      </c>
      <c r="D649" s="21">
        <f t="shared" ca="1" si="92"/>
        <v>0.28054618107021945</v>
      </c>
      <c r="F649">
        <f t="shared" si="93"/>
        <v>0.64300000000000046</v>
      </c>
      <c r="G649">
        <f t="shared" ca="1" si="94"/>
        <v>7.0835616857636854E-2</v>
      </c>
      <c r="H649">
        <f t="shared" ca="1" si="96"/>
        <v>7.0838530507354031E-2</v>
      </c>
      <c r="I649">
        <f t="shared" ca="1" si="97"/>
        <v>1.125862427048939E-2</v>
      </c>
      <c r="J649" s="5">
        <f t="shared" ca="1" si="98"/>
        <v>5.9579906236864641E-2</v>
      </c>
    </row>
    <row r="650" spans="1:10" x14ac:dyDescent="0.2">
      <c r="A650">
        <f t="shared" ca="1" si="90"/>
        <v>0.60051705257183463</v>
      </c>
      <c r="B650">
        <f t="shared" ca="1" si="91"/>
        <v>0.25468565728787107</v>
      </c>
      <c r="C650">
        <f t="shared" ca="1" si="95"/>
        <v>19.325730502579589</v>
      </c>
      <c r="D650" s="21">
        <f t="shared" ca="1" si="92"/>
        <v>0.38621119369379425</v>
      </c>
      <c r="F650">
        <f t="shared" si="93"/>
        <v>0.64400000000000046</v>
      </c>
      <c r="G650">
        <f t="shared" ca="1" si="94"/>
        <v>7.3491995757660578E-2</v>
      </c>
      <c r="H650">
        <f t="shared" ca="1" si="96"/>
        <v>7.3495041936065847E-2</v>
      </c>
      <c r="I650">
        <f t="shared" ca="1" si="97"/>
        <v>1.1289612239221791E-2</v>
      </c>
      <c r="J650" s="5">
        <f t="shared" ca="1" si="98"/>
        <v>6.2205429696844054E-2</v>
      </c>
    </row>
    <row r="651" spans="1:10" x14ac:dyDescent="0.2">
      <c r="A651">
        <f t="shared" ca="1" si="90"/>
        <v>3.9398568215045504E-3</v>
      </c>
      <c r="B651">
        <f t="shared" ca="1" si="91"/>
        <v>-2.6571809488133553</v>
      </c>
      <c r="C651">
        <f t="shared" ca="1" si="95"/>
        <v>16.668549553766233</v>
      </c>
      <c r="D651" s="21">
        <f t="shared" ca="1" si="92"/>
        <v>1.1687401285388199E-2</v>
      </c>
      <c r="F651">
        <f t="shared" si="93"/>
        <v>0.64500000000000046</v>
      </c>
      <c r="G651">
        <f t="shared" ca="1" si="94"/>
        <v>7.4299992922295541E-2</v>
      </c>
      <c r="H651">
        <f t="shared" ca="1" si="96"/>
        <v>7.4303079196278973E-2</v>
      </c>
      <c r="I651">
        <f t="shared" ca="1" si="97"/>
        <v>1.1299781834254617E-2</v>
      </c>
      <c r="J651" s="5">
        <f t="shared" ca="1" si="98"/>
        <v>6.3003297362024355E-2</v>
      </c>
    </row>
    <row r="652" spans="1:10" x14ac:dyDescent="0.2">
      <c r="A652">
        <f t="shared" ca="1" si="90"/>
        <v>0.69183276855247833</v>
      </c>
      <c r="B652">
        <f t="shared" ca="1" si="91"/>
        <v>0.50105209097973369</v>
      </c>
      <c r="C652">
        <f t="shared" ca="1" si="95"/>
        <v>17.169601644745967</v>
      </c>
      <c r="D652" s="21">
        <f t="shared" ca="1" si="92"/>
        <v>0.35187997834368995</v>
      </c>
      <c r="F652">
        <f t="shared" si="93"/>
        <v>0.64600000000000046</v>
      </c>
      <c r="G652">
        <f t="shared" ca="1" si="94"/>
        <v>6.5900238960742791E-2</v>
      </c>
      <c r="H652">
        <f t="shared" ca="1" si="96"/>
        <v>6.5902904934901863E-2</v>
      </c>
      <c r="I652">
        <f t="shared" ca="1" si="97"/>
        <v>1.1206295010038603E-2</v>
      </c>
      <c r="J652" s="5">
        <f t="shared" ca="1" si="98"/>
        <v>5.4696609924863263E-2</v>
      </c>
    </row>
    <row r="653" spans="1:10" x14ac:dyDescent="0.2">
      <c r="A653">
        <f t="shared" ca="1" si="90"/>
        <v>6.4383222083573721E-2</v>
      </c>
      <c r="B653">
        <f t="shared" ca="1" si="91"/>
        <v>-1.5189843148041147</v>
      </c>
      <c r="C653">
        <f t="shared" ca="1" si="95"/>
        <v>15.650617329941852</v>
      </c>
      <c r="D653" s="21">
        <f t="shared" ca="1" si="92"/>
        <v>0.12585872798575132</v>
      </c>
      <c r="F653">
        <f t="shared" si="93"/>
        <v>0.64700000000000046</v>
      </c>
      <c r="G653">
        <f t="shared" ca="1" si="94"/>
        <v>6.7488035380248584E-2</v>
      </c>
      <c r="H653">
        <f t="shared" ca="1" si="96"/>
        <v>6.7490780478294238E-2</v>
      </c>
      <c r="I653">
        <f t="shared" ca="1" si="97"/>
        <v>1.12251314127523E-2</v>
      </c>
      <c r="J653" s="5">
        <f t="shared" ca="1" si="98"/>
        <v>5.6265649065541934E-2</v>
      </c>
    </row>
    <row r="654" spans="1:10" x14ac:dyDescent="0.2">
      <c r="A654">
        <f t="shared" ca="1" si="90"/>
        <v>0.75808084020994115</v>
      </c>
      <c r="B654">
        <f t="shared" ca="1" si="91"/>
        <v>0.7001424950895111</v>
      </c>
      <c r="C654">
        <f t="shared" ca="1" si="95"/>
        <v>16.350759825031364</v>
      </c>
      <c r="D654" s="21">
        <f t="shared" ca="1" si="92"/>
        <v>0.31222278549372739</v>
      </c>
      <c r="F654">
        <f t="shared" si="93"/>
        <v>0.64800000000000046</v>
      </c>
      <c r="G654">
        <f t="shared" ca="1" si="94"/>
        <v>6.2688076411806418E-2</v>
      </c>
      <c r="H654">
        <f t="shared" ca="1" si="96"/>
        <v>6.2690581235395171E-2</v>
      </c>
      <c r="I654">
        <f t="shared" ca="1" si="97"/>
        <v>1.1172402673635768E-2</v>
      </c>
      <c r="J654" s="5">
        <f t="shared" ca="1" si="98"/>
        <v>5.1518178561759401E-2</v>
      </c>
    </row>
    <row r="655" spans="1:10" x14ac:dyDescent="0.2">
      <c r="A655">
        <f t="shared" ca="1" si="90"/>
        <v>0.2183056092424176</v>
      </c>
      <c r="B655">
        <f t="shared" ca="1" si="91"/>
        <v>-0.77792841034260929</v>
      </c>
      <c r="C655">
        <f t="shared" ca="1" si="95"/>
        <v>15.572831414688755</v>
      </c>
      <c r="D655" s="21">
        <f t="shared" ca="1" si="92"/>
        <v>0.29478033149791333</v>
      </c>
      <c r="F655">
        <f t="shared" si="93"/>
        <v>0.64900000000000047</v>
      </c>
      <c r="G655">
        <f t="shared" ca="1" si="94"/>
        <v>6.490574169113178E-2</v>
      </c>
      <c r="H655">
        <f t="shared" ca="1" si="96"/>
        <v>6.4908357148427742E-2</v>
      </c>
      <c r="I655">
        <f t="shared" ca="1" si="97"/>
        <v>1.1198230060668833E-2</v>
      </c>
      <c r="J655" s="5">
        <f t="shared" ca="1" si="98"/>
        <v>5.3710127087758908E-2</v>
      </c>
    </row>
    <row r="656" spans="1:10" x14ac:dyDescent="0.2">
      <c r="A656">
        <f t="shared" ca="1" si="90"/>
        <v>0.58853014962991168</v>
      </c>
      <c r="B656">
        <f t="shared" ca="1" si="91"/>
        <v>0.22376559708017188</v>
      </c>
      <c r="C656">
        <f t="shared" ca="1" si="95"/>
        <v>15.796597011768927</v>
      </c>
      <c r="D656" s="21">
        <f t="shared" ca="1" si="92"/>
        <v>0.3890785396134892</v>
      </c>
      <c r="F656">
        <f t="shared" si="93"/>
        <v>0.65000000000000047</v>
      </c>
      <c r="G656">
        <f t="shared" ca="1" si="94"/>
        <v>6.2449348304417313E-2</v>
      </c>
      <c r="H656">
        <f t="shared" ca="1" si="96"/>
        <v>6.2451840679476164E-2</v>
      </c>
      <c r="I656">
        <f t="shared" ca="1" si="97"/>
        <v>1.117177725264297E-2</v>
      </c>
      <c r="J656" s="5">
        <f t="shared" ca="1" si="98"/>
        <v>5.1280063426833195E-2</v>
      </c>
    </row>
    <row r="657" spans="1:10" x14ac:dyDescent="0.2">
      <c r="A657">
        <f t="shared" ca="1" si="90"/>
        <v>0.3900006475445873</v>
      </c>
      <c r="B657">
        <f t="shared" ca="1" si="91"/>
        <v>-0.27931734672454073</v>
      </c>
      <c r="C657">
        <f t="shared" ca="1" si="95"/>
        <v>15.517279665044386</v>
      </c>
      <c r="D657" s="21">
        <f t="shared" ca="1" si="92"/>
        <v>0.38367953338696786</v>
      </c>
      <c r="F657">
        <f t="shared" si="93"/>
        <v>0.65100000000000047</v>
      </c>
      <c r="G657">
        <f t="shared" ca="1" si="94"/>
        <v>6.3160676751627412E-2</v>
      </c>
      <c r="H657">
        <f t="shared" ca="1" si="96"/>
        <v>6.3163204444169077E-2</v>
      </c>
      <c r="I657">
        <f t="shared" ca="1" si="97"/>
        <v>1.1180747420326397E-2</v>
      </c>
      <c r="J657" s="5">
        <f t="shared" ca="1" si="98"/>
        <v>5.1982457023842681E-2</v>
      </c>
    </row>
    <row r="658" spans="1:10" x14ac:dyDescent="0.2">
      <c r="A658">
        <f t="shared" ca="1" si="90"/>
        <v>0.28611468162471032</v>
      </c>
      <c r="B658">
        <f t="shared" ca="1" si="91"/>
        <v>-0.56477125179189269</v>
      </c>
      <c r="C658">
        <f t="shared" ca="1" si="95"/>
        <v>14.952508413252493</v>
      </c>
      <c r="D658" s="21">
        <f t="shared" ca="1" si="92"/>
        <v>0.34013189278757738</v>
      </c>
      <c r="F658">
        <f t="shared" si="93"/>
        <v>0.65200000000000047</v>
      </c>
      <c r="G658">
        <f t="shared" ca="1" si="94"/>
        <v>6.2281125656227454E-2</v>
      </c>
      <c r="H658">
        <f t="shared" ca="1" si="96"/>
        <v>6.228360911808014E-2</v>
      </c>
      <c r="I658">
        <f t="shared" ca="1" si="97"/>
        <v>1.1171937344722561E-2</v>
      </c>
      <c r="J658" s="5">
        <f t="shared" ca="1" si="98"/>
        <v>5.1111671773357577E-2</v>
      </c>
    </row>
    <row r="659" spans="1:10" x14ac:dyDescent="0.2">
      <c r="A659">
        <f t="shared" ca="1" si="90"/>
        <v>0.22379952625592281</v>
      </c>
      <c r="B659">
        <f t="shared" ca="1" si="91"/>
        <v>-0.75942384737182855</v>
      </c>
      <c r="C659">
        <f t="shared" ca="1" si="95"/>
        <v>14.193084565880666</v>
      </c>
      <c r="D659" s="21">
        <f t="shared" ca="1" si="92"/>
        <v>0.29900325385777549</v>
      </c>
      <c r="F659">
        <f t="shared" si="93"/>
        <v>0.65300000000000047</v>
      </c>
      <c r="G659">
        <f t="shared" ca="1" si="94"/>
        <v>6.0499023136881942E-2</v>
      </c>
      <c r="H659">
        <f t="shared" ca="1" si="96"/>
        <v>6.0501417244521495E-2</v>
      </c>
      <c r="I659">
        <f t="shared" ca="1" si="97"/>
        <v>1.1153061969589997E-2</v>
      </c>
      <c r="J659" s="5">
        <f t="shared" ca="1" si="98"/>
        <v>4.9348355274931498E-2</v>
      </c>
    </row>
    <row r="660" spans="1:10" x14ac:dyDescent="0.2">
      <c r="A660">
        <f t="shared" ca="1" si="90"/>
        <v>0.70219693045665577</v>
      </c>
      <c r="B660">
        <f t="shared" ca="1" si="91"/>
        <v>0.5307296461728277</v>
      </c>
      <c r="C660">
        <f t="shared" ca="1" si="95"/>
        <v>14.723814212053494</v>
      </c>
      <c r="D660" s="21">
        <f t="shared" ca="1" si="92"/>
        <v>0.34653359427818503</v>
      </c>
      <c r="F660">
        <f t="shared" si="93"/>
        <v>0.65400000000000047</v>
      </c>
      <c r="G660">
        <f t="shared" ca="1" si="94"/>
        <v>5.8101584040377331E-2</v>
      </c>
      <c r="H660">
        <f t="shared" ca="1" si="96"/>
        <v>5.8103858035653988E-2</v>
      </c>
      <c r="I660">
        <f t="shared" ca="1" si="97"/>
        <v>1.1127366975290808E-2</v>
      </c>
      <c r="J660" s="5">
        <f t="shared" ca="1" si="98"/>
        <v>4.6976491060363182E-2</v>
      </c>
    </row>
    <row r="661" spans="1:10" x14ac:dyDescent="0.2">
      <c r="A661">
        <f t="shared" ca="1" si="90"/>
        <v>0.20911525908383055</v>
      </c>
      <c r="B661">
        <f t="shared" ca="1" si="91"/>
        <v>-0.80949492959515845</v>
      </c>
      <c r="C661">
        <f t="shared" ca="1" si="95"/>
        <v>13.914319282458335</v>
      </c>
      <c r="D661" s="21">
        <f t="shared" ca="1" si="92"/>
        <v>0.2874864490125934</v>
      </c>
      <c r="F661">
        <f t="shared" si="93"/>
        <v>0.65500000000000047</v>
      </c>
      <c r="G661">
        <f t="shared" ca="1" si="94"/>
        <v>5.9784004263940753E-2</v>
      </c>
      <c r="H661">
        <f t="shared" ca="1" si="96"/>
        <v>5.9786362153531822E-2</v>
      </c>
      <c r="I661">
        <f t="shared" ca="1" si="97"/>
        <v>1.1147116802688047E-2</v>
      </c>
      <c r="J661" s="5">
        <f t="shared" ca="1" si="98"/>
        <v>4.8639245350843775E-2</v>
      </c>
    </row>
    <row r="662" spans="1:10" x14ac:dyDescent="0.2">
      <c r="A662">
        <f t="shared" ca="1" si="90"/>
        <v>0.65845717360205613</v>
      </c>
      <c r="B662">
        <f t="shared" ca="1" si="91"/>
        <v>0.40825611720022764</v>
      </c>
      <c r="C662">
        <f t="shared" ca="1" si="95"/>
        <v>14.322575399658563</v>
      </c>
      <c r="D662" s="21">
        <f t="shared" ca="1" si="92"/>
        <v>0.36704344403350414</v>
      </c>
      <c r="F662">
        <f t="shared" si="93"/>
        <v>0.65600000000000047</v>
      </c>
      <c r="G662">
        <f t="shared" ca="1" si="94"/>
        <v>5.7228305917616545E-2</v>
      </c>
      <c r="H662">
        <f t="shared" ca="1" si="96"/>
        <v>5.7230535785438123E-2</v>
      </c>
      <c r="I662">
        <f t="shared" ca="1" si="97"/>
        <v>1.1119674691326584E-2</v>
      </c>
      <c r="J662" s="5">
        <f t="shared" ca="1" si="98"/>
        <v>4.6110861094111541E-2</v>
      </c>
    </row>
    <row r="663" spans="1:10" x14ac:dyDescent="0.2">
      <c r="A663">
        <f t="shared" ca="1" si="90"/>
        <v>0.56846458483794482</v>
      </c>
      <c r="B663">
        <f t="shared" ca="1" si="91"/>
        <v>0.17246645612459247</v>
      </c>
      <c r="C663">
        <f t="shared" ca="1" si="95"/>
        <v>14.495041855783155</v>
      </c>
      <c r="D663" s="21">
        <f t="shared" ca="1" si="92"/>
        <v>0.39305297787348437</v>
      </c>
      <c r="F663">
        <f t="shared" si="93"/>
        <v>0.65700000000000047</v>
      </c>
      <c r="G663">
        <f t="shared" ca="1" si="94"/>
        <v>5.8523537523952354E-2</v>
      </c>
      <c r="H663">
        <f t="shared" ca="1" si="96"/>
        <v>5.8525831930908948E-2</v>
      </c>
      <c r="I663">
        <f t="shared" ca="1" si="97"/>
        <v>1.1135097459593414E-2</v>
      </c>
      <c r="J663" s="5">
        <f t="shared" ca="1" si="98"/>
        <v>4.7390734471315532E-2</v>
      </c>
    </row>
    <row r="664" spans="1:10" x14ac:dyDescent="0.2">
      <c r="A664">
        <f t="shared" ca="1" si="90"/>
        <v>1.7935642273277708E-2</v>
      </c>
      <c r="B664">
        <f t="shared" ca="1" si="91"/>
        <v>-2.0983834673034005</v>
      </c>
      <c r="C664">
        <f t="shared" ca="1" si="95"/>
        <v>12.396658388479754</v>
      </c>
      <c r="D664" s="21">
        <f t="shared" ca="1" si="92"/>
        <v>4.4133103973726197E-2</v>
      </c>
      <c r="F664">
        <f t="shared" si="93"/>
        <v>0.65800000000000047</v>
      </c>
      <c r="G664">
        <f t="shared" ca="1" si="94"/>
        <v>5.9073044515950877E-2</v>
      </c>
      <c r="H664">
        <f t="shared" ca="1" si="96"/>
        <v>5.9075366169047065E-2</v>
      </c>
      <c r="I664">
        <f t="shared" ca="1" si="97"/>
        <v>1.1142230512973696E-2</v>
      </c>
      <c r="J664" s="5">
        <f t="shared" ca="1" si="98"/>
        <v>4.7933135656073371E-2</v>
      </c>
    </row>
    <row r="665" spans="1:10" x14ac:dyDescent="0.2">
      <c r="A665">
        <f t="shared" ca="1" si="90"/>
        <v>0.31355843362981406</v>
      </c>
      <c r="B665">
        <f t="shared" ca="1" si="91"/>
        <v>-0.48578886871388405</v>
      </c>
      <c r="C665">
        <f t="shared" ca="1" si="95"/>
        <v>11.910869519765869</v>
      </c>
      <c r="D665" s="21">
        <f t="shared" ca="1" si="92"/>
        <v>0.35454005626857577</v>
      </c>
      <c r="F665">
        <f t="shared" si="93"/>
        <v>0.65900000000000047</v>
      </c>
      <c r="G665">
        <f t="shared" ca="1" si="94"/>
        <v>5.244179761548546E-2</v>
      </c>
      <c r="H665">
        <f t="shared" ca="1" si="96"/>
        <v>5.2443787471309948E-2</v>
      </c>
      <c r="I665">
        <f t="shared" ca="1" si="97"/>
        <v>1.1069590662836581E-2</v>
      </c>
      <c r="J665" s="5">
        <f t="shared" ca="1" si="98"/>
        <v>4.1374196808473367E-2</v>
      </c>
    </row>
    <row r="666" spans="1:10" x14ac:dyDescent="0.2">
      <c r="A666">
        <f t="shared" ca="1" si="90"/>
        <v>0.87936585077390383</v>
      </c>
      <c r="B666">
        <f t="shared" ca="1" si="91"/>
        <v>1.1718225717807282</v>
      </c>
      <c r="C666">
        <f t="shared" ca="1" si="95"/>
        <v>13.082692091546598</v>
      </c>
      <c r="D666" s="21">
        <f t="shared" ca="1" si="92"/>
        <v>0.2007845968397825</v>
      </c>
      <c r="F666">
        <f t="shared" si="93"/>
        <v>0.66000000000000048</v>
      </c>
      <c r="G666">
        <f t="shared" ca="1" si="94"/>
        <v>5.0910430717612518E-2</v>
      </c>
      <c r="H666">
        <f t="shared" ca="1" si="96"/>
        <v>5.0912343805470432E-2</v>
      </c>
      <c r="I666">
        <f t="shared" ca="1" si="97"/>
        <v>1.1053648667220622E-2</v>
      </c>
      <c r="J666" s="5">
        <f t="shared" ca="1" si="98"/>
        <v>3.9858695138249814E-2</v>
      </c>
    </row>
    <row r="667" spans="1:10" x14ac:dyDescent="0.2">
      <c r="A667">
        <f t="shared" ca="1" si="90"/>
        <v>0.8617155812523809</v>
      </c>
      <c r="B667">
        <f t="shared" ca="1" si="91"/>
        <v>1.0880595088360601</v>
      </c>
      <c r="C667">
        <f t="shared" ca="1" si="95"/>
        <v>14.170751600382658</v>
      </c>
      <c r="D667" s="21">
        <f t="shared" ca="1" si="92"/>
        <v>0.22071670434042615</v>
      </c>
      <c r="F667">
        <f t="shared" si="93"/>
        <v>0.66100000000000048</v>
      </c>
      <c r="G667">
        <f t="shared" ca="1" si="94"/>
        <v>5.4620782495827046E-2</v>
      </c>
      <c r="H667">
        <f t="shared" ca="1" si="96"/>
        <v>5.4622880911513141E-2</v>
      </c>
      <c r="I667">
        <f t="shared" ca="1" si="97"/>
        <v>1.1095739412584255E-2</v>
      </c>
      <c r="J667" s="5">
        <f t="shared" ca="1" si="98"/>
        <v>4.352714149892889E-2</v>
      </c>
    </row>
    <row r="668" spans="1:10" x14ac:dyDescent="0.2">
      <c r="A668">
        <f t="shared" ca="1" si="90"/>
        <v>0.36965563100615206</v>
      </c>
      <c r="B668">
        <f t="shared" ca="1" si="91"/>
        <v>-0.33276555357396542</v>
      </c>
      <c r="C668">
        <f t="shared" ca="1" si="95"/>
        <v>13.837986046808693</v>
      </c>
      <c r="D668" s="21">
        <f t="shared" ca="1" si="92"/>
        <v>0.3774545971308757</v>
      </c>
      <c r="F668">
        <f t="shared" si="93"/>
        <v>0.66200000000000048</v>
      </c>
      <c r="G668">
        <f t="shared" ca="1" si="94"/>
        <v>5.8065894438269011E-2</v>
      </c>
      <c r="H668">
        <f t="shared" ca="1" si="96"/>
        <v>5.8068164901148044E-2</v>
      </c>
      <c r="I668">
        <f t="shared" ca="1" si="97"/>
        <v>1.1135040570428582E-2</v>
      </c>
      <c r="J668" s="5">
        <f t="shared" ca="1" si="98"/>
        <v>4.6933124330719458E-2</v>
      </c>
    </row>
    <row r="669" spans="1:10" x14ac:dyDescent="0.2">
      <c r="A669">
        <f t="shared" ca="1" si="90"/>
        <v>0.39827077917121223</v>
      </c>
      <c r="B669">
        <f t="shared" ca="1" si="91"/>
        <v>-0.2578255325882074</v>
      </c>
      <c r="C669">
        <f t="shared" ca="1" si="95"/>
        <v>13.580160514220486</v>
      </c>
      <c r="D669" s="21">
        <f t="shared" ca="1" si="92"/>
        <v>0.38590056905114312</v>
      </c>
      <c r="F669">
        <f t="shared" si="93"/>
        <v>0.66300000000000048</v>
      </c>
      <c r="G669">
        <f t="shared" ca="1" si="94"/>
        <v>5.7017843175682745E-2</v>
      </c>
      <c r="H669">
        <f t="shared" ca="1" si="96"/>
        <v>5.7020061008517413E-2</v>
      </c>
      <c r="I669">
        <f t="shared" ca="1" si="97"/>
        <v>1.1124386129194185E-2</v>
      </c>
      <c r="J669" s="5">
        <f t="shared" ca="1" si="98"/>
        <v>4.589567487932323E-2</v>
      </c>
    </row>
    <row r="670" spans="1:10" x14ac:dyDescent="0.2">
      <c r="A670">
        <f t="shared" ca="1" si="90"/>
        <v>0.21736028182187361</v>
      </c>
      <c r="B670">
        <f t="shared" ca="1" si="91"/>
        <v>-0.78113931039097007</v>
      </c>
      <c r="C670">
        <f t="shared" ca="1" si="95"/>
        <v>12.799021203829517</v>
      </c>
      <c r="D670" s="21">
        <f t="shared" ca="1" si="92"/>
        <v>0.29404341739759082</v>
      </c>
      <c r="F670">
        <f t="shared" si="93"/>
        <v>0.66400000000000048</v>
      </c>
      <c r="G670">
        <f t="shared" ca="1" si="94"/>
        <v>5.6206866018634442E-2</v>
      </c>
      <c r="H670">
        <f t="shared" ca="1" si="96"/>
        <v>5.6209043080491863E-2</v>
      </c>
      <c r="I670">
        <f t="shared" ca="1" si="97"/>
        <v>1.1116375942022711E-2</v>
      </c>
      <c r="J670" s="5">
        <f t="shared" ca="1" si="98"/>
        <v>4.5092667138469156E-2</v>
      </c>
    </row>
    <row r="671" spans="1:10" x14ac:dyDescent="0.2">
      <c r="A671">
        <f t="shared" ca="1" si="90"/>
        <v>0.38909084965051477</v>
      </c>
      <c r="B671">
        <f t="shared" ca="1" si="91"/>
        <v>-0.28168937883633416</v>
      </c>
      <c r="C671">
        <f t="shared" ca="1" si="95"/>
        <v>12.517331824993182</v>
      </c>
      <c r="D671" s="21">
        <f t="shared" ca="1" si="92"/>
        <v>0.38342433213788824</v>
      </c>
      <c r="F671">
        <f t="shared" si="93"/>
        <v>0.66500000000000048</v>
      </c>
      <c r="G671">
        <f t="shared" ca="1" si="94"/>
        <v>5.3741189226169057E-2</v>
      </c>
      <c r="H671">
        <f t="shared" ca="1" si="96"/>
        <v>5.3743242785455121E-2</v>
      </c>
      <c r="I671">
        <f t="shared" ca="1" si="97"/>
        <v>1.1090003886565045E-2</v>
      </c>
      <c r="J671" s="5">
        <f t="shared" ca="1" si="98"/>
        <v>4.2653238898890077E-2</v>
      </c>
    </row>
    <row r="672" spans="1:10" x14ac:dyDescent="0.2">
      <c r="A672">
        <f t="shared" ca="1" si="90"/>
        <v>0.91829252641498482</v>
      </c>
      <c r="B672">
        <f t="shared" ca="1" si="91"/>
        <v>1.3936777200179611</v>
      </c>
      <c r="C672">
        <f t="shared" ca="1" si="95"/>
        <v>13.911009545011144</v>
      </c>
      <c r="D672" s="21">
        <f t="shared" ca="1" si="92"/>
        <v>0.15105559564629853</v>
      </c>
      <c r="F672">
        <f t="shared" si="93"/>
        <v>0.66600000000000048</v>
      </c>
      <c r="G672">
        <f t="shared" ca="1" si="94"/>
        <v>5.2855079383305026E-2</v>
      </c>
      <c r="H672">
        <f t="shared" ca="1" si="96"/>
        <v>5.2857088431375723E-2</v>
      </c>
      <c r="I672">
        <f t="shared" ca="1" si="97"/>
        <v>1.1081182193470838E-2</v>
      </c>
      <c r="J672" s="5">
        <f t="shared" ca="1" si="98"/>
        <v>4.1775906237904885E-2</v>
      </c>
    </row>
    <row r="673" spans="1:10" x14ac:dyDescent="0.2">
      <c r="A673">
        <f t="shared" ca="1" si="90"/>
        <v>0.82959513557262821</v>
      </c>
      <c r="B673">
        <f t="shared" ca="1" si="91"/>
        <v>0.95256655633889931</v>
      </c>
      <c r="C673">
        <f t="shared" ca="1" si="95"/>
        <v>14.863576101350043</v>
      </c>
      <c r="D673" s="21">
        <f t="shared" ca="1" si="92"/>
        <v>0.25343952227206407</v>
      </c>
      <c r="F673">
        <f t="shared" si="93"/>
        <v>0.66700000000000048</v>
      </c>
      <c r="G673">
        <f t="shared" ca="1" si="94"/>
        <v>5.7266769208522431E-2</v>
      </c>
      <c r="H673">
        <f t="shared" ca="1" si="96"/>
        <v>5.7268998642019786E-2</v>
      </c>
      <c r="I673">
        <f t="shared" ca="1" si="97"/>
        <v>1.1131184321953855E-2</v>
      </c>
      <c r="J673" s="5">
        <f t="shared" ca="1" si="98"/>
        <v>4.6137814320065931E-2</v>
      </c>
    </row>
    <row r="674" spans="1:10" x14ac:dyDescent="0.2">
      <c r="A674">
        <f t="shared" ca="1" si="90"/>
        <v>0.3405016992823755</v>
      </c>
      <c r="B674">
        <f t="shared" ca="1" si="91"/>
        <v>-0.41109428751586657</v>
      </c>
      <c r="C674">
        <f t="shared" ca="1" si="95"/>
        <v>14.452481813834176</v>
      </c>
      <c r="D674" s="21">
        <f t="shared" ca="1" si="92"/>
        <v>0.36661692035806481</v>
      </c>
      <c r="F674">
        <f t="shared" si="93"/>
        <v>0.66800000000000048</v>
      </c>
      <c r="G674">
        <f t="shared" ca="1" si="94"/>
        <v>6.0283171651154828E-2</v>
      </c>
      <c r="H674">
        <f t="shared" ca="1" si="96"/>
        <v>6.0285551683089605E-2</v>
      </c>
      <c r="I674">
        <f t="shared" ca="1" si="97"/>
        <v>1.1165825820260196E-2</v>
      </c>
      <c r="J674" s="5">
        <f t="shared" ca="1" si="98"/>
        <v>4.9119725862829408E-2</v>
      </c>
    </row>
    <row r="675" spans="1:10" x14ac:dyDescent="0.2">
      <c r="A675">
        <f t="shared" ca="1" si="90"/>
        <v>0.13424950227829557</v>
      </c>
      <c r="B675">
        <f t="shared" ca="1" si="91"/>
        <v>-1.1065257971647426</v>
      </c>
      <c r="C675">
        <f t="shared" ca="1" si="95"/>
        <v>13.345956016669433</v>
      </c>
      <c r="D675" s="21">
        <f t="shared" ca="1" si="92"/>
        <v>0.21628934595662255</v>
      </c>
      <c r="F675">
        <f t="shared" si="93"/>
        <v>0.66900000000000048</v>
      </c>
      <c r="G675">
        <f t="shared" ca="1" si="94"/>
        <v>5.8987213850783808E-2</v>
      </c>
      <c r="H675">
        <f t="shared" ca="1" si="96"/>
        <v>5.8989528846287033E-2</v>
      </c>
      <c r="I675">
        <f t="shared" ca="1" si="97"/>
        <v>1.1152379167194141E-2</v>
      </c>
      <c r="J675" s="5">
        <f t="shared" ca="1" si="98"/>
        <v>4.7837149679092889E-2</v>
      </c>
    </row>
    <row r="676" spans="1:10" x14ac:dyDescent="0.2">
      <c r="A676">
        <f t="shared" ca="1" si="90"/>
        <v>0.28610762059372563</v>
      </c>
      <c r="B676">
        <f t="shared" ca="1" si="91"/>
        <v>-0.56479201159868719</v>
      </c>
      <c r="C676">
        <f t="shared" ca="1" si="95"/>
        <v>12.781164005070746</v>
      </c>
      <c r="D676" s="21">
        <f t="shared" ca="1" si="92"/>
        <v>0.34012790484697658</v>
      </c>
      <c r="F676">
        <f t="shared" si="93"/>
        <v>0.67000000000000048</v>
      </c>
      <c r="G676">
        <f t="shared" ca="1" si="94"/>
        <v>5.5492348065368437E-2</v>
      </c>
      <c r="H676">
        <f t="shared" ca="1" si="96"/>
        <v>5.5494488084628334E-2</v>
      </c>
      <c r="I676">
        <f t="shared" ca="1" si="97"/>
        <v>1.1114479431640041E-2</v>
      </c>
      <c r="J676" s="5">
        <f t="shared" ca="1" si="98"/>
        <v>4.4380008652988294E-2</v>
      </c>
    </row>
    <row r="677" spans="1:10" x14ac:dyDescent="0.2">
      <c r="A677">
        <f t="shared" ca="1" si="90"/>
        <v>0.9851819765335228</v>
      </c>
      <c r="B677">
        <f t="shared" ca="1" si="91"/>
        <v>2.1749208666526698</v>
      </c>
      <c r="C677">
        <f t="shared" ca="1" si="95"/>
        <v>14.956084871723416</v>
      </c>
      <c r="D677" s="21">
        <f t="shared" ca="1" si="92"/>
        <v>3.7475086705565701E-2</v>
      </c>
      <c r="F677">
        <f t="shared" si="93"/>
        <v>0.67100000000000048</v>
      </c>
      <c r="G677">
        <f t="shared" ca="1" si="94"/>
        <v>5.371085874484828E-2</v>
      </c>
      <c r="H677">
        <f t="shared" ca="1" si="96"/>
        <v>5.3712909474899782E-2</v>
      </c>
      <c r="I677">
        <f t="shared" ca="1" si="97"/>
        <v>1.1095700405228339E-2</v>
      </c>
      <c r="J677" s="5">
        <f t="shared" ca="1" si="98"/>
        <v>4.2617209069671445E-2</v>
      </c>
    </row>
    <row r="678" spans="1:10" x14ac:dyDescent="0.2">
      <c r="A678">
        <f t="shared" ca="1" si="90"/>
        <v>0.28614285783444071</v>
      </c>
      <c r="B678">
        <f t="shared" ca="1" si="91"/>
        <v>-0.56468841465939534</v>
      </c>
      <c r="C678">
        <f t="shared" ca="1" si="95"/>
        <v>14.391396457064021</v>
      </c>
      <c r="D678" s="21">
        <f t="shared" ca="1" si="92"/>
        <v>0.34014780473379025</v>
      </c>
      <c r="F678">
        <f t="shared" si="93"/>
        <v>0.67200000000000049</v>
      </c>
      <c r="G678">
        <f t="shared" ca="1" si="94"/>
        <v>6.0592847225930058E-2</v>
      </c>
      <c r="H678">
        <f t="shared" ca="1" si="96"/>
        <v>6.059524185320208E-2</v>
      </c>
      <c r="I678">
        <f t="shared" ca="1" si="97"/>
        <v>1.1173337792854074E-2</v>
      </c>
      <c r="J678" s="5">
        <f t="shared" ca="1" si="98"/>
        <v>4.9421904060348007E-2</v>
      </c>
    </row>
    <row r="679" spans="1:10" x14ac:dyDescent="0.2">
      <c r="A679">
        <f t="shared" ca="1" si="90"/>
        <v>0.97540959631032942</v>
      </c>
      <c r="B679">
        <f t="shared" ca="1" si="91"/>
        <v>1.9670208476162108</v>
      </c>
      <c r="C679">
        <f t="shared" ca="1" si="95"/>
        <v>16.358417304680231</v>
      </c>
      <c r="D679" s="21">
        <f t="shared" ca="1" si="92"/>
        <v>5.7640833893580844E-2</v>
      </c>
      <c r="F679">
        <f t="shared" si="93"/>
        <v>0.67300000000000049</v>
      </c>
      <c r="G679">
        <f t="shared" ca="1" si="94"/>
        <v>5.8811175466902843E-2</v>
      </c>
      <c r="H679">
        <f t="shared" ca="1" si="96"/>
        <v>5.8813480770383453E-2</v>
      </c>
      <c r="I679">
        <f t="shared" ca="1" si="97"/>
        <v>1.1154462973571843E-2</v>
      </c>
      <c r="J679" s="5">
        <f t="shared" ca="1" si="98"/>
        <v>4.7659017796811608E-2</v>
      </c>
    </row>
    <row r="680" spans="1:10" x14ac:dyDescent="0.2">
      <c r="A680">
        <f t="shared" ca="1" si="90"/>
        <v>0.35609551824766716</v>
      </c>
      <c r="B680">
        <f t="shared" ca="1" si="91"/>
        <v>-0.36891506156691223</v>
      </c>
      <c r="C680">
        <f t="shared" ca="1" si="95"/>
        <v>15.989502243113318</v>
      </c>
      <c r="D680" s="21">
        <f t="shared" ca="1" si="92"/>
        <v>0.37269768105543777</v>
      </c>
      <c r="F680">
        <f t="shared" si="93"/>
        <v>0.67400000000000049</v>
      </c>
      <c r="G680">
        <f t="shared" ca="1" si="94"/>
        <v>6.5035249226575248E-2</v>
      </c>
      <c r="H680">
        <f t="shared" ca="1" si="96"/>
        <v>6.5037865505808631E-2</v>
      </c>
      <c r="I680">
        <f t="shared" ca="1" si="97"/>
        <v>1.1225129278665669E-2</v>
      </c>
      <c r="J680" s="5">
        <f t="shared" ca="1" si="98"/>
        <v>5.3812736227142964E-2</v>
      </c>
    </row>
    <row r="681" spans="1:10" x14ac:dyDescent="0.2">
      <c r="A681">
        <f t="shared" ca="1" si="90"/>
        <v>0.29067941039968215</v>
      </c>
      <c r="B681">
        <f t="shared" ca="1" si="91"/>
        <v>-0.5514009920282027</v>
      </c>
      <c r="C681">
        <f t="shared" ca="1" si="95"/>
        <v>15.438101251085115</v>
      </c>
      <c r="D681" s="21">
        <f t="shared" ca="1" si="92"/>
        <v>0.34267936661718368</v>
      </c>
      <c r="F681">
        <f t="shared" si="93"/>
        <v>0.67500000000000049</v>
      </c>
      <c r="G681">
        <f t="shared" ca="1" si="94"/>
        <v>6.3872191997304512E-2</v>
      </c>
      <c r="H681">
        <f t="shared" ca="1" si="96"/>
        <v>6.3874749861565355E-2</v>
      </c>
      <c r="I681">
        <f t="shared" ca="1" si="97"/>
        <v>1.1213106739924563E-2</v>
      </c>
      <c r="J681" s="5">
        <f t="shared" ca="1" si="98"/>
        <v>5.2661643121640789E-2</v>
      </c>
    </row>
    <row r="682" spans="1:10" x14ac:dyDescent="0.2">
      <c r="A682">
        <f t="shared" ca="1" si="90"/>
        <v>0.70086566256522731</v>
      </c>
      <c r="B682">
        <f t="shared" ca="1" si="91"/>
        <v>0.52689187729593678</v>
      </c>
      <c r="C682">
        <f t="shared" ca="1" si="95"/>
        <v>15.964993128381051</v>
      </c>
      <c r="D682" s="21">
        <f t="shared" ca="1" si="92"/>
        <v>0.34723758220186784</v>
      </c>
      <c r="F682">
        <f t="shared" si="93"/>
        <v>0.67600000000000049</v>
      </c>
      <c r="G682">
        <f t="shared" ca="1" si="94"/>
        <v>6.2132208739105722E-2</v>
      </c>
      <c r="H682">
        <f t="shared" ca="1" si="96"/>
        <v>6.2134679347693726E-2</v>
      </c>
      <c r="I682">
        <f t="shared" ca="1" si="97"/>
        <v>1.1194635112143013E-2</v>
      </c>
      <c r="J682" s="5">
        <f t="shared" ca="1" si="98"/>
        <v>5.0940044235550715E-2</v>
      </c>
    </row>
    <row r="683" spans="1:10" x14ac:dyDescent="0.2">
      <c r="A683">
        <f t="shared" ca="1" si="90"/>
        <v>0.46745600495338346</v>
      </c>
      <c r="B683">
        <f t="shared" ca="1" si="91"/>
        <v>-8.1666385020725485E-2</v>
      </c>
      <c r="C683">
        <f t="shared" ca="1" si="95"/>
        <v>15.883326743360326</v>
      </c>
      <c r="D683" s="21">
        <f t="shared" ca="1" si="92"/>
        <v>0.397614143588845</v>
      </c>
      <c r="F683">
        <f t="shared" si="93"/>
        <v>0.67700000000000049</v>
      </c>
      <c r="G683">
        <f t="shared" ca="1" si="94"/>
        <v>6.3802090436346687E-2</v>
      </c>
      <c r="H683">
        <f t="shared" ca="1" si="96"/>
        <v>6.3804644292656074E-2</v>
      </c>
      <c r="I683">
        <f t="shared" ca="1" si="97"/>
        <v>1.121436823351587E-2</v>
      </c>
      <c r="J683" s="5">
        <f t="shared" ca="1" si="98"/>
        <v>5.2590276059140205E-2</v>
      </c>
    </row>
    <row r="684" spans="1:10" x14ac:dyDescent="0.2">
      <c r="A684">
        <f t="shared" ca="1" si="90"/>
        <v>0.7504753706688706</v>
      </c>
      <c r="B684">
        <f t="shared" ca="1" si="91"/>
        <v>0.67598643330735164</v>
      </c>
      <c r="C684">
        <f t="shared" ca="1" si="95"/>
        <v>16.559313176667679</v>
      </c>
      <c r="D684" s="21">
        <f t="shared" ca="1" si="92"/>
        <v>0.31745558436070348</v>
      </c>
      <c r="F684">
        <f t="shared" si="93"/>
        <v>0.67800000000000049</v>
      </c>
      <c r="G684">
        <f t="shared" ca="1" si="94"/>
        <v>6.3547471173433026E-2</v>
      </c>
      <c r="H684">
        <f t="shared" ca="1" si="96"/>
        <v>6.3550012043289056E-2</v>
      </c>
      <c r="I684">
        <f t="shared" ca="1" si="97"/>
        <v>1.1212537617314547E-2</v>
      </c>
      <c r="J684" s="5">
        <f t="shared" ca="1" si="98"/>
        <v>5.2337474425974508E-2</v>
      </c>
    </row>
    <row r="685" spans="1:10" x14ac:dyDescent="0.2">
      <c r="A685">
        <f t="shared" ca="1" si="90"/>
        <v>0.19148275579819274</v>
      </c>
      <c r="B685">
        <f t="shared" ca="1" si="91"/>
        <v>-0.87244527282410289</v>
      </c>
      <c r="C685">
        <f t="shared" ca="1" si="95"/>
        <v>15.686867903843575</v>
      </c>
      <c r="D685" s="21">
        <f t="shared" ca="1" si="92"/>
        <v>0.27266293683201898</v>
      </c>
      <c r="F685">
        <f t="shared" si="93"/>
        <v>0.67900000000000049</v>
      </c>
      <c r="G685">
        <f t="shared" ca="1" si="94"/>
        <v>6.568866616229728E-2</v>
      </c>
      <c r="H685">
        <f t="shared" ca="1" si="96"/>
        <v>6.5691313838709464E-2</v>
      </c>
      <c r="I685">
        <f t="shared" ca="1" si="97"/>
        <v>1.1237599332326887E-2</v>
      </c>
      <c r="J685" s="5">
        <f t="shared" ca="1" si="98"/>
        <v>5.4453714506382575E-2</v>
      </c>
    </row>
    <row r="686" spans="1:10" x14ac:dyDescent="0.2">
      <c r="A686">
        <f t="shared" ca="1" si="90"/>
        <v>0.28442099742860627</v>
      </c>
      <c r="B686">
        <f t="shared" ca="1" si="91"/>
        <v>-0.56975777993764698</v>
      </c>
      <c r="C686">
        <f t="shared" ca="1" si="95"/>
        <v>15.117110123905928</v>
      </c>
      <c r="D686" s="21">
        <f t="shared" ca="1" si="92"/>
        <v>0.33917112783287096</v>
      </c>
      <c r="F686">
        <f t="shared" si="93"/>
        <v>0.68000000000000049</v>
      </c>
      <c r="G686">
        <f t="shared" ca="1" si="94"/>
        <v>6.2933320868121242E-2</v>
      </c>
      <c r="H686">
        <f t="shared" ca="1" si="96"/>
        <v>6.2935830511354415E-2</v>
      </c>
      <c r="I686">
        <f t="shared" ca="1" si="97"/>
        <v>1.120770317002214E-2</v>
      </c>
      <c r="J686" s="5">
        <f t="shared" ca="1" si="98"/>
        <v>5.1728127341332274E-2</v>
      </c>
    </row>
    <row r="687" spans="1:10" x14ac:dyDescent="0.2">
      <c r="A687">
        <f t="shared" ca="1" si="90"/>
        <v>0.59482932226914942</v>
      </c>
      <c r="B687">
        <f t="shared" ca="1" si="91"/>
        <v>0.23998568322694105</v>
      </c>
      <c r="C687">
        <f t="shared" ca="1" si="95"/>
        <v>15.357095807132868</v>
      </c>
      <c r="D687" s="21">
        <f t="shared" ca="1" si="92"/>
        <v>0.38761794694816432</v>
      </c>
      <c r="F687">
        <f t="shared" si="93"/>
        <v>0.68100000000000049</v>
      </c>
      <c r="G687">
        <f t="shared" ca="1" si="94"/>
        <v>6.113538513436477E-2</v>
      </c>
      <c r="H687">
        <f t="shared" ca="1" si="96"/>
        <v>6.1137804629099332E-2</v>
      </c>
      <c r="I687">
        <f t="shared" ca="1" si="97"/>
        <v>1.1188590935395436E-2</v>
      </c>
      <c r="J687" s="5">
        <f t="shared" ca="1" si="98"/>
        <v>4.9949213693703892E-2</v>
      </c>
    </row>
    <row r="688" spans="1:10" x14ac:dyDescent="0.2">
      <c r="A688">
        <f t="shared" ca="1" si="90"/>
        <v>2.511692476331373E-2</v>
      </c>
      <c r="B688">
        <f t="shared" ca="1" si="91"/>
        <v>-1.9579673028277951</v>
      </c>
      <c r="C688">
        <f t="shared" ca="1" si="95"/>
        <v>13.399128504305073</v>
      </c>
      <c r="D688" s="21">
        <f t="shared" ca="1" si="92"/>
        <v>5.8674121323165483E-2</v>
      </c>
      <c r="F688">
        <f t="shared" si="93"/>
        <v>0.68200000000000049</v>
      </c>
      <c r="G688">
        <f t="shared" ca="1" si="94"/>
        <v>6.1898134822876268E-2</v>
      </c>
      <c r="H688">
        <f t="shared" ca="1" si="96"/>
        <v>6.1900592213465222E-2</v>
      </c>
      <c r="I688">
        <f t="shared" ca="1" si="97"/>
        <v>1.1198148968693752E-2</v>
      </c>
      <c r="J688" s="5">
        <f t="shared" ca="1" si="98"/>
        <v>5.0702443244771467E-2</v>
      </c>
    </row>
    <row r="689" spans="1:10" x14ac:dyDescent="0.2">
      <c r="A689">
        <f t="shared" ca="1" si="90"/>
        <v>0.60968414463169196</v>
      </c>
      <c r="B689">
        <f t="shared" ca="1" si="91"/>
        <v>0.27849590155514536</v>
      </c>
      <c r="C689">
        <f t="shared" ca="1" si="95"/>
        <v>13.677624405860218</v>
      </c>
      <c r="D689" s="21">
        <f t="shared" ca="1" si="92"/>
        <v>0.38376744693204079</v>
      </c>
      <c r="F689">
        <f t="shared" si="93"/>
        <v>0.6830000000000005</v>
      </c>
      <c r="G689">
        <f t="shared" ca="1" si="94"/>
        <v>5.5710618126732905E-2</v>
      </c>
      <c r="H689">
        <f t="shared" ca="1" si="96"/>
        <v>5.5712765893171409E-2</v>
      </c>
      <c r="I689">
        <f t="shared" ca="1" si="97"/>
        <v>1.1130085617202976E-2</v>
      </c>
      <c r="J689" s="5">
        <f t="shared" ca="1" si="98"/>
        <v>4.4582680275968435E-2</v>
      </c>
    </row>
    <row r="690" spans="1:10" x14ac:dyDescent="0.2">
      <c r="A690">
        <f t="shared" ca="1" si="90"/>
        <v>0.35532182353266706</v>
      </c>
      <c r="B690">
        <f t="shared" ca="1" si="91"/>
        <v>-0.3709917895053878</v>
      </c>
      <c r="C690">
        <f t="shared" ca="1" si="95"/>
        <v>13.306632616354831</v>
      </c>
      <c r="D690" s="21">
        <f t="shared" ca="1" si="92"/>
        <v>0.37241145014817567</v>
      </c>
      <c r="F690">
        <f t="shared" si="93"/>
        <v>0.6840000000000005</v>
      </c>
      <c r="G690">
        <f t="shared" ca="1" si="94"/>
        <v>5.6595684179183266E-2</v>
      </c>
      <c r="H690">
        <f t="shared" ca="1" si="96"/>
        <v>5.6597875984518382E-2</v>
      </c>
      <c r="I690">
        <f t="shared" ca="1" si="97"/>
        <v>1.1140950333752076E-2</v>
      </c>
      <c r="J690" s="5">
        <f t="shared" ca="1" si="98"/>
        <v>4.5456925650766304E-2</v>
      </c>
    </row>
    <row r="691" spans="1:10" x14ac:dyDescent="0.2">
      <c r="A691">
        <f t="shared" ca="1" si="90"/>
        <v>5.040577634336485E-2</v>
      </c>
      <c r="B691">
        <f t="shared" ca="1" si="91"/>
        <v>-1.6409318980247294</v>
      </c>
      <c r="C691">
        <f t="shared" ca="1" si="95"/>
        <v>11.6657007183301</v>
      </c>
      <c r="D691" s="21">
        <f t="shared" ca="1" si="92"/>
        <v>0.10380228653865847</v>
      </c>
      <c r="F691">
        <f t="shared" si="93"/>
        <v>0.6850000000000005</v>
      </c>
      <c r="G691">
        <f t="shared" ca="1" si="94"/>
        <v>5.5426904002200614E-2</v>
      </c>
      <c r="H691">
        <f t="shared" ca="1" si="96"/>
        <v>5.5429037148861153E-2</v>
      </c>
      <c r="I691">
        <f t="shared" ca="1" si="97"/>
        <v>1.1128944867710735E-2</v>
      </c>
      <c r="J691" s="5">
        <f t="shared" ca="1" si="98"/>
        <v>4.4300092281150422E-2</v>
      </c>
    </row>
    <row r="692" spans="1:10" x14ac:dyDescent="0.2">
      <c r="A692">
        <f t="shared" ca="1" si="90"/>
        <v>0.80273798986310052</v>
      </c>
      <c r="B692">
        <f t="shared" ca="1" si="91"/>
        <v>0.85144172800412044</v>
      </c>
      <c r="C692">
        <f t="shared" ca="1" si="95"/>
        <v>12.517142446334221</v>
      </c>
      <c r="D692" s="21">
        <f t="shared" ca="1" si="92"/>
        <v>0.27764414442228297</v>
      </c>
      <c r="F692">
        <f t="shared" si="93"/>
        <v>0.6860000000000005</v>
      </c>
      <c r="G692">
        <f t="shared" ca="1" si="94"/>
        <v>5.024253824926507E-2</v>
      </c>
      <c r="H692">
        <f t="shared" ca="1" si="96"/>
        <v>5.0244411962164962E-2</v>
      </c>
      <c r="I692">
        <f t="shared" ca="1" si="97"/>
        <v>1.1072397258202343E-2</v>
      </c>
      <c r="J692" s="5">
        <f t="shared" ca="1" si="98"/>
        <v>3.9172014703962615E-2</v>
      </c>
    </row>
    <row r="693" spans="1:10" x14ac:dyDescent="0.2">
      <c r="A693">
        <f t="shared" ca="1" si="90"/>
        <v>0.16870716322597012</v>
      </c>
      <c r="B693">
        <f t="shared" ca="1" si="91"/>
        <v>-0.95928671431750456</v>
      </c>
      <c r="C693">
        <f t="shared" ca="1" si="95"/>
        <v>11.557855732016716</v>
      </c>
      <c r="D693" s="21">
        <f t="shared" ca="1" si="92"/>
        <v>0.25181665058230251</v>
      </c>
      <c r="F693">
        <f t="shared" si="93"/>
        <v>0.6870000000000005</v>
      </c>
      <c r="G693">
        <f t="shared" ca="1" si="94"/>
        <v>5.2939874282915064E-2</v>
      </c>
      <c r="H693">
        <f t="shared" ca="1" si="96"/>
        <v>5.2941882676371337E-2</v>
      </c>
      <c r="I693">
        <f t="shared" ca="1" si="97"/>
        <v>1.110330456889487E-2</v>
      </c>
      <c r="J693" s="5">
        <f t="shared" ca="1" si="98"/>
        <v>4.1838578107476466E-2</v>
      </c>
    </row>
    <row r="694" spans="1:10" x14ac:dyDescent="0.2">
      <c r="A694">
        <f t="shared" ca="1" si="90"/>
        <v>0.47439763966480664</v>
      </c>
      <c r="B694">
        <f t="shared" ca="1" si="91"/>
        <v>-6.4219715209368353E-2</v>
      </c>
      <c r="C694">
        <f t="shared" ca="1" si="95"/>
        <v>11.493636016807347</v>
      </c>
      <c r="D694" s="21">
        <f t="shared" ca="1" si="92"/>
        <v>0.39812047475393025</v>
      </c>
      <c r="F694">
        <f t="shared" si="93"/>
        <v>0.6880000000000005</v>
      </c>
      <c r="G694">
        <f t="shared" ca="1" si="94"/>
        <v>4.9911200784039156E-2</v>
      </c>
      <c r="H694">
        <f t="shared" ca="1" si="96"/>
        <v>4.991305754172113E-2</v>
      </c>
      <c r="I694">
        <f t="shared" ca="1" si="97"/>
        <v>1.1070725056208758E-2</v>
      </c>
      <c r="J694" s="5">
        <f t="shared" ca="1" si="98"/>
        <v>3.8842332485512374E-2</v>
      </c>
    </row>
    <row r="695" spans="1:10" x14ac:dyDescent="0.2">
      <c r="A695">
        <f t="shared" ca="1" si="90"/>
        <v>0.33817953803236245</v>
      </c>
      <c r="B695">
        <f t="shared" ca="1" si="91"/>
        <v>-0.41743661732968368</v>
      </c>
      <c r="C695">
        <f t="shared" ca="1" si="95"/>
        <v>11.076199399477664</v>
      </c>
      <c r="D695" s="21">
        <f t="shared" ca="1" si="92"/>
        <v>0.36565493240191127</v>
      </c>
      <c r="F695">
        <f t="shared" si="93"/>
        <v>0.6890000000000005</v>
      </c>
      <c r="G695">
        <f t="shared" ca="1" si="94"/>
        <v>4.9713138996381606E-2</v>
      </c>
      <c r="H695">
        <f t="shared" ca="1" si="96"/>
        <v>4.9714985665217995E-2</v>
      </c>
      <c r="I695">
        <f t="shared" ca="1" si="97"/>
        <v>1.1069528590584587E-2</v>
      </c>
      <c r="J695" s="5">
        <f t="shared" ca="1" si="98"/>
        <v>3.8645457074633405E-2</v>
      </c>
    </row>
    <row r="696" spans="1:10" x14ac:dyDescent="0.2">
      <c r="A696">
        <f t="shared" ca="1" si="90"/>
        <v>0.5154112231723772</v>
      </c>
      <c r="B696">
        <f t="shared" ca="1" si="91"/>
        <v>3.863982070313246E-2</v>
      </c>
      <c r="C696">
        <f t="shared" ca="1" si="95"/>
        <v>11.114839220180796</v>
      </c>
      <c r="D696" s="21">
        <f t="shared" ca="1" si="92"/>
        <v>0.39864457399462488</v>
      </c>
      <c r="F696">
        <f t="shared" si="93"/>
        <v>0.6900000000000005</v>
      </c>
      <c r="G696">
        <f t="shared" ca="1" si="94"/>
        <v>4.8398182941312616E-2</v>
      </c>
      <c r="H696">
        <f t="shared" ca="1" si="96"/>
        <v>4.8399963677133555E-2</v>
      </c>
      <c r="I696">
        <f t="shared" ca="1" si="97"/>
        <v>1.1055976162065453E-2</v>
      </c>
      <c r="J696" s="5">
        <f t="shared" ca="1" si="98"/>
        <v>3.7343987515068101E-2</v>
      </c>
    </row>
    <row r="697" spans="1:10" x14ac:dyDescent="0.2">
      <c r="A697">
        <f t="shared" ca="1" si="90"/>
        <v>0.5496875287453471</v>
      </c>
      <c r="B697">
        <f t="shared" ca="1" si="91"/>
        <v>0.12487192811401991</v>
      </c>
      <c r="C697">
        <f t="shared" ca="1" si="95"/>
        <v>11.239711148294816</v>
      </c>
      <c r="D697" s="21">
        <f t="shared" ca="1" si="92"/>
        <v>0.39584402070896496</v>
      </c>
      <c r="F697">
        <f t="shared" si="93"/>
        <v>0.6910000000000005</v>
      </c>
      <c r="G697">
        <f t="shared" ca="1" si="94"/>
        <v>4.8525526597582885E-2</v>
      </c>
      <c r="H697">
        <f t="shared" ca="1" si="96"/>
        <v>4.8527313522568269E-2</v>
      </c>
      <c r="I697">
        <f t="shared" ca="1" si="97"/>
        <v>1.1058377668561032E-2</v>
      </c>
      <c r="J697" s="5">
        <f t="shared" ca="1" si="98"/>
        <v>3.7468935854007235E-2</v>
      </c>
    </row>
    <row r="698" spans="1:10" x14ac:dyDescent="0.2">
      <c r="A698">
        <f t="shared" ca="1" si="90"/>
        <v>0.49229214474940819</v>
      </c>
      <c r="B698">
        <f t="shared" ca="1" si="91"/>
        <v>-1.9321930105753875E-2</v>
      </c>
      <c r="C698">
        <f t="shared" ca="1" si="95"/>
        <v>11.220389218189062</v>
      </c>
      <c r="D698" s="21">
        <f t="shared" ca="1" si="92"/>
        <v>0.39886781739791677</v>
      </c>
      <c r="F698">
        <f t="shared" si="93"/>
        <v>0.6920000000000005</v>
      </c>
      <c r="G698">
        <f t="shared" ca="1" si="94"/>
        <v>4.8925533753053647E-2</v>
      </c>
      <c r="H698">
        <f t="shared" ca="1" si="96"/>
        <v>4.8927340499873129E-2</v>
      </c>
      <c r="I698">
        <f t="shared" ca="1" si="97"/>
        <v>1.1063796270514736E-2</v>
      </c>
      <c r="J698" s="5">
        <f t="shared" ca="1" si="98"/>
        <v>3.7863544229358392E-2</v>
      </c>
    </row>
    <row r="699" spans="1:10" x14ac:dyDescent="0.2">
      <c r="A699">
        <f t="shared" ca="1" si="90"/>
        <v>0.10327814002895985</v>
      </c>
      <c r="B699">
        <f t="shared" ca="1" si="91"/>
        <v>-1.263091550976625</v>
      </c>
      <c r="C699">
        <f t="shared" ca="1" si="95"/>
        <v>9.9572976672124369</v>
      </c>
      <c r="D699" s="21">
        <f t="shared" ca="1" si="92"/>
        <v>0.17966906172235839</v>
      </c>
      <c r="F699">
        <f t="shared" si="93"/>
        <v>0.6930000000000005</v>
      </c>
      <c r="G699">
        <f t="shared" ca="1" si="94"/>
        <v>4.8869542691327865E-2</v>
      </c>
      <c r="H699">
        <f t="shared" ca="1" si="96"/>
        <v>4.8871346457898375E-2</v>
      </c>
      <c r="I699">
        <f t="shared" ca="1" si="97"/>
        <v>1.1064171325094588E-2</v>
      </c>
      <c r="J699" s="5">
        <f t="shared" ca="1" si="98"/>
        <v>3.7807175132803787E-2</v>
      </c>
    </row>
    <row r="700" spans="1:10" x14ac:dyDescent="0.2">
      <c r="A700">
        <f t="shared" ca="1" si="90"/>
        <v>0.45005666147389667</v>
      </c>
      <c r="B700">
        <f t="shared" ca="1" si="91"/>
        <v>-0.12551819307518755</v>
      </c>
      <c r="C700">
        <f t="shared" ca="1" si="95"/>
        <v>9.8317794741372495</v>
      </c>
      <c r="D700" s="21">
        <f t="shared" ca="1" si="92"/>
        <v>0.39581199458907718</v>
      </c>
      <c r="F700">
        <f t="shared" si="93"/>
        <v>0.69400000000000051</v>
      </c>
      <c r="G700">
        <f t="shared" ca="1" si="94"/>
        <v>4.4880608991002893E-2</v>
      </c>
      <c r="H700">
        <f t="shared" ca="1" si="96"/>
        <v>4.4882213128851781E-2</v>
      </c>
      <c r="I700">
        <f t="shared" ca="1" si="97"/>
        <v>1.1021113398444141E-2</v>
      </c>
      <c r="J700" s="5">
        <f t="shared" ca="1" si="98"/>
        <v>3.3861099730407643E-2</v>
      </c>
    </row>
    <row r="701" spans="1:10" x14ac:dyDescent="0.2">
      <c r="A701">
        <f t="shared" ca="1" si="90"/>
        <v>0.19937734628354375</v>
      </c>
      <c r="B701">
        <f t="shared" ca="1" si="91"/>
        <v>-0.84384738528282199</v>
      </c>
      <c r="C701">
        <f t="shared" ca="1" si="95"/>
        <v>8.9879320888544267</v>
      </c>
      <c r="D701" s="21">
        <f t="shared" ca="1" si="92"/>
        <v>0.27943718897476111</v>
      </c>
      <c r="F701">
        <f t="shared" si="93"/>
        <v>0.69500000000000051</v>
      </c>
      <c r="G701">
        <f t="shared" ca="1" si="94"/>
        <v>4.4489217121951662E-2</v>
      </c>
      <c r="H701">
        <f t="shared" ca="1" si="96"/>
        <v>4.4490801529632529E-2</v>
      </c>
      <c r="I701">
        <f t="shared" ca="1" si="97"/>
        <v>1.1017786368937861E-2</v>
      </c>
      <c r="J701" s="5">
        <f t="shared" ca="1" si="98"/>
        <v>3.3473015160694668E-2</v>
      </c>
    </row>
    <row r="702" spans="1:10" x14ac:dyDescent="0.2">
      <c r="A702">
        <f t="shared" ca="1" si="90"/>
        <v>0.71486271522229528</v>
      </c>
      <c r="B702">
        <f t="shared" ca="1" si="91"/>
        <v>0.56764717196456183</v>
      </c>
      <c r="C702">
        <f t="shared" ca="1" si="95"/>
        <v>9.5555792608189893</v>
      </c>
      <c r="D702" s="21">
        <f t="shared" ca="1" si="92"/>
        <v>0.33957848207057673</v>
      </c>
      <c r="F702">
        <f t="shared" si="93"/>
        <v>0.69600000000000051</v>
      </c>
      <c r="G702">
        <f t="shared" ca="1" si="94"/>
        <v>4.1826421606051094E-2</v>
      </c>
      <c r="H702">
        <f t="shared" ca="1" si="96"/>
        <v>4.1827872714408201E-2</v>
      </c>
      <c r="I702">
        <f t="shared" ca="1" si="97"/>
        <v>1.098946877200146E-2</v>
      </c>
      <c r="J702" s="5">
        <f t="shared" ca="1" si="98"/>
        <v>3.0838403942406743E-2</v>
      </c>
    </row>
    <row r="703" spans="1:10" x14ac:dyDescent="0.2">
      <c r="A703">
        <f t="shared" ca="1" si="90"/>
        <v>9.3510589882798145E-2</v>
      </c>
      <c r="B703">
        <f t="shared" ca="1" si="91"/>
        <v>-1.319442624261856</v>
      </c>
      <c r="C703">
        <f t="shared" ca="1" si="95"/>
        <v>8.2361366365571342</v>
      </c>
      <c r="D703" s="21">
        <f t="shared" ca="1" si="92"/>
        <v>0.16705988257192966</v>
      </c>
      <c r="F703">
        <f t="shared" si="93"/>
        <v>0.69700000000000051</v>
      </c>
      <c r="G703">
        <f t="shared" ca="1" si="94"/>
        <v>4.3627206894634583E-2</v>
      </c>
      <c r="H703">
        <f t="shared" ca="1" si="96"/>
        <v>4.3628747897898057E-2</v>
      </c>
      <c r="I703">
        <f t="shared" ca="1" si="97"/>
        <v>1.101025914636565E-2</v>
      </c>
      <c r="J703" s="5">
        <f t="shared" ca="1" si="98"/>
        <v>3.2618488751532407E-2</v>
      </c>
    </row>
    <row r="704" spans="1:10" x14ac:dyDescent="0.2">
      <c r="A704">
        <f t="shared" ca="1" si="90"/>
        <v>0.57151927542757297</v>
      </c>
      <c r="B704">
        <f t="shared" ca="1" si="91"/>
        <v>0.18024344957154811</v>
      </c>
      <c r="C704">
        <f t="shared" ca="1" si="95"/>
        <v>8.416380086128683</v>
      </c>
      <c r="D704" s="21">
        <f t="shared" ca="1" si="92"/>
        <v>0.39251427077375001</v>
      </c>
      <c r="F704">
        <f t="shared" si="93"/>
        <v>0.69800000000000051</v>
      </c>
      <c r="G704">
        <f t="shared" ca="1" si="94"/>
        <v>3.9460608571017852E-2</v>
      </c>
      <c r="H704">
        <f t="shared" ca="1" si="96"/>
        <v>3.9461941088531065E-2</v>
      </c>
      <c r="I704">
        <f t="shared" ca="1" si="97"/>
        <v>1.0965456833522461E-2</v>
      </c>
      <c r="J704" s="5">
        <f t="shared" ca="1" si="98"/>
        <v>2.8496484255008604E-2</v>
      </c>
    </row>
    <row r="705" spans="1:10" x14ac:dyDescent="0.2">
      <c r="A705">
        <f t="shared" ca="1" si="90"/>
        <v>0.39633556627060362</v>
      </c>
      <c r="B705">
        <f t="shared" ca="1" si="91"/>
        <v>-0.26284359507526012</v>
      </c>
      <c r="C705">
        <f t="shared" ca="1" si="95"/>
        <v>8.1535364910534227</v>
      </c>
      <c r="D705" s="21">
        <f t="shared" ca="1" si="92"/>
        <v>0.3853967673019269</v>
      </c>
      <c r="F705">
        <f t="shared" si="93"/>
        <v>0.69900000000000051</v>
      </c>
      <c r="G705">
        <f t="shared" ca="1" si="94"/>
        <v>4.0036613543641381E-2</v>
      </c>
      <c r="H705">
        <f t="shared" ca="1" si="96"/>
        <v>4.0037974728394002E-2</v>
      </c>
      <c r="I705">
        <f t="shared" ca="1" si="97"/>
        <v>1.097275106617706E-2</v>
      </c>
      <c r="J705" s="5">
        <f t="shared" ca="1" si="98"/>
        <v>2.9065223662216942E-2</v>
      </c>
    </row>
    <row r="706" spans="1:10" x14ac:dyDescent="0.2">
      <c r="A706">
        <f t="shared" ca="1" si="90"/>
        <v>0.44479041382365037</v>
      </c>
      <c r="B706">
        <f t="shared" ca="1" si="91"/>
        <v>-0.13883463068717547</v>
      </c>
      <c r="C706">
        <f t="shared" ca="1" si="95"/>
        <v>8.0147018603662481</v>
      </c>
      <c r="D706" s="21">
        <f t="shared" ca="1" si="92"/>
        <v>0.39511593115661359</v>
      </c>
      <c r="F706">
        <f t="shared" si="93"/>
        <v>0.70000000000000051</v>
      </c>
      <c r="G706">
        <f t="shared" ca="1" si="94"/>
        <v>3.9211466711145122E-2</v>
      </c>
      <c r="H706">
        <f t="shared" ca="1" si="96"/>
        <v>3.9212786502096329E-2</v>
      </c>
      <c r="I706">
        <f t="shared" ca="1" si="97"/>
        <v>1.0964676070408541E-2</v>
      </c>
      <c r="J706" s="5">
        <f t="shared" ca="1" si="98"/>
        <v>2.824811043168779E-2</v>
      </c>
    </row>
    <row r="707" spans="1:10" x14ac:dyDescent="0.2">
      <c r="A707">
        <f t="shared" ca="1" si="90"/>
        <v>0.45075463629975465</v>
      </c>
      <c r="B707">
        <f t="shared" ca="1" si="91"/>
        <v>-0.12375498740192348</v>
      </c>
      <c r="C707">
        <f t="shared" ca="1" si="95"/>
        <v>7.8909468729643244</v>
      </c>
      <c r="D707" s="21">
        <f t="shared" ca="1" si="92"/>
        <v>0.39589898776890675</v>
      </c>
      <c r="F707">
        <f t="shared" si="93"/>
        <v>0.70100000000000051</v>
      </c>
      <c r="G707">
        <f t="shared" ca="1" si="94"/>
        <v>3.877853356022963E-2</v>
      </c>
      <c r="H707">
        <f t="shared" ca="1" si="96"/>
        <v>3.8779831572366336E-2</v>
      </c>
      <c r="I707">
        <f t="shared" ca="1" si="97"/>
        <v>1.0960904501677611E-2</v>
      </c>
      <c r="J707" s="5">
        <f t="shared" ca="1" si="98"/>
        <v>2.7818927070688726E-2</v>
      </c>
    </row>
    <row r="708" spans="1:10" x14ac:dyDescent="0.2">
      <c r="A708">
        <f t="shared" ca="1" si="90"/>
        <v>0.81589469707863627</v>
      </c>
      <c r="B708">
        <f t="shared" ca="1" si="91"/>
        <v>0.89983022687858727</v>
      </c>
      <c r="C708">
        <f t="shared" ca="1" si="95"/>
        <v>8.7907770998429111</v>
      </c>
      <c r="D708" s="21">
        <f t="shared" ca="1" si="92"/>
        <v>0.26612590588083213</v>
      </c>
      <c r="F708">
        <f t="shared" si="93"/>
        <v>0.70200000000000051</v>
      </c>
      <c r="G708">
        <f t="shared" ca="1" si="94"/>
        <v>3.8393327335347283E-2</v>
      </c>
      <c r="H708">
        <f t="shared" ca="1" si="96"/>
        <v>3.8394605957213578E-2</v>
      </c>
      <c r="I708">
        <f t="shared" ca="1" si="97"/>
        <v>1.0957656744840302E-2</v>
      </c>
      <c r="J708" s="5">
        <f t="shared" ca="1" si="98"/>
        <v>2.7436949212373274E-2</v>
      </c>
    </row>
    <row r="709" spans="1:10" x14ac:dyDescent="0.2">
      <c r="A709">
        <f t="shared" ca="1" si="90"/>
        <v>0.81745133164472328</v>
      </c>
      <c r="B709">
        <f t="shared" ca="1" si="91"/>
        <v>0.90569494901788239</v>
      </c>
      <c r="C709">
        <f t="shared" ca="1" si="95"/>
        <v>9.6964720488607927</v>
      </c>
      <c r="D709" s="21">
        <f t="shared" ca="1" si="92"/>
        <v>0.26472063845931038</v>
      </c>
      <c r="F709">
        <f t="shared" si="93"/>
        <v>0.70300000000000051</v>
      </c>
      <c r="G709">
        <f t="shared" ca="1" si="94"/>
        <v>4.1244858449269728E-2</v>
      </c>
      <c r="H709">
        <f t="shared" ca="1" si="96"/>
        <v>4.1246279521020252E-2</v>
      </c>
      <c r="I709">
        <f t="shared" ca="1" si="97"/>
        <v>1.0989925297013261E-2</v>
      </c>
      <c r="J709" s="5">
        <f t="shared" ca="1" si="98"/>
        <v>3.0256354224006993E-2</v>
      </c>
    </row>
    <row r="710" spans="1:10" x14ac:dyDescent="0.2">
      <c r="A710">
        <f t="shared" ca="1" si="90"/>
        <v>0.27511338364397264</v>
      </c>
      <c r="B710">
        <f t="shared" ca="1" si="91"/>
        <v>-0.59742035474668254</v>
      </c>
      <c r="C710">
        <f t="shared" ca="1" si="95"/>
        <v>9.0990516941141095</v>
      </c>
      <c r="D710" s="21">
        <f t="shared" ca="1" si="92"/>
        <v>0.33373965255210458</v>
      </c>
      <c r="F710">
        <f t="shared" si="93"/>
        <v>0.70400000000000051</v>
      </c>
      <c r="G710">
        <f t="shared" ca="1" si="94"/>
        <v>4.4114649376886791E-2</v>
      </c>
      <c r="H710">
        <f t="shared" ca="1" si="96"/>
        <v>4.4116213797274734E-2</v>
      </c>
      <c r="I710">
        <f t="shared" ca="1" si="97"/>
        <v>1.1022493294868117E-2</v>
      </c>
      <c r="J710" s="5">
        <f t="shared" ca="1" si="98"/>
        <v>3.3093720502406616E-2</v>
      </c>
    </row>
    <row r="711" spans="1:10" x14ac:dyDescent="0.2">
      <c r="A711">
        <f t="shared" ref="A711:A774" ca="1" si="99">RAND()</f>
        <v>0.94661797548708193</v>
      </c>
      <c r="B711">
        <f t="shared" ref="B711:B774" ca="1" si="100">NORMSINV(A711)</f>
        <v>1.6129100611255853</v>
      </c>
      <c r="C711">
        <f t="shared" ca="1" si="95"/>
        <v>10.711961755239695</v>
      </c>
      <c r="D711" s="21">
        <f t="shared" ref="D711:D774" ca="1" si="101">_xlfn.NORM.DIST(B711,0,1,FALSE)</f>
        <v>0.10864409029988426</v>
      </c>
      <c r="F711">
        <f t="shared" ref="F711:F774" si="102">F710+$M$2/$N$2</f>
        <v>0.70500000000000052</v>
      </c>
      <c r="G711">
        <f t="shared" ref="G711:G774" ca="1" si="103">G710*EXP(-$M$4*$O$2) + $O$4*(1-EXP(-$M$4*$O$2)) + $N$4* SQRT((1-EXP(-2*$M$4*$O$2))/(2*$M$4)) *B710</f>
        <v>4.2231123047502754E-2</v>
      </c>
      <c r="H711">
        <f t="shared" ca="1" si="96"/>
        <v>4.2232593134349704E-2</v>
      </c>
      <c r="I711">
        <f t="shared" ca="1" si="97"/>
        <v>1.1002734368860578E-2</v>
      </c>
      <c r="J711" s="5">
        <f t="shared" ca="1" si="98"/>
        <v>3.1229858765489126E-2</v>
      </c>
    </row>
    <row r="712" spans="1:10" x14ac:dyDescent="0.2">
      <c r="A712">
        <f t="shared" ca="1" si="99"/>
        <v>0.77937997047828644</v>
      </c>
      <c r="B712">
        <f t="shared" ca="1" si="100"/>
        <v>0.77010087158432361</v>
      </c>
      <c r="C712">
        <f t="shared" ref="C712:C775" ca="1" si="104">B712+C711</f>
        <v>11.482062626824019</v>
      </c>
      <c r="D712" s="21">
        <f t="shared" ca="1" si="101"/>
        <v>0.29657171753283595</v>
      </c>
      <c r="F712">
        <f t="shared" si="102"/>
        <v>0.70600000000000052</v>
      </c>
      <c r="G712">
        <f t="shared" ca="1" si="103"/>
        <v>4.7337114087674305E-2</v>
      </c>
      <c r="H712">
        <f t="shared" ref="H712:H775" ca="1" si="105">H711+($M$6 + $N$6*H711)*$O$2 + $O$6*H711^$P$6*SQRT($O$2)*B711</f>
        <v>4.7338839329194526E-2</v>
      </c>
      <c r="I712">
        <f t="shared" ref="I712:I775" ca="1" si="106">I711*EXP(($M$8-0.5*($N$8^2))*$O$2 + $N$8*SQRT($O$2)*B711)</f>
        <v>1.1060047494562585E-2</v>
      </c>
      <c r="J712" s="5">
        <f t="shared" ref="J712:J775" ca="1" si="107">ABS(H712-I712)</f>
        <v>3.6278791834631938E-2</v>
      </c>
    </row>
    <row r="713" spans="1:10" x14ac:dyDescent="0.2">
      <c r="A713">
        <f t="shared" ca="1" si="99"/>
        <v>0.3964883720181972</v>
      </c>
      <c r="B713">
        <f t="shared" ca="1" si="100"/>
        <v>-0.2624471262856643</v>
      </c>
      <c r="C713">
        <f t="shared" ca="1" si="104"/>
        <v>11.219615500538355</v>
      </c>
      <c r="D713" s="21">
        <f t="shared" ca="1" si="101"/>
        <v>0.38543690102209194</v>
      </c>
      <c r="F713">
        <f t="shared" si="102"/>
        <v>0.70700000000000052</v>
      </c>
      <c r="G713">
        <f t="shared" ca="1" si="103"/>
        <v>4.9777531136681333E-2</v>
      </c>
      <c r="H713">
        <f t="shared" ca="1" si="105"/>
        <v>4.9779378227548916E-2</v>
      </c>
      <c r="I713">
        <f t="shared" ca="1" si="106"/>
        <v>1.1088067866351402E-2</v>
      </c>
      <c r="J713" s="5">
        <f t="shared" ca="1" si="107"/>
        <v>3.8691310361197516E-2</v>
      </c>
    </row>
    <row r="714" spans="1:10" x14ac:dyDescent="0.2">
      <c r="A714">
        <f t="shared" ca="1" si="99"/>
        <v>0.91418704198566358</v>
      </c>
      <c r="B714">
        <f t="shared" ca="1" si="100"/>
        <v>1.3669980522245386</v>
      </c>
      <c r="C714">
        <f t="shared" ca="1" si="104"/>
        <v>12.586613552762893</v>
      </c>
      <c r="D714" s="21">
        <f t="shared" ca="1" si="101"/>
        <v>0.1567222152134152</v>
      </c>
      <c r="F714">
        <f t="shared" si="102"/>
        <v>0.70800000000000052</v>
      </c>
      <c r="G714">
        <f t="shared" ca="1" si="103"/>
        <v>4.8952663942840417E-2</v>
      </c>
      <c r="H714">
        <f t="shared" ca="1" si="105"/>
        <v>4.8954469605297611E-2</v>
      </c>
      <c r="I714">
        <f t="shared" ca="1" si="106"/>
        <v>1.1079921898772811E-2</v>
      </c>
      <c r="J714" s="5">
        <f t="shared" ca="1" si="107"/>
        <v>3.7874547706524798E-2</v>
      </c>
    </row>
    <row r="715" spans="1:10" x14ac:dyDescent="0.2">
      <c r="A715">
        <f t="shared" ca="1" si="99"/>
        <v>5.8420619784790295E-3</v>
      </c>
      <c r="B715">
        <f t="shared" ca="1" si="100"/>
        <v>-2.5215434651996467</v>
      </c>
      <c r="C715">
        <f t="shared" ca="1" si="104"/>
        <v>10.065070087563246</v>
      </c>
      <c r="D715" s="21">
        <f t="shared" ca="1" si="101"/>
        <v>1.660536809547106E-2</v>
      </c>
      <c r="F715">
        <f t="shared" si="102"/>
        <v>0.70900000000000052</v>
      </c>
      <c r="G715">
        <f t="shared" ca="1" si="103"/>
        <v>5.3280379690896697E-2</v>
      </c>
      <c r="H715">
        <f t="shared" ca="1" si="105"/>
        <v>5.3282401560380423E-2</v>
      </c>
      <c r="I715">
        <f t="shared" ca="1" si="106"/>
        <v>1.1128979365270927E-2</v>
      </c>
      <c r="J715" s="5">
        <f t="shared" ca="1" si="107"/>
        <v>4.2153422195109494E-2</v>
      </c>
    </row>
    <row r="716" spans="1:10" x14ac:dyDescent="0.2">
      <c r="A716">
        <f t="shared" ca="1" si="99"/>
        <v>0.15391118044053187</v>
      </c>
      <c r="B716">
        <f t="shared" ca="1" si="100"/>
        <v>-1.0198020286699789</v>
      </c>
      <c r="C716">
        <f t="shared" ca="1" si="104"/>
        <v>9.0452680588932672</v>
      </c>
      <c r="D716" s="21">
        <f t="shared" ca="1" si="101"/>
        <v>0.23717983644099236</v>
      </c>
      <c r="F716">
        <f t="shared" si="102"/>
        <v>0.71000000000000052</v>
      </c>
      <c r="G716">
        <f t="shared" ca="1" si="103"/>
        <v>4.5311629524609938E-2</v>
      </c>
      <c r="H716">
        <f t="shared" ca="1" si="105"/>
        <v>4.5313252751079981E-2</v>
      </c>
      <c r="I716">
        <f t="shared" ca="1" si="106"/>
        <v>1.1041640648574399E-2</v>
      </c>
      <c r="J716" s="5">
        <f t="shared" ca="1" si="107"/>
        <v>3.427161210250558E-2</v>
      </c>
    </row>
    <row r="717" spans="1:10" x14ac:dyDescent="0.2">
      <c r="A717">
        <f t="shared" ca="1" si="99"/>
        <v>0.98317739953797145</v>
      </c>
      <c r="B717">
        <f t="shared" ca="1" si="100"/>
        <v>2.1242983822540595</v>
      </c>
      <c r="C717">
        <f t="shared" ca="1" si="104"/>
        <v>11.169566441147326</v>
      </c>
      <c r="D717" s="21">
        <f t="shared" ca="1" si="101"/>
        <v>4.1783224756042479E-2</v>
      </c>
      <c r="F717">
        <f t="shared" si="102"/>
        <v>0.71100000000000052</v>
      </c>
      <c r="G717">
        <f t="shared" ca="1" si="103"/>
        <v>4.2092362153307673E-2</v>
      </c>
      <c r="H717">
        <f t="shared" ca="1" si="105"/>
        <v>4.2093824252747401E-2</v>
      </c>
      <c r="I717">
        <f t="shared" ca="1" si="106"/>
        <v>1.1007135475712462E-2</v>
      </c>
      <c r="J717" s="5">
        <f t="shared" ca="1" si="107"/>
        <v>3.1086688777034938E-2</v>
      </c>
    </row>
    <row r="718" spans="1:10" x14ac:dyDescent="0.2">
      <c r="A718">
        <f t="shared" ca="1" si="99"/>
        <v>0.72611209552754952</v>
      </c>
      <c r="B718">
        <f t="shared" ca="1" si="100"/>
        <v>0.60109635807847595</v>
      </c>
      <c r="C718">
        <f t="shared" ca="1" si="104"/>
        <v>11.770662799225802</v>
      </c>
      <c r="D718" s="21">
        <f t="shared" ca="1" si="101"/>
        <v>0.33300527474493158</v>
      </c>
      <c r="F718">
        <f t="shared" si="102"/>
        <v>0.71200000000000052</v>
      </c>
      <c r="G718">
        <f t="shared" ca="1" si="103"/>
        <v>4.8815438078226185E-2</v>
      </c>
      <c r="H718">
        <f t="shared" ca="1" si="105"/>
        <v>4.8817236188055967E-2</v>
      </c>
      <c r="I718">
        <f t="shared" ca="1" si="106"/>
        <v>1.1082378933077126E-2</v>
      </c>
      <c r="J718" s="5">
        <f t="shared" ca="1" si="107"/>
        <v>3.773485725497884E-2</v>
      </c>
    </row>
    <row r="719" spans="1:10" x14ac:dyDescent="0.2">
      <c r="A719">
        <f t="shared" ca="1" si="99"/>
        <v>0.15714539671722094</v>
      </c>
      <c r="B719">
        <f t="shared" ca="1" si="100"/>
        <v>-1.0062594243181524</v>
      </c>
      <c r="C719">
        <f t="shared" ca="1" si="104"/>
        <v>10.76440337490765</v>
      </c>
      <c r="D719" s="21">
        <f t="shared" ca="1" si="101"/>
        <v>0.24045614683157801</v>
      </c>
      <c r="F719">
        <f t="shared" si="102"/>
        <v>0.71300000000000052</v>
      </c>
      <c r="G719">
        <f t="shared" ca="1" si="103"/>
        <v>5.0721294825544876E-2</v>
      </c>
      <c r="H719">
        <f t="shared" ca="1" si="105"/>
        <v>5.0723188049197301E-2</v>
      </c>
      <c r="I719">
        <f t="shared" ca="1" si="106"/>
        <v>1.110451960434895E-2</v>
      </c>
      <c r="J719" s="5">
        <f t="shared" ca="1" si="107"/>
        <v>3.9618668444848348E-2</v>
      </c>
    </row>
    <row r="720" spans="1:10" x14ac:dyDescent="0.2">
      <c r="A720">
        <f t="shared" ca="1" si="99"/>
        <v>0.29008516254819627</v>
      </c>
      <c r="B720">
        <f t="shared" ca="1" si="100"/>
        <v>-0.55313594457531512</v>
      </c>
      <c r="C720">
        <f t="shared" ca="1" si="104"/>
        <v>10.211267430332335</v>
      </c>
      <c r="D720" s="21">
        <f t="shared" ca="1" si="101"/>
        <v>0.34235118234877315</v>
      </c>
      <c r="F720">
        <f t="shared" si="102"/>
        <v>0.71400000000000052</v>
      </c>
      <c r="G720">
        <f t="shared" ca="1" si="103"/>
        <v>4.7544309848777687E-2</v>
      </c>
      <c r="H720">
        <f t="shared" ca="1" si="105"/>
        <v>4.7546044032537198E-2</v>
      </c>
      <c r="I720">
        <f t="shared" ca="1" si="106"/>
        <v>1.1070292014853933E-2</v>
      </c>
      <c r="J720" s="5">
        <f t="shared" ca="1" si="107"/>
        <v>3.6475752017683265E-2</v>
      </c>
    </row>
    <row r="721" spans="1:10" x14ac:dyDescent="0.2">
      <c r="A721">
        <f t="shared" ca="1" si="99"/>
        <v>0.92238810407464944</v>
      </c>
      <c r="B721">
        <f t="shared" ca="1" si="100"/>
        <v>1.4213198621444789</v>
      </c>
      <c r="C721">
        <f t="shared" ca="1" si="104"/>
        <v>11.632587292476813</v>
      </c>
      <c r="D721" s="21">
        <f t="shared" ca="1" si="101"/>
        <v>0.14529144207302902</v>
      </c>
      <c r="F721">
        <f t="shared" si="102"/>
        <v>0.71500000000000052</v>
      </c>
      <c r="G721">
        <f t="shared" ca="1" si="103"/>
        <v>4.5800473169784528E-2</v>
      </c>
      <c r="H721">
        <f t="shared" ca="1" si="105"/>
        <v>4.5802119987567287E-2</v>
      </c>
      <c r="I721">
        <f t="shared" ca="1" si="106"/>
        <v>1.1051995013447242E-2</v>
      </c>
      <c r="J721" s="5">
        <f t="shared" ca="1" si="107"/>
        <v>3.4750124974120042E-2</v>
      </c>
    </row>
    <row r="722" spans="1:10" x14ac:dyDescent="0.2">
      <c r="A722">
        <f t="shared" ca="1" si="99"/>
        <v>0.76581425984489637</v>
      </c>
      <c r="B722">
        <f t="shared" ca="1" si="100"/>
        <v>0.72513130606775678</v>
      </c>
      <c r="C722">
        <f t="shared" ca="1" si="104"/>
        <v>12.357718598544571</v>
      </c>
      <c r="D722" s="21">
        <f t="shared" ca="1" si="101"/>
        <v>0.30671195206734853</v>
      </c>
      <c r="F722">
        <f t="shared" si="102"/>
        <v>0.71600000000000052</v>
      </c>
      <c r="G722">
        <f t="shared" ca="1" si="103"/>
        <v>5.0300276178452986E-2</v>
      </c>
      <c r="H722">
        <f t="shared" ca="1" si="105"/>
        <v>5.0302147823581611E-2</v>
      </c>
      <c r="I722">
        <f t="shared" ca="1" si="106"/>
        <v>1.1102835919378242E-2</v>
      </c>
      <c r="J722" s="5">
        <f t="shared" ca="1" si="107"/>
        <v>3.9199311904203366E-2</v>
      </c>
    </row>
    <row r="723" spans="1:10" x14ac:dyDescent="0.2">
      <c r="A723">
        <f t="shared" ca="1" si="99"/>
        <v>0.8293235375410376</v>
      </c>
      <c r="B723">
        <f t="shared" ca="1" si="100"/>
        <v>0.95149545444655925</v>
      </c>
      <c r="C723">
        <f t="shared" ca="1" si="104"/>
        <v>13.30921405299113</v>
      </c>
      <c r="D723" s="21">
        <f t="shared" ca="1" si="101"/>
        <v>0.253698091994421</v>
      </c>
      <c r="F723">
        <f t="shared" si="102"/>
        <v>0.71700000000000053</v>
      </c>
      <c r="G723">
        <f t="shared" ca="1" si="103"/>
        <v>5.2598197783662107E-2</v>
      </c>
      <c r="H723">
        <f t="shared" ca="1" si="105"/>
        <v>5.2600184138666038E-2</v>
      </c>
      <c r="I723">
        <f t="shared" ca="1" si="106"/>
        <v>1.1129381914409353E-2</v>
      </c>
      <c r="J723" s="5">
        <f t="shared" ca="1" si="107"/>
        <v>4.1470802224256684E-2</v>
      </c>
    </row>
    <row r="724" spans="1:10" x14ac:dyDescent="0.2">
      <c r="A724">
        <f t="shared" ca="1" si="99"/>
        <v>6.9506715002236374E-2</v>
      </c>
      <c r="B724">
        <f t="shared" ca="1" si="100"/>
        <v>-1.4794749182658187</v>
      </c>
      <c r="C724">
        <f t="shared" ca="1" si="104"/>
        <v>11.829739134725312</v>
      </c>
      <c r="D724" s="21">
        <f t="shared" ca="1" si="101"/>
        <v>0.13353902121667069</v>
      </c>
      <c r="F724">
        <f t="shared" si="102"/>
        <v>0.71800000000000053</v>
      </c>
      <c r="G724">
        <f t="shared" ca="1" si="103"/>
        <v>5.5611680107858025E-2</v>
      </c>
      <c r="H724">
        <f t="shared" ca="1" si="105"/>
        <v>5.561381693960029E-2</v>
      </c>
      <c r="I724">
        <f t="shared" ca="1" si="106"/>
        <v>1.1163979989598925E-2</v>
      </c>
      <c r="J724" s="5">
        <f t="shared" ca="1" si="107"/>
        <v>4.4449836950001362E-2</v>
      </c>
    </row>
    <row r="725" spans="1:10" x14ac:dyDescent="0.2">
      <c r="A725">
        <f t="shared" ca="1" si="99"/>
        <v>0.50238742491731947</v>
      </c>
      <c r="B725">
        <f t="shared" ca="1" si="100"/>
        <v>5.9844225214524035E-3</v>
      </c>
      <c r="C725">
        <f t="shared" ca="1" si="104"/>
        <v>11.835723557246764</v>
      </c>
      <c r="D725" s="21">
        <f t="shared" ca="1" si="101"/>
        <v>0.39893513674303083</v>
      </c>
      <c r="F725">
        <f t="shared" si="102"/>
        <v>0.71900000000000053</v>
      </c>
      <c r="G725">
        <f t="shared" ca="1" si="103"/>
        <v>5.0937842150879264E-2</v>
      </c>
      <c r="H725">
        <f t="shared" ca="1" si="105"/>
        <v>5.093974507509489E-2</v>
      </c>
      <c r="I725">
        <f t="shared" ca="1" si="106"/>
        <v>1.1112926860941289E-2</v>
      </c>
      <c r="J725" s="5">
        <f t="shared" ca="1" si="107"/>
        <v>3.9826818214153598E-2</v>
      </c>
    </row>
    <row r="726" spans="1:10" x14ac:dyDescent="0.2">
      <c r="A726">
        <f t="shared" ca="1" si="99"/>
        <v>0.68597166942416465</v>
      </c>
      <c r="B726">
        <f t="shared" ca="1" si="100"/>
        <v>0.48446392427277829</v>
      </c>
      <c r="C726">
        <f t="shared" ca="1" si="104"/>
        <v>12.320187481519543</v>
      </c>
      <c r="D726" s="21">
        <f t="shared" ca="1" si="101"/>
        <v>0.3547680156473742</v>
      </c>
      <c r="F726">
        <f t="shared" si="102"/>
        <v>0.72000000000000053</v>
      </c>
      <c r="G726">
        <f t="shared" ca="1" si="103"/>
        <v>5.0961671580829301E-2</v>
      </c>
      <c r="H726">
        <f t="shared" ca="1" si="105"/>
        <v>5.0963575506235974E-2</v>
      </c>
      <c r="I726">
        <f t="shared" ca="1" si="106"/>
        <v>1.1114192966647739E-2</v>
      </c>
      <c r="J726" s="5">
        <f t="shared" ca="1" si="107"/>
        <v>3.9849382539588238E-2</v>
      </c>
    </row>
    <row r="727" spans="1:10" x14ac:dyDescent="0.2">
      <c r="A727">
        <f t="shared" ca="1" si="99"/>
        <v>0.31795674473085245</v>
      </c>
      <c r="B727">
        <f t="shared" ca="1" si="100"/>
        <v>-0.47342010425108111</v>
      </c>
      <c r="C727">
        <f t="shared" ca="1" si="104"/>
        <v>11.846767377268462</v>
      </c>
      <c r="D727" s="21">
        <f t="shared" ca="1" si="101"/>
        <v>0.35664947911265055</v>
      </c>
      <c r="F727">
        <f t="shared" si="102"/>
        <v>0.72100000000000053</v>
      </c>
      <c r="G727">
        <f t="shared" ca="1" si="103"/>
        <v>5.2498508016092363E-2</v>
      </c>
      <c r="H727">
        <f t="shared" ca="1" si="105"/>
        <v>5.2500488593570663E-2</v>
      </c>
      <c r="I727">
        <f t="shared" ca="1" si="106"/>
        <v>1.1132290582080101E-2</v>
      </c>
      <c r="J727" s="5">
        <f t="shared" ca="1" si="107"/>
        <v>4.136819801149056E-2</v>
      </c>
    </row>
    <row r="728" spans="1:10" x14ac:dyDescent="0.2">
      <c r="A728">
        <f t="shared" ca="1" si="99"/>
        <v>0.87423618014086124</v>
      </c>
      <c r="B728">
        <f t="shared" ca="1" si="100"/>
        <v>1.1466467667364171</v>
      </c>
      <c r="C728">
        <f t="shared" ca="1" si="104"/>
        <v>12.993414144004879</v>
      </c>
      <c r="D728" s="21">
        <f t="shared" ca="1" si="101"/>
        <v>0.20673077480620372</v>
      </c>
      <c r="F728">
        <f t="shared" si="102"/>
        <v>0.72200000000000053</v>
      </c>
      <c r="G728">
        <f t="shared" ca="1" si="103"/>
        <v>5.1006246959415615E-2</v>
      </c>
      <c r="H728">
        <f t="shared" ca="1" si="105"/>
        <v>5.1008152725163527E-2</v>
      </c>
      <c r="I728">
        <f t="shared" ca="1" si="106"/>
        <v>1.1116693092380631E-2</v>
      </c>
      <c r="J728" s="5">
        <f t="shared" ca="1" si="107"/>
        <v>3.98914596327829E-2</v>
      </c>
    </row>
    <row r="729" spans="1:10" x14ac:dyDescent="0.2">
      <c r="A729">
        <f t="shared" ca="1" si="99"/>
        <v>0.38294038404458108</v>
      </c>
      <c r="B729">
        <f t="shared" ca="1" si="100"/>
        <v>-0.29776730754041719</v>
      </c>
      <c r="C729">
        <f t="shared" ca="1" si="104"/>
        <v>12.695646836464462</v>
      </c>
      <c r="D729" s="21">
        <f t="shared" ca="1" si="101"/>
        <v>0.38164240631414736</v>
      </c>
      <c r="F729">
        <f t="shared" si="102"/>
        <v>0.72300000000000053</v>
      </c>
      <c r="G729">
        <f t="shared" ca="1" si="103"/>
        <v>5.4636980251095084E-2</v>
      </c>
      <c r="H729">
        <f t="shared" ca="1" si="105"/>
        <v>5.463906736444589E-2</v>
      </c>
      <c r="I729">
        <f t="shared" ca="1" si="106"/>
        <v>1.1158135535348794E-2</v>
      </c>
      <c r="J729" s="5">
        <f t="shared" ca="1" si="107"/>
        <v>4.3480931829097097E-2</v>
      </c>
    </row>
    <row r="730" spans="1:10" x14ac:dyDescent="0.2">
      <c r="A730">
        <f t="shared" ca="1" si="99"/>
        <v>0.5189264726217161</v>
      </c>
      <c r="B730">
        <f t="shared" ca="1" si="100"/>
        <v>4.7459441658182236E-2</v>
      </c>
      <c r="C730">
        <f t="shared" ca="1" si="104"/>
        <v>12.743106278122644</v>
      </c>
      <c r="D730" s="21">
        <f t="shared" ca="1" si="101"/>
        <v>0.3984932447832642</v>
      </c>
      <c r="F730">
        <f t="shared" si="102"/>
        <v>0.72400000000000053</v>
      </c>
      <c r="G730">
        <f t="shared" ca="1" si="103"/>
        <v>5.3699940500882483E-2</v>
      </c>
      <c r="H730">
        <f t="shared" ca="1" si="105"/>
        <v>5.37019805531459E-2</v>
      </c>
      <c r="I730">
        <f t="shared" ca="1" si="106"/>
        <v>1.1148692800014374E-2</v>
      </c>
      <c r="J730" s="5">
        <f t="shared" ca="1" si="107"/>
        <v>4.2553287753131525E-2</v>
      </c>
    </row>
    <row r="731" spans="1:10" x14ac:dyDescent="0.2">
      <c r="A731">
        <f t="shared" ca="1" si="99"/>
        <v>0.35195235398398961</v>
      </c>
      <c r="B731">
        <f t="shared" ca="1" si="100"/>
        <v>-0.38005483925957373</v>
      </c>
      <c r="C731">
        <f t="shared" ca="1" si="104"/>
        <v>12.363051438863071</v>
      </c>
      <c r="D731" s="21">
        <f t="shared" ca="1" si="101"/>
        <v>0.37114614443647792</v>
      </c>
      <c r="F731">
        <f t="shared" si="102"/>
        <v>0.72500000000000053</v>
      </c>
      <c r="G731">
        <f t="shared" ca="1" si="103"/>
        <v>5.3854642703775595E-2</v>
      </c>
      <c r="H731">
        <f t="shared" ca="1" si="105"/>
        <v>5.3856690287210317E-2</v>
      </c>
      <c r="I731">
        <f t="shared" ca="1" si="106"/>
        <v>1.1151425455734887E-2</v>
      </c>
      <c r="J731" s="5">
        <f t="shared" ca="1" si="107"/>
        <v>4.270526483147543E-2</v>
      </c>
    </row>
    <row r="732" spans="1:10" x14ac:dyDescent="0.2">
      <c r="A732">
        <f t="shared" ca="1" si="99"/>
        <v>0.90382009987291079</v>
      </c>
      <c r="B732">
        <f t="shared" ca="1" si="100"/>
        <v>1.30362990205278</v>
      </c>
      <c r="C732">
        <f t="shared" ca="1" si="104"/>
        <v>13.666681340915851</v>
      </c>
      <c r="D732" s="21">
        <f t="shared" ca="1" si="101"/>
        <v>0.17056070680840063</v>
      </c>
      <c r="F732">
        <f t="shared" si="102"/>
        <v>0.72600000000000053</v>
      </c>
      <c r="G732">
        <f t="shared" ca="1" si="103"/>
        <v>5.2657478170399355E-2</v>
      </c>
      <c r="H732">
        <f t="shared" ca="1" si="105"/>
        <v>5.265946569035216E-2</v>
      </c>
      <c r="I732">
        <f t="shared" ca="1" si="106"/>
        <v>1.1139089452183558E-2</v>
      </c>
      <c r="J732" s="5">
        <f t="shared" ca="1" si="107"/>
        <v>4.1520376238168601E-2</v>
      </c>
    </row>
    <row r="733" spans="1:10" x14ac:dyDescent="0.2">
      <c r="A733">
        <f t="shared" ca="1" si="99"/>
        <v>0.45014444957536126</v>
      </c>
      <c r="B733">
        <f t="shared" ca="1" si="100"/>
        <v>-0.12529640373721579</v>
      </c>
      <c r="C733">
        <f t="shared" ca="1" si="104"/>
        <v>13.541384937178634</v>
      </c>
      <c r="D733" s="21">
        <f t="shared" ca="1" si="101"/>
        <v>0.39582300385766894</v>
      </c>
      <c r="F733">
        <f t="shared" si="102"/>
        <v>0.72700000000000053</v>
      </c>
      <c r="G733">
        <f t="shared" ca="1" si="103"/>
        <v>5.6784445788868813E-2</v>
      </c>
      <c r="H733">
        <f t="shared" ca="1" si="105"/>
        <v>5.6786639460172122E-2</v>
      </c>
      <c r="I733">
        <f t="shared" ca="1" si="106"/>
        <v>1.1186167094222229E-2</v>
      </c>
      <c r="J733" s="5">
        <f t="shared" ca="1" si="107"/>
        <v>4.5600472365949891E-2</v>
      </c>
    </row>
    <row r="734" spans="1:10" x14ac:dyDescent="0.2">
      <c r="A734">
        <f t="shared" ca="1" si="99"/>
        <v>0.81235373883978379</v>
      </c>
      <c r="B734">
        <f t="shared" ca="1" si="100"/>
        <v>0.88660328931233068</v>
      </c>
      <c r="C734">
        <f t="shared" ca="1" si="104"/>
        <v>14.427988226490966</v>
      </c>
      <c r="D734" s="21">
        <f t="shared" ca="1" si="101"/>
        <v>0.26928870300775393</v>
      </c>
      <c r="F734">
        <f t="shared" si="102"/>
        <v>0.72800000000000054</v>
      </c>
      <c r="G734">
        <f t="shared" ca="1" si="103"/>
        <v>5.6392564920057217E-2</v>
      </c>
      <c r="H734">
        <f t="shared" ca="1" si="105"/>
        <v>5.6394738777788472E-2</v>
      </c>
      <c r="I734">
        <f t="shared" ca="1" si="106"/>
        <v>1.1182798081827358E-2</v>
      </c>
      <c r="J734" s="5">
        <f t="shared" ca="1" si="107"/>
        <v>4.5211940695961114E-2</v>
      </c>
    </row>
    <row r="735" spans="1:10" x14ac:dyDescent="0.2">
      <c r="A735">
        <f t="shared" ca="1" si="99"/>
        <v>5.8831445812176586E-2</v>
      </c>
      <c r="B735">
        <f t="shared" ca="1" si="100"/>
        <v>-1.564658979514858</v>
      </c>
      <c r="C735">
        <f t="shared" ca="1" si="104"/>
        <v>12.863329246976107</v>
      </c>
      <c r="D735" s="21">
        <f t="shared" ca="1" si="101"/>
        <v>0.11730036703576932</v>
      </c>
      <c r="F735">
        <f t="shared" si="102"/>
        <v>0.72900000000000054</v>
      </c>
      <c r="G735">
        <f t="shared" ca="1" si="103"/>
        <v>5.9200471042311485E-2</v>
      </c>
      <c r="H735">
        <f t="shared" ca="1" si="105"/>
        <v>5.920278507913488E-2</v>
      </c>
      <c r="I735">
        <f t="shared" ca="1" si="106"/>
        <v>1.121526052603684E-2</v>
      </c>
      <c r="J735" s="5">
        <f t="shared" ca="1" si="107"/>
        <v>4.7987524553098043E-2</v>
      </c>
    </row>
    <row r="736" spans="1:10" x14ac:dyDescent="0.2">
      <c r="A736">
        <f t="shared" ca="1" si="99"/>
        <v>0.33872200849489387</v>
      </c>
      <c r="B736">
        <f t="shared" ca="1" si="100"/>
        <v>-0.41595351753021587</v>
      </c>
      <c r="C736">
        <f t="shared" ca="1" si="104"/>
        <v>12.447375729445891</v>
      </c>
      <c r="D736" s="21">
        <f t="shared" ca="1" si="101"/>
        <v>0.36588097712644085</v>
      </c>
      <c r="F736">
        <f t="shared" si="102"/>
        <v>0.73000000000000054</v>
      </c>
      <c r="G736">
        <f t="shared" ca="1" si="103"/>
        <v>5.4256912038513905E-2</v>
      </c>
      <c r="H736">
        <f t="shared" ca="1" si="105"/>
        <v>5.4258978663925275E-2</v>
      </c>
      <c r="I736">
        <f t="shared" ca="1" si="106"/>
        <v>1.1160965992859475E-2</v>
      </c>
      <c r="J736" s="5">
        <f t="shared" ca="1" si="107"/>
        <v>4.3098012671065798E-2</v>
      </c>
    </row>
    <row r="737" spans="1:10" x14ac:dyDescent="0.2">
      <c r="A737">
        <f t="shared" ca="1" si="99"/>
        <v>0.29683115774214708</v>
      </c>
      <c r="B737">
        <f t="shared" ca="1" si="100"/>
        <v>-0.53353640767819854</v>
      </c>
      <c r="C737">
        <f t="shared" ca="1" si="104"/>
        <v>11.913839321767693</v>
      </c>
      <c r="D737" s="21">
        <f t="shared" ca="1" si="101"/>
        <v>0.34601640824903829</v>
      </c>
      <c r="F737">
        <f t="shared" si="102"/>
        <v>0.73100000000000054</v>
      </c>
      <c r="G737">
        <f t="shared" ca="1" si="103"/>
        <v>5.2946191367733569E-2</v>
      </c>
      <c r="H737">
        <f t="shared" ca="1" si="105"/>
        <v>5.2948192249904623E-2</v>
      </c>
      <c r="I737">
        <f t="shared" ca="1" si="106"/>
        <v>1.1147353898160458E-2</v>
      </c>
      <c r="J737" s="5">
        <f t="shared" ca="1" si="107"/>
        <v>4.1800838351744168E-2</v>
      </c>
    </row>
    <row r="738" spans="1:10" x14ac:dyDescent="0.2">
      <c r="A738">
        <f t="shared" ca="1" si="99"/>
        <v>0.70127895462546819</v>
      </c>
      <c r="B738">
        <f t="shared" ca="1" si="100"/>
        <v>0.52808247942410236</v>
      </c>
      <c r="C738">
        <f t="shared" ca="1" si="104"/>
        <v>12.441921801191794</v>
      </c>
      <c r="D738" s="21">
        <f t="shared" ca="1" si="101"/>
        <v>0.34701957596492539</v>
      </c>
      <c r="F738">
        <f t="shared" si="102"/>
        <v>0.73200000000000054</v>
      </c>
      <c r="G738">
        <f t="shared" ca="1" si="103"/>
        <v>5.1263790606446653E-2</v>
      </c>
      <c r="H738">
        <f t="shared" ca="1" si="105"/>
        <v>5.1265707167792371E-2</v>
      </c>
      <c r="I738">
        <f t="shared" ca="1" si="106"/>
        <v>1.112961931199109E-2</v>
      </c>
      <c r="J738" s="5">
        <f t="shared" ca="1" si="107"/>
        <v>4.0136087855801278E-2</v>
      </c>
    </row>
    <row r="739" spans="1:10" x14ac:dyDescent="0.2">
      <c r="A739">
        <f t="shared" ca="1" si="99"/>
        <v>0.31049384199845387</v>
      </c>
      <c r="B739">
        <f t="shared" ca="1" si="100"/>
        <v>-0.49445102785397116</v>
      </c>
      <c r="C739">
        <f t="shared" ca="1" si="104"/>
        <v>11.947470773337823</v>
      </c>
      <c r="D739" s="21">
        <f t="shared" ca="1" si="101"/>
        <v>0.35303804816841589</v>
      </c>
      <c r="F739">
        <f t="shared" si="102"/>
        <v>0.73300000000000054</v>
      </c>
      <c r="G739">
        <f t="shared" ca="1" si="103"/>
        <v>5.2938523917429772E-2</v>
      </c>
      <c r="H739">
        <f t="shared" ca="1" si="105"/>
        <v>5.2940524024484757E-2</v>
      </c>
      <c r="I739">
        <f t="shared" ca="1" si="106"/>
        <v>1.1149279805170886E-2</v>
      </c>
      <c r="J739" s="5">
        <f t="shared" ca="1" si="107"/>
        <v>4.1791244219313871E-2</v>
      </c>
    </row>
    <row r="740" spans="1:10" x14ac:dyDescent="0.2">
      <c r="A740">
        <f t="shared" ca="1" si="99"/>
        <v>0.981756842321023</v>
      </c>
      <c r="B740">
        <f t="shared" ca="1" si="100"/>
        <v>2.0914659533175115</v>
      </c>
      <c r="C740">
        <f t="shared" ca="1" si="104"/>
        <v>14.038936726655335</v>
      </c>
      <c r="D740" s="21">
        <f t="shared" ca="1" si="101"/>
        <v>4.4777323026998786E-2</v>
      </c>
      <c r="F740">
        <f t="shared" si="102"/>
        <v>0.73400000000000054</v>
      </c>
      <c r="G740">
        <f t="shared" ca="1" si="103"/>
        <v>5.1379716566623213E-2</v>
      </c>
      <c r="H740">
        <f t="shared" ca="1" si="105"/>
        <v>5.1381638532652402E-2</v>
      </c>
      <c r="I740">
        <f t="shared" ca="1" si="106"/>
        <v>1.1132918085574563E-2</v>
      </c>
      <c r="J740" s="5">
        <f t="shared" ca="1" si="107"/>
        <v>4.0248720447077835E-2</v>
      </c>
    </row>
    <row r="741" spans="1:10" x14ac:dyDescent="0.2">
      <c r="A741">
        <f t="shared" ca="1" si="99"/>
        <v>0.46313066923376545</v>
      </c>
      <c r="B741">
        <f t="shared" ca="1" si="100"/>
        <v>-9.2549658801421686E-2</v>
      </c>
      <c r="C741">
        <f t="shared" ca="1" si="104"/>
        <v>13.946387067853912</v>
      </c>
      <c r="D741" s="21">
        <f t="shared" ca="1" si="101"/>
        <v>0.39723737586910446</v>
      </c>
      <c r="F741">
        <f t="shared" si="102"/>
        <v>0.73500000000000054</v>
      </c>
      <c r="G741">
        <f t="shared" ca="1" si="103"/>
        <v>5.7998043737027043E-2</v>
      </c>
      <c r="H741">
        <f t="shared" ca="1" si="105"/>
        <v>5.8000296429977866E-2</v>
      </c>
      <c r="I741">
        <f t="shared" ca="1" si="106"/>
        <v>1.120785765866006E-2</v>
      </c>
      <c r="J741" s="5">
        <f t="shared" ca="1" si="107"/>
        <v>4.6792438771317807E-2</v>
      </c>
    </row>
    <row r="742" spans="1:10" x14ac:dyDescent="0.2">
      <c r="A742">
        <f t="shared" ca="1" si="99"/>
        <v>0.98883887275895443</v>
      </c>
      <c r="B742">
        <f t="shared" ca="1" si="100"/>
        <v>2.2848392631385646</v>
      </c>
      <c r="C742">
        <f t="shared" ca="1" si="104"/>
        <v>16.231226330992477</v>
      </c>
      <c r="D742" s="21">
        <f t="shared" ca="1" si="101"/>
        <v>2.9328845406164841E-2</v>
      </c>
      <c r="F742">
        <f t="shared" si="102"/>
        <v>0.73600000000000054</v>
      </c>
      <c r="G742">
        <f t="shared" ca="1" si="103"/>
        <v>5.7709590636942844E-2</v>
      </c>
      <c r="H742">
        <f t="shared" ca="1" si="105"/>
        <v>5.7711828681850923E-2</v>
      </c>
      <c r="I742">
        <f t="shared" ca="1" si="106"/>
        <v>1.1205642445952815E-2</v>
      </c>
      <c r="J742" s="5">
        <f t="shared" ca="1" si="107"/>
        <v>4.6506186235898112E-2</v>
      </c>
    </row>
    <row r="743" spans="1:10" x14ac:dyDescent="0.2">
      <c r="A743">
        <f t="shared" ca="1" si="99"/>
        <v>0.47948677947132368</v>
      </c>
      <c r="B743">
        <f t="shared" ca="1" si="100"/>
        <v>-5.1441697494998245E-2</v>
      </c>
      <c r="C743">
        <f t="shared" ca="1" si="104"/>
        <v>16.17978463349748</v>
      </c>
      <c r="D743" s="21">
        <f t="shared" ca="1" si="101"/>
        <v>0.39841477929918512</v>
      </c>
      <c r="F743">
        <f t="shared" si="102"/>
        <v>0.73700000000000054</v>
      </c>
      <c r="G743">
        <f t="shared" ca="1" si="103"/>
        <v>6.4938754375576904E-2</v>
      </c>
      <c r="H743">
        <f t="shared" ca="1" si="105"/>
        <v>6.4941353657881395E-2</v>
      </c>
      <c r="I743">
        <f t="shared" ca="1" si="106"/>
        <v>1.1287972038159197E-2</v>
      </c>
      <c r="J743" s="5">
        <f t="shared" ca="1" si="107"/>
        <v>5.3653381619722197E-2</v>
      </c>
    </row>
    <row r="744" spans="1:10" x14ac:dyDescent="0.2">
      <c r="A744">
        <f t="shared" ca="1" si="99"/>
        <v>0.73458858362916946</v>
      </c>
      <c r="B744">
        <f t="shared" ca="1" si="100"/>
        <v>0.62675044301669358</v>
      </c>
      <c r="C744">
        <f t="shared" ca="1" si="104"/>
        <v>16.806535076514173</v>
      </c>
      <c r="D744" s="21">
        <f t="shared" ca="1" si="101"/>
        <v>0.32780164574269105</v>
      </c>
      <c r="F744">
        <f t="shared" si="102"/>
        <v>0.73800000000000054</v>
      </c>
      <c r="G744">
        <f t="shared" ca="1" si="103"/>
        <v>6.4779595527357042E-2</v>
      </c>
      <c r="H744">
        <f t="shared" ca="1" si="105"/>
        <v>6.4782186591726035E-2</v>
      </c>
      <c r="I744">
        <f t="shared" ca="1" si="106"/>
        <v>1.1287208173855463E-2</v>
      </c>
      <c r="J744" s="5">
        <f t="shared" ca="1" si="107"/>
        <v>5.349497841787057E-2</v>
      </c>
    </row>
    <row r="745" spans="1:10" x14ac:dyDescent="0.2">
      <c r="A745">
        <f t="shared" ca="1" si="99"/>
        <v>0.89766638884459082</v>
      </c>
      <c r="B745">
        <f t="shared" ca="1" si="100"/>
        <v>1.2683661548291549</v>
      </c>
      <c r="C745">
        <f t="shared" ca="1" si="104"/>
        <v>18.074901231343329</v>
      </c>
      <c r="D745" s="21">
        <f t="shared" ca="1" si="101"/>
        <v>0.17847354704645271</v>
      </c>
      <c r="F745">
        <f t="shared" si="102"/>
        <v>0.73900000000000055</v>
      </c>
      <c r="G745">
        <f t="shared" ca="1" si="103"/>
        <v>6.6764977222343161E-2</v>
      </c>
      <c r="H745">
        <f t="shared" ca="1" si="105"/>
        <v>6.6767667297519193E-2</v>
      </c>
      <c r="I745">
        <f t="shared" ca="1" si="106"/>
        <v>1.1310675603612069E-2</v>
      </c>
      <c r="J745" s="5">
        <f t="shared" ca="1" si="107"/>
        <v>5.5456991693907123E-2</v>
      </c>
    </row>
    <row r="746" spans="1:10" x14ac:dyDescent="0.2">
      <c r="A746">
        <f t="shared" ca="1" si="99"/>
        <v>0.3256579922660684</v>
      </c>
      <c r="B746">
        <f t="shared" ca="1" si="100"/>
        <v>-0.45193475687289042</v>
      </c>
      <c r="C746">
        <f t="shared" ca="1" si="104"/>
        <v>17.622966474470438</v>
      </c>
      <c r="D746" s="21">
        <f t="shared" ca="1" si="101"/>
        <v>0.36021253546654364</v>
      </c>
      <c r="F746">
        <f t="shared" si="102"/>
        <v>0.74000000000000055</v>
      </c>
      <c r="G746">
        <f t="shared" ca="1" si="103"/>
        <v>7.0779025976839161E-2</v>
      </c>
      <c r="H746">
        <f t="shared" ca="1" si="105"/>
        <v>7.0781916487119345E-2</v>
      </c>
      <c r="I746">
        <f t="shared" ca="1" si="106"/>
        <v>1.1357211872014623E-2</v>
      </c>
      <c r="J746" s="5">
        <f t="shared" ca="1" si="107"/>
        <v>5.9424704615104726E-2</v>
      </c>
    </row>
    <row r="747" spans="1:10" x14ac:dyDescent="0.2">
      <c r="A747">
        <f t="shared" ca="1" si="99"/>
        <v>0.6429585123504975</v>
      </c>
      <c r="B747">
        <f t="shared" ca="1" si="100"/>
        <v>0.36637807823631263</v>
      </c>
      <c r="C747">
        <f t="shared" ca="1" si="104"/>
        <v>17.989344552706751</v>
      </c>
      <c r="D747" s="21">
        <f t="shared" ca="1" si="101"/>
        <v>0.37304546327471894</v>
      </c>
      <c r="F747">
        <f t="shared" si="102"/>
        <v>0.74100000000000055</v>
      </c>
      <c r="G747">
        <f t="shared" ca="1" si="103"/>
        <v>6.9352876196810728E-2</v>
      </c>
      <c r="H747">
        <f t="shared" ca="1" si="105"/>
        <v>6.9355695109957871E-2</v>
      </c>
      <c r="I747">
        <f t="shared" ca="1" si="106"/>
        <v>1.1342069828262386E-2</v>
      </c>
      <c r="J747" s="5">
        <f t="shared" ca="1" si="107"/>
        <v>5.8013625281695486E-2</v>
      </c>
    </row>
    <row r="748" spans="1:10" x14ac:dyDescent="0.2">
      <c r="A748">
        <f t="shared" ca="1" si="99"/>
        <v>0.10278355193364952</v>
      </c>
      <c r="B748">
        <f t="shared" ca="1" si="100"/>
        <v>-1.2658491240375909</v>
      </c>
      <c r="C748">
        <f t="shared" ca="1" si="104"/>
        <v>16.72349542866916</v>
      </c>
      <c r="D748" s="21">
        <f t="shared" ca="1" si="101"/>
        <v>0.17904367014285477</v>
      </c>
      <c r="F748">
        <f t="shared" si="102"/>
        <v>0.74200000000000055</v>
      </c>
      <c r="G748">
        <f t="shared" ca="1" si="103"/>
        <v>7.051447204089567E-2</v>
      </c>
      <c r="H748">
        <f t="shared" ca="1" si="105"/>
        <v>7.0517348752428988E-2</v>
      </c>
      <c r="I748">
        <f t="shared" ca="1" si="106"/>
        <v>1.1356297040317263E-2</v>
      </c>
      <c r="J748" s="5">
        <f t="shared" ca="1" si="107"/>
        <v>5.9161051712111723E-2</v>
      </c>
    </row>
    <row r="749" spans="1:10" x14ac:dyDescent="0.2">
      <c r="A749">
        <f t="shared" ca="1" si="99"/>
        <v>0.81022776372098582</v>
      </c>
      <c r="B749">
        <f t="shared" ca="1" si="100"/>
        <v>0.87873592975158155</v>
      </c>
      <c r="C749">
        <f t="shared" ca="1" si="104"/>
        <v>17.602231358420742</v>
      </c>
      <c r="D749" s="21">
        <f t="shared" ca="1" si="101"/>
        <v>0.27116522695670747</v>
      </c>
      <c r="F749">
        <f t="shared" si="102"/>
        <v>0.74300000000000055</v>
      </c>
      <c r="G749">
        <f t="shared" ca="1" si="103"/>
        <v>6.6514654180162225E-2</v>
      </c>
      <c r="H749">
        <f t="shared" ca="1" si="105"/>
        <v>6.6517330611465961E-2</v>
      </c>
      <c r="I749">
        <f t="shared" ca="1" si="106"/>
        <v>1.131200361796093E-2</v>
      </c>
      <c r="J749" s="5">
        <f t="shared" ca="1" si="107"/>
        <v>5.5205326993505027E-2</v>
      </c>
    </row>
    <row r="750" spans="1:10" x14ac:dyDescent="0.2">
      <c r="A750">
        <f t="shared" ca="1" si="99"/>
        <v>0.12211480032506195</v>
      </c>
      <c r="B750">
        <f t="shared" ca="1" si="100"/>
        <v>-1.1644798596947792</v>
      </c>
      <c r="C750">
        <f t="shared" ca="1" si="104"/>
        <v>16.437751498725962</v>
      </c>
      <c r="D750" s="21">
        <f t="shared" ca="1" si="101"/>
        <v>0.20251421345002737</v>
      </c>
      <c r="F750">
        <f t="shared" si="102"/>
        <v>0.74400000000000055</v>
      </c>
      <c r="G750">
        <f t="shared" ca="1" si="103"/>
        <v>6.9296670612602709E-2</v>
      </c>
      <c r="H750">
        <f t="shared" ca="1" si="105"/>
        <v>6.929948587824554E-2</v>
      </c>
      <c r="I750">
        <f t="shared" ca="1" si="106"/>
        <v>1.1344558889518562E-2</v>
      </c>
      <c r="J750" s="5">
        <f t="shared" ca="1" si="107"/>
        <v>5.7954926988726979E-2</v>
      </c>
    </row>
    <row r="751" spans="1:10" x14ac:dyDescent="0.2">
      <c r="A751">
        <f t="shared" ca="1" si="99"/>
        <v>0.72530896878445461</v>
      </c>
      <c r="B751">
        <f t="shared" ca="1" si="100"/>
        <v>0.59868634839519363</v>
      </c>
      <c r="C751">
        <f t="shared" ca="1" si="104"/>
        <v>17.036437847121157</v>
      </c>
      <c r="D751" s="21">
        <f t="shared" ca="1" si="101"/>
        <v>0.33348706330047589</v>
      </c>
      <c r="F751">
        <f t="shared" si="102"/>
        <v>0.74500000000000055</v>
      </c>
      <c r="G751">
        <f t="shared" ca="1" si="103"/>
        <v>6.5617516258762054E-2</v>
      </c>
      <c r="H751">
        <f t="shared" ca="1" si="105"/>
        <v>6.5620147283628902E-2</v>
      </c>
      <c r="I751">
        <f t="shared" ca="1" si="106"/>
        <v>1.130393423306307E-2</v>
      </c>
      <c r="J751" s="5">
        <f t="shared" ca="1" si="107"/>
        <v>5.4316213050565831E-2</v>
      </c>
    </row>
    <row r="752" spans="1:10" x14ac:dyDescent="0.2">
      <c r="A752">
        <f t="shared" ca="1" si="99"/>
        <v>0.13247772818376946</v>
      </c>
      <c r="B752">
        <f t="shared" ca="1" si="100"/>
        <v>-1.1147549266765717</v>
      </c>
      <c r="C752">
        <f t="shared" ca="1" si="104"/>
        <v>15.921682920444585</v>
      </c>
      <c r="D752" s="21">
        <f t="shared" ca="1" si="101"/>
        <v>0.21432155323973465</v>
      </c>
      <c r="F752">
        <f t="shared" si="102"/>
        <v>0.74600000000000055</v>
      </c>
      <c r="G752">
        <f t="shared" ca="1" si="103"/>
        <v>6.751407214352817E-2</v>
      </c>
      <c r="H752">
        <f t="shared" ca="1" si="105"/>
        <v>6.7516797733878448E-2</v>
      </c>
      <c r="I752">
        <f t="shared" ca="1" si="106"/>
        <v>1.1326431212985631E-2</v>
      </c>
      <c r="J752" s="5">
        <f t="shared" ca="1" si="107"/>
        <v>5.619036652089282E-2</v>
      </c>
    </row>
    <row r="753" spans="1:10" x14ac:dyDescent="0.2">
      <c r="A753">
        <f t="shared" ca="1" si="99"/>
        <v>0.97162843593505288</v>
      </c>
      <c r="B753">
        <f t="shared" ca="1" si="100"/>
        <v>1.9052842772810903</v>
      </c>
      <c r="C753">
        <f t="shared" ca="1" si="104"/>
        <v>17.826967197725676</v>
      </c>
      <c r="D753" s="21">
        <f t="shared" ca="1" si="101"/>
        <v>6.4959412848492284E-2</v>
      </c>
      <c r="F753">
        <f t="shared" si="102"/>
        <v>0.74700000000000055</v>
      </c>
      <c r="G753">
        <f t="shared" ca="1" si="103"/>
        <v>6.3992332223583914E-2</v>
      </c>
      <c r="H753">
        <f t="shared" ca="1" si="105"/>
        <v>6.3994881452913085E-2</v>
      </c>
      <c r="I753">
        <f t="shared" ca="1" si="106"/>
        <v>1.1287646247018416E-2</v>
      </c>
      <c r="J753" s="5">
        <f t="shared" ca="1" si="107"/>
        <v>5.2707235205894667E-2</v>
      </c>
    </row>
    <row r="754" spans="1:10" x14ac:dyDescent="0.2">
      <c r="A754">
        <f t="shared" ca="1" si="99"/>
        <v>0.34443822178351724</v>
      </c>
      <c r="B754">
        <f t="shared" ca="1" si="100"/>
        <v>-0.40038028405025244</v>
      </c>
      <c r="C754">
        <f t="shared" ca="1" si="104"/>
        <v>17.426586913675422</v>
      </c>
      <c r="D754" s="21">
        <f t="shared" ca="1" si="101"/>
        <v>0.36821409903469132</v>
      </c>
      <c r="F754">
        <f t="shared" si="102"/>
        <v>0.74800000000000055</v>
      </c>
      <c r="G754">
        <f t="shared" ca="1" si="103"/>
        <v>7.0020669477301553E-2</v>
      </c>
      <c r="H754">
        <f t="shared" ca="1" si="105"/>
        <v>7.0023519871083836E-2</v>
      </c>
      <c r="I754">
        <f t="shared" ca="1" si="106"/>
        <v>1.1356938890446717E-2</v>
      </c>
      <c r="J754" s="5">
        <f t="shared" ca="1" si="107"/>
        <v>5.8666580980637123E-2</v>
      </c>
    </row>
    <row r="755" spans="1:10" x14ac:dyDescent="0.2">
      <c r="A755">
        <f t="shared" ca="1" si="99"/>
        <v>0.46926293072337011</v>
      </c>
      <c r="B755">
        <f t="shared" ca="1" si="100"/>
        <v>-7.7122792197081375E-2</v>
      </c>
      <c r="C755">
        <f t="shared" ca="1" si="104"/>
        <v>17.349464121478341</v>
      </c>
      <c r="D755" s="21">
        <f t="shared" ca="1" si="101"/>
        <v>0.39775760347019801</v>
      </c>
      <c r="F755">
        <f t="shared" si="102"/>
        <v>0.74900000000000055</v>
      </c>
      <c r="G755">
        <f t="shared" ca="1" si="103"/>
        <v>6.8757616935681956E-2</v>
      </c>
      <c r="H755">
        <f t="shared" ca="1" si="105"/>
        <v>6.8760403891272748E-2</v>
      </c>
      <c r="I755">
        <f t="shared" ca="1" si="106"/>
        <v>1.1343646409563733E-2</v>
      </c>
      <c r="J755" s="5">
        <f t="shared" ca="1" si="107"/>
        <v>5.7416757481709019E-2</v>
      </c>
    </row>
    <row r="756" spans="1:10" x14ac:dyDescent="0.2">
      <c r="A756">
        <f t="shared" ca="1" si="99"/>
        <v>0.14334046155488844</v>
      </c>
      <c r="B756">
        <f t="shared" ca="1" si="100"/>
        <v>-1.0654310254013528</v>
      </c>
      <c r="C756">
        <f t="shared" ca="1" si="104"/>
        <v>16.284033096076989</v>
      </c>
      <c r="D756" s="21">
        <f t="shared" ca="1" si="101"/>
        <v>0.226160542207544</v>
      </c>
      <c r="F756">
        <f t="shared" si="102"/>
        <v>0.75000000000000056</v>
      </c>
      <c r="G756">
        <f t="shared" ca="1" si="103"/>
        <v>6.8516869528603114E-2</v>
      </c>
      <c r="H756">
        <f t="shared" ca="1" si="105"/>
        <v>6.8519644168028984E-2</v>
      </c>
      <c r="I756">
        <f t="shared" ca="1" si="106"/>
        <v>1.1341957651426661E-2</v>
      </c>
      <c r="J756" s="5">
        <f t="shared" ca="1" si="107"/>
        <v>5.7177686516602322E-2</v>
      </c>
    </row>
    <row r="757" spans="1:10" x14ac:dyDescent="0.2">
      <c r="A757">
        <f t="shared" ca="1" si="99"/>
        <v>0.48819537394475132</v>
      </c>
      <c r="B757">
        <f t="shared" ca="1" si="100"/>
        <v>-2.9594128691829598E-2</v>
      </c>
      <c r="C757">
        <f t="shared" ca="1" si="104"/>
        <v>16.254438967385159</v>
      </c>
      <c r="D757" s="21">
        <f t="shared" ca="1" si="101"/>
        <v>0.39876761933819976</v>
      </c>
      <c r="F757">
        <f t="shared" si="102"/>
        <v>0.75100000000000056</v>
      </c>
      <c r="G757">
        <f t="shared" ca="1" si="103"/>
        <v>6.5150997406580521E-2</v>
      </c>
      <c r="H757">
        <f t="shared" ca="1" si="105"/>
        <v>6.5153603473535188E-2</v>
      </c>
      <c r="I757">
        <f t="shared" ca="1" si="106"/>
        <v>1.1304882669872011E-2</v>
      </c>
      <c r="J757" s="5">
        <f t="shared" ca="1" si="107"/>
        <v>5.384872080366318E-2</v>
      </c>
    </row>
    <row r="758" spans="1:10" x14ac:dyDescent="0.2">
      <c r="A758">
        <f t="shared" ca="1" si="99"/>
        <v>0.54746161188438014</v>
      </c>
      <c r="B758">
        <f t="shared" ca="1" si="100"/>
        <v>0.11925065476545453</v>
      </c>
      <c r="C758">
        <f t="shared" ca="1" si="104"/>
        <v>16.373689622150614</v>
      </c>
      <c r="D758" s="21">
        <f t="shared" ca="1" si="101"/>
        <v>0.39611571828020981</v>
      </c>
      <c r="F758">
        <f t="shared" si="102"/>
        <v>0.75200000000000056</v>
      </c>
      <c r="G758">
        <f t="shared" ca="1" si="103"/>
        <v>6.5060901959613976E-2</v>
      </c>
      <c r="H758">
        <f t="shared" ca="1" si="105"/>
        <v>6.506350326115351E-2</v>
      </c>
      <c r="I758">
        <f t="shared" ca="1" si="106"/>
        <v>1.1304898667965042E-2</v>
      </c>
      <c r="J758" s="5">
        <f t="shared" ca="1" si="107"/>
        <v>5.3758604593188472E-2</v>
      </c>
    </row>
    <row r="759" spans="1:10" x14ac:dyDescent="0.2">
      <c r="A759">
        <f t="shared" ca="1" si="99"/>
        <v>0.85555398769155333</v>
      </c>
      <c r="B759">
        <f t="shared" ca="1" si="100"/>
        <v>1.0605553468165232</v>
      </c>
      <c r="C759">
        <f t="shared" ca="1" si="104"/>
        <v>17.434244968967139</v>
      </c>
      <c r="D759" s="21">
        <f t="shared" ca="1" si="101"/>
        <v>0.22733573279739616</v>
      </c>
      <c r="F759">
        <f t="shared" si="102"/>
        <v>0.75300000000000056</v>
      </c>
      <c r="G759">
        <f t="shared" ca="1" si="103"/>
        <v>6.5441480521855111E-2</v>
      </c>
      <c r="H759">
        <f t="shared" ca="1" si="105"/>
        <v>6.5444100592352644E-2</v>
      </c>
      <c r="I759">
        <f t="shared" ca="1" si="106"/>
        <v>1.1310237012272307E-2</v>
      </c>
      <c r="J759" s="5">
        <f t="shared" ca="1" si="107"/>
        <v>5.4133863580080335E-2</v>
      </c>
    </row>
    <row r="760" spans="1:10" x14ac:dyDescent="0.2">
      <c r="A760">
        <f t="shared" ca="1" si="99"/>
        <v>4.9923561869364641E-2</v>
      </c>
      <c r="B760">
        <f t="shared" ca="1" si="100"/>
        <v>-1.6455952209045948</v>
      </c>
      <c r="C760">
        <f t="shared" ca="1" si="104"/>
        <v>15.788649748062545</v>
      </c>
      <c r="D760" s="21">
        <f t="shared" ca="1" si="101"/>
        <v>0.10300988250169418</v>
      </c>
      <c r="F760">
        <f t="shared" si="102"/>
        <v>0.75400000000000056</v>
      </c>
      <c r="G760">
        <f t="shared" ca="1" si="103"/>
        <v>6.8798539000088796E-2</v>
      </c>
      <c r="H760">
        <f t="shared" ca="1" si="105"/>
        <v>6.8801326662903423E-2</v>
      </c>
      <c r="I760">
        <f t="shared" ca="1" si="106"/>
        <v>1.1349310763279807E-2</v>
      </c>
      <c r="J760" s="5">
        <f t="shared" ca="1" si="107"/>
        <v>5.7452015899623614E-2</v>
      </c>
    </row>
    <row r="761" spans="1:10" x14ac:dyDescent="0.2">
      <c r="A761">
        <f t="shared" ca="1" si="99"/>
        <v>0.28313656445162994</v>
      </c>
      <c r="B761">
        <f t="shared" ca="1" si="100"/>
        <v>-0.57354885657676835</v>
      </c>
      <c r="C761">
        <f t="shared" ca="1" si="104"/>
        <v>15.215100891485775</v>
      </c>
      <c r="D761" s="21">
        <f t="shared" ca="1" si="101"/>
        <v>0.33843687833890623</v>
      </c>
      <c r="F761">
        <f t="shared" si="102"/>
        <v>0.75500000000000056</v>
      </c>
      <c r="G761">
        <f t="shared" ca="1" si="103"/>
        <v>6.3598090166049642E-2</v>
      </c>
      <c r="H761">
        <f t="shared" ca="1" si="105"/>
        <v>6.3600617525490691E-2</v>
      </c>
      <c r="I761">
        <f t="shared" ca="1" si="106"/>
        <v>1.1291476932633384E-2</v>
      </c>
      <c r="J761" s="5">
        <f t="shared" ca="1" si="107"/>
        <v>5.2309140592857309E-2</v>
      </c>
    </row>
    <row r="762" spans="1:10" x14ac:dyDescent="0.2">
      <c r="A762">
        <f t="shared" ca="1" si="99"/>
        <v>0.42305389352685874</v>
      </c>
      <c r="B762">
        <f t="shared" ca="1" si="100"/>
        <v>-0.19408696618523932</v>
      </c>
      <c r="C762">
        <f t="shared" ca="1" si="104"/>
        <v>15.021013925300537</v>
      </c>
      <c r="D762" s="21">
        <f t="shared" ca="1" si="101"/>
        <v>0.3914985730340817</v>
      </c>
      <c r="F762">
        <f t="shared" si="102"/>
        <v>0.75600000000000056</v>
      </c>
      <c r="G762">
        <f t="shared" ca="1" si="103"/>
        <v>6.1788100121120113E-2</v>
      </c>
      <c r="H762">
        <f t="shared" ca="1" si="105"/>
        <v>6.179053672757031E-2</v>
      </c>
      <c r="I762">
        <f t="shared" ca="1" si="106"/>
        <v>1.1272086705053645E-2</v>
      </c>
      <c r="J762" s="5">
        <f t="shared" ca="1" si="107"/>
        <v>5.0518450022516662E-2</v>
      </c>
    </row>
    <row r="763" spans="1:10" x14ac:dyDescent="0.2">
      <c r="A763">
        <f t="shared" ca="1" si="99"/>
        <v>0.91122326882602311</v>
      </c>
      <c r="B763">
        <f t="shared" ca="1" si="100"/>
        <v>1.348326282603318</v>
      </c>
      <c r="C763">
        <f t="shared" ca="1" si="104"/>
        <v>16.369340207903853</v>
      </c>
      <c r="D763" s="21">
        <f t="shared" ca="1" si="101"/>
        <v>0.16074590100446876</v>
      </c>
      <c r="F763">
        <f t="shared" si="102"/>
        <v>0.75700000000000056</v>
      </c>
      <c r="G763">
        <f t="shared" ca="1" si="103"/>
        <v>6.1178194929322693E-2</v>
      </c>
      <c r="H763">
        <f t="shared" ca="1" si="105"/>
        <v>6.1180600796600114E-2</v>
      </c>
      <c r="I763">
        <f t="shared" ca="1" si="106"/>
        <v>1.1266240748999958E-2</v>
      </c>
      <c r="J763" s="5">
        <f t="shared" ca="1" si="107"/>
        <v>4.9914360047600158E-2</v>
      </c>
    </row>
    <row r="764" spans="1:10" x14ac:dyDescent="0.2">
      <c r="A764">
        <f t="shared" ca="1" si="99"/>
        <v>0.90145206891141871</v>
      </c>
      <c r="B764">
        <f t="shared" ca="1" si="100"/>
        <v>1.2898698165404909</v>
      </c>
      <c r="C764">
        <f t="shared" ca="1" si="104"/>
        <v>17.659210024444345</v>
      </c>
      <c r="D764" s="21">
        <f t="shared" ca="1" si="101"/>
        <v>0.17363140217388121</v>
      </c>
      <c r="F764">
        <f t="shared" si="102"/>
        <v>0.75800000000000056</v>
      </c>
      <c r="G764">
        <f t="shared" ca="1" si="103"/>
        <v>6.5445645817599943E-2</v>
      </c>
      <c r="H764">
        <f t="shared" ca="1" si="105"/>
        <v>6.5448264818614807E-2</v>
      </c>
      <c r="I764">
        <f t="shared" ca="1" si="106"/>
        <v>1.1315455016524608E-2</v>
      </c>
      <c r="J764" s="5">
        <f t="shared" ca="1" si="107"/>
        <v>5.4132809802090197E-2</v>
      </c>
    </row>
    <row r="765" spans="1:10" x14ac:dyDescent="0.2">
      <c r="A765">
        <f t="shared" ca="1" si="99"/>
        <v>0.86169926202010239</v>
      </c>
      <c r="B765">
        <f t="shared" ca="1" si="100"/>
        <v>1.087985574350903</v>
      </c>
      <c r="C765">
        <f t="shared" ca="1" si="104"/>
        <v>18.747195598795248</v>
      </c>
      <c r="D765" s="21">
        <f t="shared" ca="1" si="101"/>
        <v>0.22073446003299868</v>
      </c>
      <c r="F765">
        <f t="shared" si="102"/>
        <v>0.75900000000000056</v>
      </c>
      <c r="G765">
        <f t="shared" ca="1" si="103"/>
        <v>6.9527823647795764E-2</v>
      </c>
      <c r="H765">
        <f t="shared" ca="1" si="105"/>
        <v>6.9530646497504428E-2</v>
      </c>
      <c r="I765">
        <f t="shared" ca="1" si="106"/>
        <v>1.1362783598437813E-2</v>
      </c>
      <c r="J765" s="5">
        <f t="shared" ca="1" si="107"/>
        <v>5.8167862899066614E-2</v>
      </c>
    </row>
    <row r="766" spans="1:10" x14ac:dyDescent="0.2">
      <c r="A766">
        <f t="shared" ca="1" si="99"/>
        <v>0.51204853503122105</v>
      </c>
      <c r="B766">
        <f t="shared" ca="1" si="100"/>
        <v>3.0205791191323744E-2</v>
      </c>
      <c r="C766">
        <f t="shared" ca="1" si="104"/>
        <v>18.777401389986572</v>
      </c>
      <c r="D766" s="21">
        <f t="shared" ca="1" si="101"/>
        <v>0.39876032646981618</v>
      </c>
      <c r="F766">
        <f t="shared" si="102"/>
        <v>0.76000000000000056</v>
      </c>
      <c r="G766">
        <f t="shared" ca="1" si="103"/>
        <v>7.2971211170974104E-2</v>
      </c>
      <c r="H766">
        <f t="shared" ca="1" si="105"/>
        <v>7.2974205909209999E-2</v>
      </c>
      <c r="I766">
        <f t="shared" ca="1" si="106"/>
        <v>1.1403027961920118E-2</v>
      </c>
      <c r="J766" s="5">
        <f t="shared" ca="1" si="107"/>
        <v>6.1571177947289883E-2</v>
      </c>
    </row>
    <row r="767" spans="1:10" x14ac:dyDescent="0.2">
      <c r="A767">
        <f t="shared" ca="1" si="99"/>
        <v>0.15322957469247489</v>
      </c>
      <c r="B767">
        <f t="shared" ca="1" si="100"/>
        <v>-1.0226800449803697</v>
      </c>
      <c r="C767">
        <f t="shared" ca="1" si="104"/>
        <v>17.754721345006203</v>
      </c>
      <c r="D767" s="21">
        <f t="shared" ca="1" si="101"/>
        <v>0.23648375316061107</v>
      </c>
      <c r="F767">
        <f t="shared" si="102"/>
        <v>0.76100000000000056</v>
      </c>
      <c r="G767">
        <f t="shared" ca="1" si="103"/>
        <v>7.3069428237653652E-2</v>
      </c>
      <c r="H767">
        <f t="shared" ca="1" si="105"/>
        <v>7.3072427587311112E-2</v>
      </c>
      <c r="I767">
        <f t="shared" ca="1" si="106"/>
        <v>1.1405200663493785E-2</v>
      </c>
      <c r="J767" s="5">
        <f t="shared" ca="1" si="107"/>
        <v>6.1667226923817327E-2</v>
      </c>
    </row>
    <row r="768" spans="1:10" x14ac:dyDescent="0.2">
      <c r="A768">
        <f t="shared" ca="1" si="99"/>
        <v>0.74841351654869259</v>
      </c>
      <c r="B768">
        <f t="shared" ca="1" si="100"/>
        <v>0.66950566705927206</v>
      </c>
      <c r="C768">
        <f t="shared" ca="1" si="104"/>
        <v>18.424227012065476</v>
      </c>
      <c r="D768" s="21">
        <f t="shared" ca="1" si="101"/>
        <v>0.31884268372121266</v>
      </c>
      <c r="F768">
        <f t="shared" si="102"/>
        <v>0.76200000000000057</v>
      </c>
      <c r="G768">
        <f t="shared" ca="1" si="103"/>
        <v>6.9838284593615879E-2</v>
      </c>
      <c r="H768">
        <f t="shared" ca="1" si="105"/>
        <v>6.9841122084810969E-2</v>
      </c>
      <c r="I768">
        <f t="shared" ca="1" si="106"/>
        <v>1.1369455889201583E-2</v>
      </c>
      <c r="J768" s="5">
        <f t="shared" ca="1" si="107"/>
        <v>5.8471666195609388E-2</v>
      </c>
    </row>
    <row r="769" spans="1:10" x14ac:dyDescent="0.2">
      <c r="A769">
        <f t="shared" ca="1" si="99"/>
        <v>0.95964998699632809</v>
      </c>
      <c r="B769">
        <f t="shared" ca="1" si="100"/>
        <v>1.746638721660001</v>
      </c>
      <c r="C769">
        <f t="shared" ca="1" si="104"/>
        <v>20.170865733725478</v>
      </c>
      <c r="D769" s="21">
        <f t="shared" ca="1" si="101"/>
        <v>8.6785827768266696E-2</v>
      </c>
      <c r="F769">
        <f t="shared" si="102"/>
        <v>0.76300000000000057</v>
      </c>
      <c r="G769">
        <f t="shared" ca="1" si="103"/>
        <v>7.1958357574920473E-2</v>
      </c>
      <c r="H769">
        <f t="shared" ca="1" si="105"/>
        <v>7.1961300786900148E-2</v>
      </c>
      <c r="I769">
        <f t="shared" ca="1" si="106"/>
        <v>1.1394634816413613E-2</v>
      </c>
      <c r="J769" s="5">
        <f t="shared" ca="1" si="107"/>
        <v>6.0566665970486537E-2</v>
      </c>
    </row>
    <row r="770" spans="1:10" x14ac:dyDescent="0.2">
      <c r="A770">
        <f t="shared" ca="1" si="99"/>
        <v>0.29242151603862543</v>
      </c>
      <c r="B770">
        <f t="shared" ca="1" si="100"/>
        <v>-0.54632430491422557</v>
      </c>
      <c r="C770">
        <f t="shared" ca="1" si="104"/>
        <v>19.624541428811252</v>
      </c>
      <c r="D770" s="21">
        <f t="shared" ca="1" si="101"/>
        <v>0.34363554127848395</v>
      </c>
      <c r="F770">
        <f t="shared" si="102"/>
        <v>0.76400000000000057</v>
      </c>
      <c r="G770">
        <f t="shared" ca="1" si="103"/>
        <v>7.7484242052525909E-2</v>
      </c>
      <c r="H770">
        <f t="shared" ca="1" si="105"/>
        <v>7.7487461266711938E-2</v>
      </c>
      <c r="I770">
        <f t="shared" ca="1" si="106"/>
        <v>1.1458834116657334E-2</v>
      </c>
      <c r="J770" s="5">
        <f t="shared" ca="1" si="107"/>
        <v>6.60286271500546E-2</v>
      </c>
    </row>
    <row r="771" spans="1:10" x14ac:dyDescent="0.2">
      <c r="A771">
        <f t="shared" ca="1" si="99"/>
        <v>0.30772999955470115</v>
      </c>
      <c r="B771">
        <f t="shared" ca="1" si="100"/>
        <v>-0.5022950379968153</v>
      </c>
      <c r="C771">
        <f t="shared" ca="1" si="104"/>
        <v>19.122246390814436</v>
      </c>
      <c r="D771" s="21">
        <f t="shared" ca="1" si="101"/>
        <v>0.35166063068975023</v>
      </c>
      <c r="F771">
        <f t="shared" si="102"/>
        <v>0.76500000000000057</v>
      </c>
      <c r="G771">
        <f t="shared" ca="1" si="103"/>
        <v>7.5758950748966505E-2</v>
      </c>
      <c r="H771">
        <f t="shared" ca="1" si="105"/>
        <v>7.5762083375948003E-2</v>
      </c>
      <c r="I771">
        <f t="shared" ca="1" si="106"/>
        <v>1.144014135344202E-2</v>
      </c>
      <c r="J771" s="5">
        <f t="shared" ca="1" si="107"/>
        <v>6.432194202250599E-2</v>
      </c>
    </row>
    <row r="772" spans="1:10" x14ac:dyDescent="0.2">
      <c r="A772">
        <f t="shared" ca="1" si="99"/>
        <v>0.22362256151813742</v>
      </c>
      <c r="B772">
        <f t="shared" ca="1" si="100"/>
        <v>-0.76001582932324319</v>
      </c>
      <c r="C772">
        <f t="shared" ca="1" si="104"/>
        <v>18.362230561491192</v>
      </c>
      <c r="D772" s="21">
        <f t="shared" ca="1" si="101"/>
        <v>0.29886881023971801</v>
      </c>
      <c r="F772">
        <f t="shared" si="102"/>
        <v>0.76600000000000057</v>
      </c>
      <c r="G772">
        <f t="shared" ca="1" si="103"/>
        <v>7.41730577717295E-2</v>
      </c>
      <c r="H772">
        <f t="shared" ca="1" si="105"/>
        <v>7.4176110790139652E-2</v>
      </c>
      <c r="I772">
        <f t="shared" ca="1" si="106"/>
        <v>1.1423069438527842E-2</v>
      </c>
      <c r="J772" s="5">
        <f t="shared" ca="1" si="107"/>
        <v>6.2753041351611805E-2</v>
      </c>
    </row>
    <row r="773" spans="1:10" x14ac:dyDescent="0.2">
      <c r="A773">
        <f t="shared" ca="1" si="99"/>
        <v>0.31453176437638142</v>
      </c>
      <c r="B773">
        <f t="shared" ca="1" si="100"/>
        <v>-0.48304536065844844</v>
      </c>
      <c r="C773">
        <f t="shared" ca="1" si="104"/>
        <v>17.879185200832744</v>
      </c>
      <c r="D773" s="21">
        <f t="shared" ca="1" si="101"/>
        <v>0.35501155404472268</v>
      </c>
      <c r="F773">
        <f t="shared" si="102"/>
        <v>0.76700000000000057</v>
      </c>
      <c r="G773">
        <f t="shared" ca="1" si="103"/>
        <v>7.1772379422425786E-2</v>
      </c>
      <c r="H773">
        <f t="shared" ca="1" si="105"/>
        <v>7.1775312100617397E-2</v>
      </c>
      <c r="I773">
        <f t="shared" ca="1" si="106"/>
        <v>1.139673105238991E-2</v>
      </c>
      <c r="J773" s="5">
        <f t="shared" ca="1" si="107"/>
        <v>6.0378581048227485E-2</v>
      </c>
    </row>
    <row r="774" spans="1:10" x14ac:dyDescent="0.2">
      <c r="A774">
        <f t="shared" ca="1" si="99"/>
        <v>6.3791550942743358E-3</v>
      </c>
      <c r="B774">
        <f t="shared" ca="1" si="100"/>
        <v>-2.4904453869238461</v>
      </c>
      <c r="C774">
        <f t="shared" ca="1" si="104"/>
        <v>15.388739813908899</v>
      </c>
      <c r="D774" s="21">
        <f t="shared" ca="1" si="101"/>
        <v>1.7951211992929227E-2</v>
      </c>
      <c r="F774">
        <f t="shared" si="102"/>
        <v>0.76800000000000057</v>
      </c>
      <c r="G774">
        <f t="shared" ca="1" si="103"/>
        <v>7.0247754863487388E-2</v>
      </c>
      <c r="H774">
        <f t="shared" ca="1" si="105"/>
        <v>7.0250611016549142E-2</v>
      </c>
      <c r="I774">
        <f t="shared" ca="1" si="106"/>
        <v>1.1380416654901028E-2</v>
      </c>
      <c r="J774" s="5">
        <f t="shared" ca="1" si="107"/>
        <v>5.8870194361648115E-2</v>
      </c>
    </row>
    <row r="775" spans="1:10" x14ac:dyDescent="0.2">
      <c r="A775">
        <f t="shared" ref="A775:A838" ca="1" si="108">RAND()</f>
        <v>0.56170790894777667</v>
      </c>
      <c r="B775">
        <f t="shared" ref="B775:B838" ca="1" si="109">NORMSINV(A775)</f>
        <v>0.15530080362012727</v>
      </c>
      <c r="C775">
        <f t="shared" ca="1" si="104"/>
        <v>15.544040617529026</v>
      </c>
      <c r="D775" s="21">
        <f t="shared" ref="D775:D838" ca="1" si="110">_xlfn.NORM.DIST(B775,0,1,FALSE)</f>
        <v>0.39416025925457943</v>
      </c>
      <c r="F775">
        <f t="shared" ref="F775:F838" si="111">F774+$M$2/$N$2</f>
        <v>0.76900000000000057</v>
      </c>
      <c r="G775">
        <f t="shared" ref="G775:G838" ca="1" si="112">G774*EXP(-$M$4*$O$2) + $O$4*(1-EXP(-$M$4*$O$2)) + $N$4* SQRT((1-EXP(-2*$M$4*$O$2))/(2*$M$4)) *B774</f>
        <v>6.2375643885890106E-2</v>
      </c>
      <c r="H775">
        <f t="shared" ca="1" si="105"/>
        <v>6.2378106144508817E-2</v>
      </c>
      <c r="I775">
        <f t="shared" ca="1" si="106"/>
        <v>1.1292215122942744E-2</v>
      </c>
      <c r="J775" s="5">
        <f t="shared" ca="1" si="107"/>
        <v>5.1085891021566077E-2</v>
      </c>
    </row>
    <row r="776" spans="1:10" x14ac:dyDescent="0.2">
      <c r="A776">
        <f t="shared" ca="1" si="108"/>
        <v>0.23632872038784392</v>
      </c>
      <c r="B776">
        <f t="shared" ca="1" si="109"/>
        <v>-0.71816194242901954</v>
      </c>
      <c r="C776">
        <f t="shared" ref="C776:C839" ca="1" si="113">B776+C775</f>
        <v>14.825878675100007</v>
      </c>
      <c r="D776" s="21">
        <f t="shared" ca="1" si="110"/>
        <v>0.30825842025853251</v>
      </c>
      <c r="F776">
        <f t="shared" si="111"/>
        <v>0.77000000000000057</v>
      </c>
      <c r="G776">
        <f t="shared" ca="1" si="112"/>
        <v>6.2870485841090118E-2</v>
      </c>
      <c r="H776">
        <f t="shared" ref="H776:H839" ca="1" si="114">H775+($M$6 + $N$6*H775)*$O$2 + $O$6*H775^$P$6*SQRT($O$2)*B775</f>
        <v>6.2872972595788487E-2</v>
      </c>
      <c r="I776">
        <f t="shared" ref="I776:I839" ca="1" si="115">I775*EXP(($M$8-0.5*($N$8^2))*$O$2 + $N$8*SQRT($O$2)*B775)</f>
        <v>1.1298835478272247E-2</v>
      </c>
      <c r="J776" s="5">
        <f t="shared" ref="J776:J839" ca="1" si="116">ABS(H776-I776)</f>
        <v>5.1574137117516239E-2</v>
      </c>
    </row>
    <row r="777" spans="1:10" x14ac:dyDescent="0.2">
      <c r="A777">
        <f t="shared" ca="1" si="108"/>
        <v>0.52406279397562594</v>
      </c>
      <c r="B777">
        <f t="shared" ca="1" si="109"/>
        <v>6.0353099061826343E-2</v>
      </c>
      <c r="C777">
        <f t="shared" ca="1" si="113"/>
        <v>14.886231774161834</v>
      </c>
      <c r="D777" s="21">
        <f t="shared" ca="1" si="110"/>
        <v>0.39821636869154081</v>
      </c>
      <c r="F777">
        <f t="shared" si="111"/>
        <v>0.77100000000000057</v>
      </c>
      <c r="G777">
        <f t="shared" ca="1" si="112"/>
        <v>6.0603284686580446E-2</v>
      </c>
      <c r="H777">
        <f t="shared" ca="1" si="114"/>
        <v>6.0605657831602495E-2</v>
      </c>
      <c r="I777">
        <f t="shared" ca="1" si="115"/>
        <v>1.1274275633067219E-2</v>
      </c>
      <c r="J777" s="5">
        <f t="shared" ca="1" si="116"/>
        <v>4.9331382198535279E-2</v>
      </c>
    </row>
    <row r="778" spans="1:10" x14ac:dyDescent="0.2">
      <c r="A778">
        <f t="shared" ca="1" si="108"/>
        <v>0.64500804928351285</v>
      </c>
      <c r="B778">
        <f t="shared" ca="1" si="109"/>
        <v>0.37187771036447154</v>
      </c>
      <c r="C778">
        <f t="shared" ca="1" si="113"/>
        <v>15.258109484526305</v>
      </c>
      <c r="D778" s="21">
        <f t="shared" ca="1" si="110"/>
        <v>0.37228892392920138</v>
      </c>
      <c r="F778">
        <f t="shared" si="111"/>
        <v>0.77200000000000057</v>
      </c>
      <c r="G778">
        <f t="shared" ca="1" si="112"/>
        <v>6.0798067875754667E-2</v>
      </c>
      <c r="H778">
        <f t="shared" ca="1" si="114"/>
        <v>6.0800450522704476E-2</v>
      </c>
      <c r="I778">
        <f t="shared" ca="1" si="115"/>
        <v>1.1277498882142127E-2</v>
      </c>
      <c r="J778" s="5">
        <f t="shared" ca="1" si="116"/>
        <v>4.9522951640562349E-2</v>
      </c>
    </row>
    <row r="779" spans="1:10" x14ac:dyDescent="0.2">
      <c r="A779">
        <f t="shared" ca="1" si="108"/>
        <v>0.55206135575975446</v>
      </c>
      <c r="B779">
        <f t="shared" ca="1" si="109"/>
        <v>0.13087108533499572</v>
      </c>
      <c r="C779">
        <f t="shared" ca="1" si="113"/>
        <v>15.3889805698613</v>
      </c>
      <c r="D779" s="21">
        <f t="shared" ca="1" si="110"/>
        <v>0.39554047678230697</v>
      </c>
      <c r="F779">
        <f t="shared" si="111"/>
        <v>0.77300000000000058</v>
      </c>
      <c r="G779">
        <f t="shared" ca="1" si="112"/>
        <v>6.1977909652185158E-2</v>
      </c>
      <c r="H779">
        <f t="shared" ca="1" si="114"/>
        <v>6.1980351053452343E-2</v>
      </c>
      <c r="I779">
        <f t="shared" ca="1" si="115"/>
        <v>1.1291841476813813E-2</v>
      </c>
      <c r="J779" s="5">
        <f t="shared" ca="1" si="116"/>
        <v>5.0688509576638528E-2</v>
      </c>
    </row>
    <row r="780" spans="1:10" x14ac:dyDescent="0.2">
      <c r="A780">
        <f t="shared" ca="1" si="108"/>
        <v>0.16820911506538272</v>
      </c>
      <c r="B780">
        <f t="shared" ca="1" si="109"/>
        <v>-0.96126641485096131</v>
      </c>
      <c r="C780">
        <f t="shared" ca="1" si="113"/>
        <v>14.427714155010339</v>
      </c>
      <c r="D780" s="21">
        <f t="shared" ca="1" si="110"/>
        <v>0.25133838676185782</v>
      </c>
      <c r="F780">
        <f t="shared" si="111"/>
        <v>0.77400000000000058</v>
      </c>
      <c r="G780">
        <f t="shared" ca="1" si="112"/>
        <v>6.2395541688959347E-2</v>
      </c>
      <c r="H780">
        <f t="shared" ca="1" si="114"/>
        <v>6.2398003727863846E-2</v>
      </c>
      <c r="I780">
        <f t="shared" ca="1" si="115"/>
        <v>1.1297588800501896E-2</v>
      </c>
      <c r="J780" s="5">
        <f t="shared" ca="1" si="116"/>
        <v>5.1100414927361948E-2</v>
      </c>
    </row>
    <row r="781" spans="1:10" x14ac:dyDescent="0.2">
      <c r="A781">
        <f t="shared" ca="1" si="108"/>
        <v>0.94543334426631398</v>
      </c>
      <c r="B781">
        <f t="shared" ca="1" si="109"/>
        <v>1.6021008437441406</v>
      </c>
      <c r="C781">
        <f t="shared" ca="1" si="113"/>
        <v>16.029814998754478</v>
      </c>
      <c r="D781" s="21">
        <f t="shared" ca="1" si="110"/>
        <v>0.1105483729051434</v>
      </c>
      <c r="F781">
        <f t="shared" si="111"/>
        <v>0.77500000000000058</v>
      </c>
      <c r="G781">
        <f t="shared" ca="1" si="112"/>
        <v>5.9359662620853917E-2</v>
      </c>
      <c r="H781">
        <f t="shared" ca="1" si="114"/>
        <v>5.936197261833772E-2</v>
      </c>
      <c r="I781">
        <f t="shared" ca="1" si="115"/>
        <v>1.1264368696331309E-2</v>
      </c>
      <c r="J781" s="5">
        <f t="shared" ca="1" si="116"/>
        <v>4.8097603922006411E-2</v>
      </c>
    </row>
    <row r="782" spans="1:10" x14ac:dyDescent="0.2">
      <c r="A782">
        <f t="shared" ca="1" si="108"/>
        <v>0.37176324640252467</v>
      </c>
      <c r="B782">
        <f t="shared" ca="1" si="109"/>
        <v>-0.32718694706239027</v>
      </c>
      <c r="C782">
        <f t="shared" ca="1" si="113"/>
        <v>15.702628051692088</v>
      </c>
      <c r="D782" s="21">
        <f t="shared" ca="1" si="110"/>
        <v>0.3781500583528688</v>
      </c>
      <c r="F782">
        <f t="shared" si="111"/>
        <v>0.77600000000000058</v>
      </c>
      <c r="G782">
        <f t="shared" ca="1" si="112"/>
        <v>6.4429760855074861E-2</v>
      </c>
      <c r="H782">
        <f t="shared" ca="1" si="114"/>
        <v>6.4432324128584892E-2</v>
      </c>
      <c r="I782">
        <f t="shared" ca="1" si="115"/>
        <v>1.1322657637618602E-2</v>
      </c>
      <c r="J782" s="5">
        <f t="shared" ca="1" si="116"/>
        <v>5.3109666490966288E-2</v>
      </c>
    </row>
    <row r="783" spans="1:10" x14ac:dyDescent="0.2">
      <c r="A783">
        <f t="shared" ca="1" si="108"/>
        <v>0.91820005530139304</v>
      </c>
      <c r="B783">
        <f t="shared" ca="1" si="109"/>
        <v>1.3930658148783093</v>
      </c>
      <c r="C783">
        <f t="shared" ca="1" si="113"/>
        <v>17.095693866570397</v>
      </c>
      <c r="D783" s="21">
        <f t="shared" ca="1" si="110"/>
        <v>0.15118444228126143</v>
      </c>
      <c r="F783">
        <f t="shared" si="111"/>
        <v>0.77700000000000058</v>
      </c>
      <c r="G783">
        <f t="shared" ca="1" si="112"/>
        <v>6.3398713458393222E-2</v>
      </c>
      <c r="H783">
        <f t="shared" ca="1" si="114"/>
        <v>6.3401224922777943E-2</v>
      </c>
      <c r="I783">
        <f t="shared" ca="1" si="115"/>
        <v>1.1312023231858639E-2</v>
      </c>
      <c r="J783" s="5">
        <f t="shared" ca="1" si="116"/>
        <v>5.2089201690919303E-2</v>
      </c>
    </row>
    <row r="784" spans="1:10" x14ac:dyDescent="0.2">
      <c r="A784">
        <f t="shared" ca="1" si="108"/>
        <v>0.22892525213873838</v>
      </c>
      <c r="B784">
        <f t="shared" ca="1" si="109"/>
        <v>-0.74239094486909019</v>
      </c>
      <c r="C784">
        <f t="shared" ca="1" si="113"/>
        <v>16.353302921701307</v>
      </c>
      <c r="D784" s="21">
        <f t="shared" ca="1" si="110"/>
        <v>0.30285210628022408</v>
      </c>
      <c r="F784">
        <f t="shared" si="111"/>
        <v>0.77800000000000058</v>
      </c>
      <c r="G784">
        <f t="shared" ca="1" si="112"/>
        <v>6.7807414055712931E-2</v>
      </c>
      <c r="H784">
        <f t="shared" ca="1" si="114"/>
        <v>6.7810145705819599E-2</v>
      </c>
      <c r="I784">
        <f t="shared" ca="1" si="115"/>
        <v>1.1363045007312968E-2</v>
      </c>
      <c r="J784" s="5">
        <f t="shared" ca="1" si="116"/>
        <v>5.6447100698506628E-2</v>
      </c>
    </row>
    <row r="785" spans="1:10" x14ac:dyDescent="0.2">
      <c r="A785">
        <f t="shared" ca="1" si="108"/>
        <v>0.63646398095832324</v>
      </c>
      <c r="B785">
        <f t="shared" ca="1" si="109"/>
        <v>0.34902300594499219</v>
      </c>
      <c r="C785">
        <f t="shared" ca="1" si="113"/>
        <v>16.702325927646299</v>
      </c>
      <c r="D785" s="21">
        <f t="shared" ca="1" si="110"/>
        <v>0.3753685023654863</v>
      </c>
      <c r="F785">
        <f t="shared" si="111"/>
        <v>0.77900000000000058</v>
      </c>
      <c r="G785">
        <f t="shared" ca="1" si="112"/>
        <v>6.5463104230703256E-2</v>
      </c>
      <c r="H785">
        <f t="shared" ca="1" si="114"/>
        <v>6.5465718391178193E-2</v>
      </c>
      <c r="I785">
        <f t="shared" ca="1" si="115"/>
        <v>1.133747689478868E-2</v>
      </c>
      <c r="J785" s="5">
        <f t="shared" ca="1" si="116"/>
        <v>5.4128241496389513E-2</v>
      </c>
    </row>
    <row r="786" spans="1:10" x14ac:dyDescent="0.2">
      <c r="A786">
        <f t="shared" ca="1" si="108"/>
        <v>0.42691189088305126</v>
      </c>
      <c r="B786">
        <f t="shared" ca="1" si="109"/>
        <v>-0.1842417838065955</v>
      </c>
      <c r="C786">
        <f t="shared" ca="1" si="113"/>
        <v>16.518084143839705</v>
      </c>
      <c r="D786" s="21">
        <f t="shared" ca="1" si="110"/>
        <v>0.39222836279794171</v>
      </c>
      <c r="F786">
        <f t="shared" si="111"/>
        <v>0.78000000000000058</v>
      </c>
      <c r="G786">
        <f t="shared" ca="1" si="112"/>
        <v>6.6570210219102685E-2</v>
      </c>
      <c r="H786">
        <f t="shared" ca="1" si="114"/>
        <v>6.6572879473923735E-2</v>
      </c>
      <c r="I786">
        <f t="shared" ca="1" si="115"/>
        <v>1.135107536379228E-2</v>
      </c>
      <c r="J786" s="5">
        <f t="shared" ca="1" si="116"/>
        <v>5.5221804110131459E-2</v>
      </c>
    </row>
    <row r="787" spans="1:10" x14ac:dyDescent="0.2">
      <c r="A787">
        <f t="shared" ca="1" si="108"/>
        <v>0.45933226401063632</v>
      </c>
      <c r="B787">
        <f t="shared" ca="1" si="109"/>
        <v>-0.10211609224533615</v>
      </c>
      <c r="C787">
        <f t="shared" ca="1" si="113"/>
        <v>16.415968051594369</v>
      </c>
      <c r="D787" s="21">
        <f t="shared" ca="1" si="110"/>
        <v>0.39686766898587506</v>
      </c>
      <c r="F787">
        <f t="shared" si="111"/>
        <v>0.78100000000000058</v>
      </c>
      <c r="G787">
        <f t="shared" ca="1" si="112"/>
        <v>6.5990958483906334E-2</v>
      </c>
      <c r="H787">
        <f t="shared" ca="1" si="114"/>
        <v>6.5993598508975168E-2</v>
      </c>
      <c r="I787">
        <f t="shared" ca="1" si="115"/>
        <v>1.1345541659977618E-2</v>
      </c>
      <c r="J787" s="5">
        <f t="shared" ca="1" si="116"/>
        <v>5.4648056848997553E-2</v>
      </c>
    </row>
    <row r="788" spans="1:10" x14ac:dyDescent="0.2">
      <c r="A788">
        <f t="shared" ca="1" si="108"/>
        <v>0.94203282706583547</v>
      </c>
      <c r="B788">
        <f t="shared" ca="1" si="109"/>
        <v>1.5720698800079498</v>
      </c>
      <c r="C788">
        <f t="shared" ca="1" si="113"/>
        <v>17.988037931602317</v>
      </c>
      <c r="D788" s="21">
        <f t="shared" ca="1" si="110"/>
        <v>0.11594487840007371</v>
      </c>
      <c r="F788">
        <f t="shared" si="111"/>
        <v>0.78200000000000058</v>
      </c>
      <c r="G788">
        <f t="shared" ca="1" si="112"/>
        <v>6.5671455926066422E-2</v>
      </c>
      <c r="H788">
        <f t="shared" ca="1" si="114"/>
        <v>6.5674079711873154E-2</v>
      </c>
      <c r="I788">
        <f t="shared" ca="1" si="115"/>
        <v>1.1342956085169737E-2</v>
      </c>
      <c r="J788" s="5">
        <f t="shared" ca="1" si="116"/>
        <v>5.433112362670342E-2</v>
      </c>
    </row>
    <row r="789" spans="1:10" x14ac:dyDescent="0.2">
      <c r="A789">
        <f t="shared" ca="1" si="108"/>
        <v>0.65973019159766377</v>
      </c>
      <c r="B789">
        <f t="shared" ca="1" si="109"/>
        <v>0.41172688529408391</v>
      </c>
      <c r="C789">
        <f t="shared" ca="1" si="113"/>
        <v>18.399764816896401</v>
      </c>
      <c r="D789" s="21">
        <f t="shared" ca="1" si="110"/>
        <v>0.3665215179983074</v>
      </c>
      <c r="F789">
        <f t="shared" si="111"/>
        <v>0.78300000000000058</v>
      </c>
      <c r="G789">
        <f t="shared" ca="1" si="112"/>
        <v>7.0645961514892913E-2</v>
      </c>
      <c r="H789">
        <f t="shared" ca="1" si="114"/>
        <v>7.0648833765674685E-2</v>
      </c>
      <c r="I789">
        <f t="shared" ca="1" si="115"/>
        <v>1.1400568966480465E-2</v>
      </c>
      <c r="J789" s="5">
        <f t="shared" ca="1" si="116"/>
        <v>5.924826479919422E-2</v>
      </c>
    </row>
    <row r="790" spans="1:10" x14ac:dyDescent="0.2">
      <c r="A790">
        <f t="shared" ca="1" si="108"/>
        <v>9.1456446769221489E-2</v>
      </c>
      <c r="B790">
        <f t="shared" ca="1" si="109"/>
        <v>-1.3318396262071972</v>
      </c>
      <c r="C790">
        <f t="shared" ca="1" si="113"/>
        <v>17.067925190689202</v>
      </c>
      <c r="D790" s="21">
        <f t="shared" ca="1" si="110"/>
        <v>0.16433686085768151</v>
      </c>
      <c r="F790">
        <f t="shared" si="111"/>
        <v>0.78400000000000059</v>
      </c>
      <c r="G790">
        <f t="shared" ca="1" si="112"/>
        <v>7.1950826406408111E-2</v>
      </c>
      <c r="H790">
        <f t="shared" ca="1" si="114"/>
        <v>7.1953763613754301E-2</v>
      </c>
      <c r="I790">
        <f t="shared" ca="1" si="115"/>
        <v>1.1416506631086997E-2</v>
      </c>
      <c r="J790" s="5">
        <f t="shared" ca="1" si="116"/>
        <v>6.0537256982667306E-2</v>
      </c>
    </row>
    <row r="791" spans="1:10" x14ac:dyDescent="0.2">
      <c r="A791">
        <f t="shared" ca="1" si="108"/>
        <v>0.58415069511994</v>
      </c>
      <c r="B791">
        <f t="shared" ca="1" si="109"/>
        <v>0.21252354664107648</v>
      </c>
      <c r="C791">
        <f t="shared" ca="1" si="113"/>
        <v>17.280448737330278</v>
      </c>
      <c r="D791" s="21">
        <f t="shared" ca="1" si="110"/>
        <v>0.39003388378082671</v>
      </c>
      <c r="F791">
        <f t="shared" si="111"/>
        <v>0.78500000000000059</v>
      </c>
      <c r="G791">
        <f t="shared" ca="1" si="112"/>
        <v>6.7742195060205207E-2</v>
      </c>
      <c r="H791">
        <f t="shared" ca="1" si="114"/>
        <v>6.77449215405109E-2</v>
      </c>
      <c r="I791">
        <f t="shared" ca="1" si="115"/>
        <v>1.1369605510680631E-2</v>
      </c>
      <c r="J791" s="5">
        <f t="shared" ca="1" si="116"/>
        <v>5.6375316029830272E-2</v>
      </c>
    </row>
    <row r="792" spans="1:10" x14ac:dyDescent="0.2">
      <c r="A792">
        <f t="shared" ca="1" si="108"/>
        <v>0.16295844644484314</v>
      </c>
      <c r="B792">
        <f t="shared" ca="1" si="109"/>
        <v>-0.98237143642781777</v>
      </c>
      <c r="C792">
        <f t="shared" ca="1" si="113"/>
        <v>16.29807730090246</v>
      </c>
      <c r="D792" s="21">
        <f t="shared" ca="1" si="110"/>
        <v>0.24623587702452712</v>
      </c>
      <c r="F792">
        <f t="shared" si="111"/>
        <v>0.78600000000000059</v>
      </c>
      <c r="G792">
        <f t="shared" ca="1" si="112"/>
        <v>6.8417445541695238E-2</v>
      </c>
      <c r="H792">
        <f t="shared" ca="1" si="114"/>
        <v>6.8420205512159687E-2</v>
      </c>
      <c r="I792">
        <f t="shared" ca="1" si="115"/>
        <v>1.1378330008489866E-2</v>
      </c>
      <c r="J792" s="5">
        <f t="shared" ca="1" si="116"/>
        <v>5.704187550366982E-2</v>
      </c>
    </row>
    <row r="793" spans="1:10" x14ac:dyDescent="0.2">
      <c r="A793">
        <f t="shared" ca="1" si="108"/>
        <v>7.8560500684331735E-2</v>
      </c>
      <c r="B793">
        <f t="shared" ca="1" si="109"/>
        <v>-1.4148209451919342</v>
      </c>
      <c r="C793">
        <f t="shared" ca="1" si="113"/>
        <v>14.883256355710525</v>
      </c>
      <c r="D793" s="21">
        <f t="shared" ca="1" si="110"/>
        <v>0.14663662567192701</v>
      </c>
      <c r="F793">
        <f t="shared" si="111"/>
        <v>0.78700000000000059</v>
      </c>
      <c r="G793">
        <f t="shared" ca="1" si="112"/>
        <v>6.5314227711921052E-2</v>
      </c>
      <c r="H793">
        <f t="shared" ca="1" si="114"/>
        <v>6.5316832244205272E-2</v>
      </c>
      <c r="I793">
        <f t="shared" ca="1" si="115"/>
        <v>1.1344115357230358E-2</v>
      </c>
      <c r="J793" s="5">
        <f t="shared" ca="1" si="116"/>
        <v>5.3972716886974914E-2</v>
      </c>
    </row>
    <row r="794" spans="1:10" x14ac:dyDescent="0.2">
      <c r="A794">
        <f t="shared" ca="1" si="108"/>
        <v>3.3455242527763107E-2</v>
      </c>
      <c r="B794">
        <f t="shared" ca="1" si="109"/>
        <v>-1.8322748303775069</v>
      </c>
      <c r="C794">
        <f t="shared" ca="1" si="113"/>
        <v>13.050981525333018</v>
      </c>
      <c r="D794" s="21">
        <f t="shared" ca="1" si="110"/>
        <v>7.4455469270335237E-2</v>
      </c>
      <c r="F794">
        <f t="shared" si="111"/>
        <v>0.78800000000000059</v>
      </c>
      <c r="G794">
        <f t="shared" ca="1" si="112"/>
        <v>6.0843863141120877E-2</v>
      </c>
      <c r="H794">
        <f t="shared" ca="1" si="114"/>
        <v>6.0846243892862091E-2</v>
      </c>
      <c r="I794">
        <f t="shared" ca="1" si="115"/>
        <v>1.1294547442794556E-2</v>
      </c>
      <c r="J794" s="5">
        <f t="shared" ca="1" si="116"/>
        <v>4.9551696450067531E-2</v>
      </c>
    </row>
    <row r="795" spans="1:10" x14ac:dyDescent="0.2">
      <c r="A795">
        <f t="shared" ca="1" si="108"/>
        <v>0.90093263346834984</v>
      </c>
      <c r="B795">
        <f t="shared" ca="1" si="109"/>
        <v>1.2868839707473152</v>
      </c>
      <c r="C795">
        <f t="shared" ca="1" si="113"/>
        <v>14.337865496080333</v>
      </c>
      <c r="D795" s="21">
        <f t="shared" ca="1" si="110"/>
        <v>0.17430063029927445</v>
      </c>
      <c r="F795">
        <f t="shared" si="111"/>
        <v>0.78900000000000059</v>
      </c>
      <c r="G795">
        <f t="shared" ca="1" si="112"/>
        <v>5.5053906491658533E-2</v>
      </c>
      <c r="H795">
        <f t="shared" ca="1" si="114"/>
        <v>5.5055997505081208E-2</v>
      </c>
      <c r="I795">
        <f t="shared" ca="1" si="115"/>
        <v>1.1230361067874015E-2</v>
      </c>
      <c r="J795" s="5">
        <f t="shared" ca="1" si="116"/>
        <v>4.3825636437207195E-2</v>
      </c>
    </row>
    <row r="796" spans="1:10" x14ac:dyDescent="0.2">
      <c r="A796">
        <f t="shared" ca="1" si="108"/>
        <v>8.8471666280359518E-2</v>
      </c>
      <c r="B796">
        <f t="shared" ca="1" si="109"/>
        <v>-1.3502265242434812</v>
      </c>
      <c r="C796">
        <f t="shared" ca="1" si="113"/>
        <v>12.987638971836851</v>
      </c>
      <c r="D796" s="21">
        <f t="shared" ca="1" si="110"/>
        <v>0.16033428426585761</v>
      </c>
      <c r="F796">
        <f t="shared" si="111"/>
        <v>0.79000000000000059</v>
      </c>
      <c r="G796">
        <f t="shared" ca="1" si="112"/>
        <v>5.9127681842465529E-2</v>
      </c>
      <c r="H796">
        <f t="shared" ca="1" si="114"/>
        <v>5.9129976337253712E-2</v>
      </c>
      <c r="I796">
        <f t="shared" ca="1" si="115"/>
        <v>1.1277227250717408E-2</v>
      </c>
      <c r="J796" s="5">
        <f t="shared" ca="1" si="116"/>
        <v>4.7852749086536306E-2</v>
      </c>
    </row>
    <row r="797" spans="1:10" x14ac:dyDescent="0.2">
      <c r="A797">
        <f t="shared" ca="1" si="108"/>
        <v>0.83610793289591401</v>
      </c>
      <c r="B797">
        <f t="shared" ca="1" si="109"/>
        <v>0.97858690081971289</v>
      </c>
      <c r="C797">
        <f t="shared" ca="1" si="113"/>
        <v>13.966225872656564</v>
      </c>
      <c r="D797" s="21">
        <f t="shared" ca="1" si="110"/>
        <v>0.24715127153973349</v>
      </c>
      <c r="F797">
        <f t="shared" si="111"/>
        <v>0.79100000000000059</v>
      </c>
      <c r="G797">
        <f t="shared" ca="1" si="112"/>
        <v>5.4862191176808218E-2</v>
      </c>
      <c r="H797">
        <f t="shared" ca="1" si="114"/>
        <v>5.4864272165838029E-2</v>
      </c>
      <c r="I797">
        <f t="shared" ca="1" si="115"/>
        <v>1.1230245320037998E-2</v>
      </c>
      <c r="J797" s="5">
        <f t="shared" ca="1" si="116"/>
        <v>4.3634026845800034E-2</v>
      </c>
    </row>
    <row r="798" spans="1:10" x14ac:dyDescent="0.2">
      <c r="A798">
        <f t="shared" ca="1" si="108"/>
        <v>7.5120658070444768E-2</v>
      </c>
      <c r="B798">
        <f t="shared" ca="1" si="109"/>
        <v>-1.438679619990741</v>
      </c>
      <c r="C798">
        <f t="shared" ca="1" si="113"/>
        <v>12.527546252665822</v>
      </c>
      <c r="D798" s="21">
        <f t="shared" ca="1" si="110"/>
        <v>0.14172906204959629</v>
      </c>
      <c r="F798">
        <f t="shared" si="111"/>
        <v>0.79200000000000059</v>
      </c>
      <c r="G798">
        <f t="shared" ca="1" si="112"/>
        <v>5.7961113505276572E-2</v>
      </c>
      <c r="H798">
        <f t="shared" ca="1" si="114"/>
        <v>5.7963349233617033E-2</v>
      </c>
      <c r="I798">
        <f t="shared" ca="1" si="115"/>
        <v>1.1266122085746282E-2</v>
      </c>
      <c r="J798" s="5">
        <f t="shared" ca="1" si="116"/>
        <v>4.6697227147870751E-2</v>
      </c>
    </row>
    <row r="799" spans="1:10" x14ac:dyDescent="0.2">
      <c r="A799">
        <f t="shared" ca="1" si="108"/>
        <v>0.38409641846749665</v>
      </c>
      <c r="B799">
        <f t="shared" ca="1" si="109"/>
        <v>-0.29473956447753369</v>
      </c>
      <c r="C799">
        <f t="shared" ca="1" si="113"/>
        <v>12.232806688188289</v>
      </c>
      <c r="D799" s="21">
        <f t="shared" ca="1" si="110"/>
        <v>0.38198488522244878</v>
      </c>
      <c r="F799">
        <f t="shared" si="111"/>
        <v>0.79300000000000059</v>
      </c>
      <c r="G799">
        <f t="shared" ca="1" si="112"/>
        <v>5.3416040227045762E-2</v>
      </c>
      <c r="H799">
        <f t="shared" ca="1" si="114"/>
        <v>5.3418048476257418E-2</v>
      </c>
      <c r="I799">
        <f t="shared" ca="1" si="115"/>
        <v>1.1216048703940822E-2</v>
      </c>
      <c r="J799" s="5">
        <f t="shared" ca="1" si="116"/>
        <v>4.2201999772316597E-2</v>
      </c>
    </row>
    <row r="800" spans="1:10" x14ac:dyDescent="0.2">
      <c r="A800">
        <f t="shared" ca="1" si="108"/>
        <v>1.5500218357773599E-2</v>
      </c>
      <c r="B800">
        <f t="shared" ca="1" si="109"/>
        <v>-2.1570670987258773</v>
      </c>
      <c r="C800">
        <f t="shared" ca="1" si="113"/>
        <v>10.075739589462412</v>
      </c>
      <c r="D800" s="21">
        <f t="shared" ca="1" si="110"/>
        <v>3.8952677486117193E-2</v>
      </c>
      <c r="F800">
        <f t="shared" si="111"/>
        <v>0.79400000000000059</v>
      </c>
      <c r="G800">
        <f t="shared" ca="1" si="112"/>
        <v>5.2488696650271296E-2</v>
      </c>
      <c r="H800">
        <f t="shared" ca="1" si="114"/>
        <v>5.2490658331094724E-2</v>
      </c>
      <c r="I800">
        <f t="shared" ca="1" si="115"/>
        <v>1.1206664257154032E-2</v>
      </c>
      <c r="J800" s="5">
        <f t="shared" ca="1" si="116"/>
        <v>4.1283994073940691E-2</v>
      </c>
    </row>
    <row r="801" spans="1:10" x14ac:dyDescent="0.2">
      <c r="A801">
        <f t="shared" ca="1" si="108"/>
        <v>0.60660706076525539</v>
      </c>
      <c r="B801">
        <f t="shared" ca="1" si="109"/>
        <v>0.27048665984968018</v>
      </c>
      <c r="C801">
        <f t="shared" ca="1" si="113"/>
        <v>10.346226249312092</v>
      </c>
      <c r="D801" s="21">
        <f t="shared" ca="1" si="110"/>
        <v>0.38461207510825624</v>
      </c>
      <c r="F801">
        <f t="shared" si="111"/>
        <v>0.7950000000000006</v>
      </c>
      <c r="G801">
        <f t="shared" ca="1" si="112"/>
        <v>4.5672543493317189E-2</v>
      </c>
      <c r="H801">
        <f t="shared" ca="1" si="114"/>
        <v>4.567416416747655E-2</v>
      </c>
      <c r="I801">
        <f t="shared" ca="1" si="115"/>
        <v>1.1131538427243426E-2</v>
      </c>
      <c r="J801" s="5">
        <f t="shared" ca="1" si="116"/>
        <v>3.4542625740233125E-2</v>
      </c>
    </row>
    <row r="802" spans="1:10" x14ac:dyDescent="0.2">
      <c r="A802">
        <f t="shared" ca="1" si="108"/>
        <v>0.11175407608719801</v>
      </c>
      <c r="B802">
        <f t="shared" ca="1" si="109"/>
        <v>-1.2172525226306448</v>
      </c>
      <c r="C802">
        <f t="shared" ca="1" si="113"/>
        <v>9.1289737266814477</v>
      </c>
      <c r="D802" s="21">
        <f t="shared" ca="1" si="110"/>
        <v>0.19017884023660769</v>
      </c>
      <c r="F802">
        <f t="shared" si="111"/>
        <v>0.7960000000000006</v>
      </c>
      <c r="G802">
        <f t="shared" ca="1" si="112"/>
        <v>4.6533287123241653E-2</v>
      </c>
      <c r="H802">
        <f t="shared" ca="1" si="114"/>
        <v>4.653495067287601E-2</v>
      </c>
      <c r="I802">
        <f t="shared" ca="1" si="115"/>
        <v>1.1142122356886535E-2</v>
      </c>
      <c r="J802" s="5">
        <f t="shared" ca="1" si="116"/>
        <v>3.5392828315989472E-2</v>
      </c>
    </row>
    <row r="803" spans="1:10" x14ac:dyDescent="0.2">
      <c r="A803">
        <f t="shared" ca="1" si="108"/>
        <v>0.41761028602345851</v>
      </c>
      <c r="B803">
        <f t="shared" ca="1" si="109"/>
        <v>-0.20801075205909766</v>
      </c>
      <c r="C803">
        <f t="shared" ca="1" si="113"/>
        <v>8.9209629746223502</v>
      </c>
      <c r="D803" s="21">
        <f t="shared" ca="1" si="110"/>
        <v>0.39040415963750907</v>
      </c>
      <c r="F803">
        <f t="shared" si="111"/>
        <v>0.7970000000000006</v>
      </c>
      <c r="G803">
        <f t="shared" ca="1" si="112"/>
        <v>4.2689535524610127E-2</v>
      </c>
      <c r="H803">
        <f t="shared" ca="1" si="114"/>
        <v>4.2691006718710227E-2</v>
      </c>
      <c r="I803">
        <f t="shared" ca="1" si="115"/>
        <v>1.1100370017473256E-2</v>
      </c>
      <c r="J803" s="5">
        <f t="shared" ca="1" si="116"/>
        <v>3.159063670123697E-2</v>
      </c>
    </row>
    <row r="804" spans="1:10" x14ac:dyDescent="0.2">
      <c r="A804">
        <f t="shared" ca="1" si="108"/>
        <v>0.37950642396530865</v>
      </c>
      <c r="B804">
        <f t="shared" ca="1" si="109"/>
        <v>-0.30677735216730151</v>
      </c>
      <c r="C804">
        <f t="shared" ca="1" si="113"/>
        <v>8.6141856224550484</v>
      </c>
      <c r="D804" s="21">
        <f t="shared" ca="1" si="110"/>
        <v>0.3806044222224288</v>
      </c>
      <c r="F804">
        <f t="shared" si="111"/>
        <v>0.7980000000000006</v>
      </c>
      <c r="G804">
        <f t="shared" ca="1" si="112"/>
        <v>4.2037511418220971E-2</v>
      </c>
      <c r="H804">
        <f t="shared" ca="1" si="114"/>
        <v>4.2038949863727047E-2</v>
      </c>
      <c r="I804">
        <f t="shared" ca="1" si="115"/>
        <v>1.1094124622739778E-2</v>
      </c>
      <c r="J804" s="5">
        <f t="shared" ca="1" si="116"/>
        <v>3.0944825240987267E-2</v>
      </c>
    </row>
    <row r="805" spans="1:10" x14ac:dyDescent="0.2">
      <c r="A805">
        <f t="shared" ca="1" si="108"/>
        <v>0.46988794085817132</v>
      </c>
      <c r="B805">
        <f t="shared" ca="1" si="109"/>
        <v>-7.5551552531478647E-2</v>
      </c>
      <c r="C805">
        <f t="shared" ca="1" si="113"/>
        <v>8.5386340699235692</v>
      </c>
      <c r="D805" s="21">
        <f t="shared" ca="1" si="110"/>
        <v>0.39780531496677196</v>
      </c>
      <c r="F805">
        <f t="shared" si="111"/>
        <v>0.7990000000000006</v>
      </c>
      <c r="G805">
        <f t="shared" ca="1" si="112"/>
        <v>4.1073240713609488E-2</v>
      </c>
      <c r="H805">
        <f t="shared" ca="1" si="114"/>
        <v>4.1074630801336408E-2</v>
      </c>
      <c r="I805">
        <f t="shared" ca="1" si="115"/>
        <v>1.1084420232862055E-2</v>
      </c>
      <c r="J805" s="5">
        <f t="shared" ca="1" si="116"/>
        <v>2.9990210568474354E-2</v>
      </c>
    </row>
    <row r="806" spans="1:10" x14ac:dyDescent="0.2">
      <c r="A806">
        <f t="shared" ca="1" si="108"/>
        <v>0.46746638817179276</v>
      </c>
      <c r="B806">
        <f t="shared" ca="1" si="109"/>
        <v>-8.1640271243068982E-2</v>
      </c>
      <c r="C806">
        <f t="shared" ca="1" si="113"/>
        <v>8.4569937986805002</v>
      </c>
      <c r="D806" s="21">
        <f t="shared" ca="1" si="110"/>
        <v>0.39761499141318479</v>
      </c>
      <c r="F806">
        <f t="shared" si="111"/>
        <v>0.8000000000000006</v>
      </c>
      <c r="G806">
        <f t="shared" ca="1" si="112"/>
        <v>4.0840230053404439E-2</v>
      </c>
      <c r="H806">
        <f t="shared" ca="1" si="114"/>
        <v>4.0841608351494939E-2</v>
      </c>
      <c r="I806">
        <f t="shared" ca="1" si="115"/>
        <v>1.1082825133453095E-2</v>
      </c>
      <c r="J806" s="5">
        <f t="shared" ca="1" si="116"/>
        <v>2.9758783218041845E-2</v>
      </c>
    </row>
    <row r="807" spans="1:10" x14ac:dyDescent="0.2">
      <c r="A807">
        <f t="shared" ca="1" si="108"/>
        <v>0.78816111705962855</v>
      </c>
      <c r="B807">
        <f t="shared" ca="1" si="109"/>
        <v>0.80005701243104332</v>
      </c>
      <c r="C807">
        <f t="shared" ca="1" si="113"/>
        <v>9.2570508111115437</v>
      </c>
      <c r="D807" s="21">
        <f t="shared" ca="1" si="110"/>
        <v>0.28967833977626783</v>
      </c>
      <c r="F807">
        <f t="shared" si="111"/>
        <v>0.8010000000000006</v>
      </c>
      <c r="G807">
        <f t="shared" ca="1" si="112"/>
        <v>4.0587989436610523E-2</v>
      </c>
      <c r="H807">
        <f t="shared" ca="1" si="114"/>
        <v>4.0589354984737744E-2</v>
      </c>
      <c r="I807">
        <f t="shared" ca="1" si="115"/>
        <v>1.1081016905204293E-2</v>
      </c>
      <c r="J807" s="5">
        <f t="shared" ca="1" si="116"/>
        <v>2.9508338079533451E-2</v>
      </c>
    </row>
    <row r="808" spans="1:10" x14ac:dyDescent="0.2">
      <c r="A808">
        <f t="shared" ca="1" si="108"/>
        <v>0.7823993073133626</v>
      </c>
      <c r="B808">
        <f t="shared" ca="1" si="109"/>
        <v>0.78032196798736531</v>
      </c>
      <c r="C808">
        <f t="shared" ca="1" si="113"/>
        <v>10.037372779098909</v>
      </c>
      <c r="D808" s="21">
        <f t="shared" ca="1" si="110"/>
        <v>0.2942311135152566</v>
      </c>
      <c r="F808">
        <f t="shared" si="111"/>
        <v>0.8020000000000006</v>
      </c>
      <c r="G808">
        <f t="shared" ca="1" si="112"/>
        <v>4.3123806263038196E-2</v>
      </c>
      <c r="H808">
        <f t="shared" ca="1" si="114"/>
        <v>4.312529846651101E-2</v>
      </c>
      <c r="I808">
        <f t="shared" ca="1" si="115"/>
        <v>1.1110142812430049E-2</v>
      </c>
      <c r="J808" s="5">
        <f t="shared" ca="1" si="116"/>
        <v>3.201515565408096E-2</v>
      </c>
    </row>
    <row r="809" spans="1:10" x14ac:dyDescent="0.2">
      <c r="A809">
        <f t="shared" ca="1" si="108"/>
        <v>0.78016659922107179</v>
      </c>
      <c r="B809">
        <f t="shared" ca="1" si="109"/>
        <v>0.77275599380132998</v>
      </c>
      <c r="C809">
        <f t="shared" ca="1" si="113"/>
        <v>10.810128772900239</v>
      </c>
      <c r="D809" s="21">
        <f t="shared" ca="1" si="110"/>
        <v>0.29596489011117261</v>
      </c>
      <c r="F809">
        <f t="shared" si="111"/>
        <v>0.8030000000000006</v>
      </c>
      <c r="G809">
        <f t="shared" ca="1" si="112"/>
        <v>4.5596964950549712E-2</v>
      </c>
      <c r="H809">
        <f t="shared" ca="1" si="114"/>
        <v>4.5598580663769428E-2</v>
      </c>
      <c r="I809">
        <f t="shared" ca="1" si="115"/>
        <v>1.1138650116551815E-2</v>
      </c>
      <c r="J809" s="5">
        <f t="shared" ca="1" si="116"/>
        <v>3.4459930547217611E-2</v>
      </c>
    </row>
    <row r="810" spans="1:10" x14ac:dyDescent="0.2">
      <c r="A810">
        <f t="shared" ca="1" si="108"/>
        <v>0.30800107135395238</v>
      </c>
      <c r="B810">
        <f t="shared" ca="1" si="109"/>
        <v>-0.50152435359718428</v>
      </c>
      <c r="C810">
        <f t="shared" ca="1" si="113"/>
        <v>10.308604419303055</v>
      </c>
      <c r="D810" s="21">
        <f t="shared" ca="1" si="110"/>
        <v>0.35179668424731741</v>
      </c>
      <c r="F810">
        <f t="shared" si="111"/>
        <v>0.8040000000000006</v>
      </c>
      <c r="G810">
        <f t="shared" ca="1" si="112"/>
        <v>4.8045951819647666E-2</v>
      </c>
      <c r="H810">
        <f t="shared" ca="1" si="114"/>
        <v>4.8047689821662208E-2</v>
      </c>
      <c r="I810">
        <f t="shared" ca="1" si="115"/>
        <v>1.1166963386286415E-2</v>
      </c>
      <c r="J810" s="5">
        <f t="shared" ca="1" si="116"/>
        <v>3.6880726435375794E-2</v>
      </c>
    </row>
    <row r="811" spans="1:10" x14ac:dyDescent="0.2">
      <c r="A811">
        <f t="shared" ca="1" si="108"/>
        <v>2.8930644075372269E-3</v>
      </c>
      <c r="B811">
        <f t="shared" ca="1" si="109"/>
        <v>-2.7596614540034849</v>
      </c>
      <c r="C811">
        <f t="shared" ca="1" si="113"/>
        <v>7.5489429652995703</v>
      </c>
      <c r="D811" s="21">
        <f t="shared" ca="1" si="110"/>
        <v>8.8547237653788611E-3</v>
      </c>
      <c r="F811">
        <f t="shared" si="111"/>
        <v>0.8050000000000006</v>
      </c>
      <c r="G811">
        <f t="shared" ca="1" si="112"/>
        <v>4.646526699995239E-2</v>
      </c>
      <c r="H811">
        <f t="shared" ca="1" si="114"/>
        <v>4.6466925793269283E-2</v>
      </c>
      <c r="I811">
        <f t="shared" ca="1" si="115"/>
        <v>1.1150326304513652E-2</v>
      </c>
      <c r="J811" s="5">
        <f t="shared" ca="1" si="116"/>
        <v>3.531659948875563E-2</v>
      </c>
    </row>
    <row r="812" spans="1:10" x14ac:dyDescent="0.2">
      <c r="A812">
        <f t="shared" ca="1" si="108"/>
        <v>0.73786831263301422</v>
      </c>
      <c r="B812">
        <f t="shared" ca="1" si="109"/>
        <v>0.63678733817337918</v>
      </c>
      <c r="C812">
        <f t="shared" ca="1" si="113"/>
        <v>8.1857303034729494</v>
      </c>
      <c r="D812" s="21">
        <f t="shared" ca="1" si="110"/>
        <v>0.32572963238298075</v>
      </c>
      <c r="F812">
        <f t="shared" si="111"/>
        <v>0.8060000000000006</v>
      </c>
      <c r="G812">
        <f t="shared" ca="1" si="112"/>
        <v>3.774424076257285E-2</v>
      </c>
      <c r="H812">
        <f t="shared" ca="1" si="114"/>
        <v>3.7745463335066946E-2</v>
      </c>
      <c r="I812">
        <f t="shared" ca="1" si="115"/>
        <v>1.1054492945108338E-2</v>
      </c>
      <c r="J812" s="5">
        <f t="shared" ca="1" si="116"/>
        <v>2.6690970389958608E-2</v>
      </c>
    </row>
    <row r="813" spans="1:10" x14ac:dyDescent="0.2">
      <c r="A813">
        <f t="shared" ca="1" si="108"/>
        <v>0.38788152961069955</v>
      </c>
      <c r="B813">
        <f t="shared" ca="1" si="109"/>
        <v>-0.28484478519415296</v>
      </c>
      <c r="C813">
        <f t="shared" ca="1" si="113"/>
        <v>7.9008855182787965</v>
      </c>
      <c r="D813" s="21">
        <f t="shared" ca="1" si="110"/>
        <v>0.38308177186321501</v>
      </c>
      <c r="F813">
        <f t="shared" si="111"/>
        <v>0.80700000000000061</v>
      </c>
      <c r="G813">
        <f t="shared" ca="1" si="112"/>
        <v>3.9764063720288262E-2</v>
      </c>
      <c r="H813">
        <f t="shared" ca="1" si="114"/>
        <v>3.97653871625172E-2</v>
      </c>
      <c r="I813">
        <f t="shared" ca="1" si="115"/>
        <v>1.1077828131192296E-2</v>
      </c>
      <c r="J813" s="5">
        <f t="shared" ca="1" si="116"/>
        <v>2.8687559031324902E-2</v>
      </c>
    </row>
    <row r="814" spans="1:10" x14ac:dyDescent="0.2">
      <c r="A814">
        <f t="shared" ca="1" si="108"/>
        <v>0.33121056021119366</v>
      </c>
      <c r="B814">
        <f t="shared" ca="1" si="109"/>
        <v>-0.43657289907563263</v>
      </c>
      <c r="C814">
        <f t="shared" ca="1" si="113"/>
        <v>7.4643126192031639</v>
      </c>
      <c r="D814" s="21">
        <f t="shared" ca="1" si="110"/>
        <v>0.36267923652166956</v>
      </c>
      <c r="F814">
        <f t="shared" si="111"/>
        <v>0.80800000000000061</v>
      </c>
      <c r="G814">
        <f t="shared" ca="1" si="112"/>
        <v>3.8869373747950207E-2</v>
      </c>
      <c r="H814">
        <f t="shared" ca="1" si="114"/>
        <v>3.8870652322966021E-2</v>
      </c>
      <c r="I814">
        <f t="shared" ca="1" si="115"/>
        <v>1.1068905674374928E-2</v>
      </c>
      <c r="J814" s="5">
        <f t="shared" ca="1" si="116"/>
        <v>2.7801746648591093E-2</v>
      </c>
    </row>
    <row r="815" spans="1:10" x14ac:dyDescent="0.2">
      <c r="A815">
        <f t="shared" ca="1" si="108"/>
        <v>0.23734907981539455</v>
      </c>
      <c r="B815">
        <f t="shared" ca="1" si="109"/>
        <v>-0.7148557864581071</v>
      </c>
      <c r="C815">
        <f t="shared" ca="1" si="113"/>
        <v>6.7494568327450573</v>
      </c>
      <c r="D815" s="21">
        <f t="shared" ca="1" si="110"/>
        <v>0.3089895161673436</v>
      </c>
      <c r="F815">
        <f t="shared" si="111"/>
        <v>0.80900000000000061</v>
      </c>
      <c r="G815">
        <f t="shared" ca="1" si="112"/>
        <v>3.7494990804510887E-2</v>
      </c>
      <c r="H815">
        <f t="shared" ca="1" si="114"/>
        <v>3.7496200531951906E-2</v>
      </c>
      <c r="I815">
        <f t="shared" ca="1" si="115"/>
        <v>1.1054685022429716E-2</v>
      </c>
      <c r="J815" s="5">
        <f t="shared" ca="1" si="116"/>
        <v>2.6441515509522191E-2</v>
      </c>
    </row>
    <row r="816" spans="1:10" x14ac:dyDescent="0.2">
      <c r="A816">
        <f t="shared" ca="1" si="108"/>
        <v>0.48039156782779424</v>
      </c>
      <c r="B816">
        <f t="shared" ca="1" si="109"/>
        <v>-4.9170857317156966E-2</v>
      </c>
      <c r="C816">
        <f t="shared" ca="1" si="113"/>
        <v>6.7002859754279003</v>
      </c>
      <c r="D816" s="21">
        <f t="shared" ca="1" si="110"/>
        <v>0.39846029581367992</v>
      </c>
      <c r="F816">
        <f t="shared" si="111"/>
        <v>0.81000000000000061</v>
      </c>
      <c r="G816">
        <f t="shared" ca="1" si="112"/>
        <v>3.5240781533072099E-2</v>
      </c>
      <c r="H816">
        <f t="shared" ca="1" si="114"/>
        <v>3.5241878428140139E-2</v>
      </c>
      <c r="I816">
        <f t="shared" ca="1" si="115"/>
        <v>1.1030771203628241E-2</v>
      </c>
      <c r="J816" s="5">
        <f t="shared" ca="1" si="116"/>
        <v>2.4211107224511898E-2</v>
      </c>
    </row>
    <row r="817" spans="1:10" x14ac:dyDescent="0.2">
      <c r="A817">
        <f t="shared" ca="1" si="108"/>
        <v>0.65614839223316479</v>
      </c>
      <c r="B817">
        <f t="shared" ca="1" si="109"/>
        <v>0.4019739259959596</v>
      </c>
      <c r="C817">
        <f t="shared" ca="1" si="113"/>
        <v>7.1022599014238601</v>
      </c>
      <c r="D817" s="21">
        <f t="shared" ca="1" si="110"/>
        <v>0.36797876297151971</v>
      </c>
      <c r="F817">
        <f t="shared" si="111"/>
        <v>0.81100000000000061</v>
      </c>
      <c r="G817">
        <f t="shared" ca="1" si="112"/>
        <v>3.5091773001779375E-2</v>
      </c>
      <c r="H817">
        <f t="shared" ca="1" si="114"/>
        <v>3.5092862336671957E-2</v>
      </c>
      <c r="I817">
        <f t="shared" ca="1" si="115"/>
        <v>1.1030103951461558E-2</v>
      </c>
      <c r="J817" s="5">
        <f t="shared" ca="1" si="116"/>
        <v>2.4062758385210398E-2</v>
      </c>
    </row>
    <row r="818" spans="1:10" x14ac:dyDescent="0.2">
      <c r="A818">
        <f t="shared" ca="1" si="108"/>
        <v>0.99738491631153692</v>
      </c>
      <c r="B818">
        <f t="shared" ca="1" si="109"/>
        <v>2.7925049104187791</v>
      </c>
      <c r="C818">
        <f t="shared" ca="1" si="113"/>
        <v>9.8947648118426397</v>
      </c>
      <c r="D818" s="21">
        <f t="shared" ca="1" si="110"/>
        <v>8.0830955227850568E-3</v>
      </c>
      <c r="F818">
        <f t="shared" si="111"/>
        <v>0.81200000000000061</v>
      </c>
      <c r="G818">
        <f t="shared" ca="1" si="112"/>
        <v>3.6369353111085891E-2</v>
      </c>
      <c r="H818">
        <f t="shared" ca="1" si="114"/>
        <v>3.6370506216585489E-2</v>
      </c>
      <c r="I818">
        <f t="shared" ca="1" si="115"/>
        <v>1.104518306073895E-2</v>
      </c>
      <c r="J818" s="5">
        <f t="shared" ca="1" si="116"/>
        <v>2.5325323155846541E-2</v>
      </c>
    </row>
    <row r="819" spans="1:10" x14ac:dyDescent="0.2">
      <c r="A819">
        <f t="shared" ca="1" si="108"/>
        <v>0.77391439055677547</v>
      </c>
      <c r="B819">
        <f t="shared" ca="1" si="109"/>
        <v>0.75180020471994036</v>
      </c>
      <c r="C819">
        <f t="shared" ca="1" si="113"/>
        <v>10.64656501656258</v>
      </c>
      <c r="D819" s="21">
        <f t="shared" ca="1" si="110"/>
        <v>0.30073063744033823</v>
      </c>
      <c r="F819">
        <f t="shared" si="111"/>
        <v>0.81300000000000061</v>
      </c>
      <c r="G819">
        <f t="shared" ca="1" si="112"/>
        <v>4.5205950236361689E-2</v>
      </c>
      <c r="H819">
        <f t="shared" ca="1" si="114"/>
        <v>4.5207545060091642E-2</v>
      </c>
      <c r="I819">
        <f t="shared" ca="1" si="115"/>
        <v>1.1144210068983718E-2</v>
      </c>
      <c r="J819" s="5">
        <f t="shared" ca="1" si="116"/>
        <v>3.4063334991107926E-2</v>
      </c>
    </row>
    <row r="820" spans="1:10" x14ac:dyDescent="0.2">
      <c r="A820">
        <f t="shared" ca="1" si="108"/>
        <v>5.6152747747852061E-2</v>
      </c>
      <c r="B820">
        <f t="shared" ca="1" si="109"/>
        <v>-1.5879152901807676</v>
      </c>
      <c r="C820">
        <f t="shared" ca="1" si="113"/>
        <v>9.0586497263818124</v>
      </c>
      <c r="D820" s="21">
        <f t="shared" ca="1" si="110"/>
        <v>0.11307816004021073</v>
      </c>
      <c r="F820">
        <f t="shared" si="111"/>
        <v>0.81400000000000061</v>
      </c>
      <c r="G820">
        <f t="shared" ca="1" si="112"/>
        <v>4.75887114945759E-2</v>
      </c>
      <c r="H820">
        <f t="shared" ca="1" si="114"/>
        <v>4.759042529788151E-2</v>
      </c>
      <c r="I820">
        <f t="shared" ca="1" si="115"/>
        <v>1.1171797114082702E-2</v>
      </c>
      <c r="J820" s="5">
        <f t="shared" ca="1" si="116"/>
        <v>3.6418628183798804E-2</v>
      </c>
    </row>
    <row r="821" spans="1:10" x14ac:dyDescent="0.2">
      <c r="A821">
        <f t="shared" ca="1" si="108"/>
        <v>0.61956147038071807</v>
      </c>
      <c r="B821">
        <f t="shared" ca="1" si="109"/>
        <v>0.30432925498581881</v>
      </c>
      <c r="C821">
        <f t="shared" ca="1" si="113"/>
        <v>9.3629789813676307</v>
      </c>
      <c r="D821" s="21">
        <f t="shared" ca="1" si="110"/>
        <v>0.38088923004204062</v>
      </c>
      <c r="F821">
        <f t="shared" si="111"/>
        <v>0.81500000000000061</v>
      </c>
      <c r="G821">
        <f t="shared" ca="1" si="112"/>
        <v>4.2572774373991866E-2</v>
      </c>
      <c r="H821">
        <f t="shared" ca="1" si="114"/>
        <v>4.2574237206973287E-2</v>
      </c>
      <c r="I821">
        <f t="shared" ca="1" si="115"/>
        <v>1.111689539400891E-2</v>
      </c>
      <c r="J821" s="5">
        <f t="shared" ca="1" si="116"/>
        <v>3.1457341812964376E-2</v>
      </c>
    </row>
    <row r="822" spans="1:10" x14ac:dyDescent="0.2">
      <c r="A822">
        <f t="shared" ca="1" si="108"/>
        <v>0.22704009577238271</v>
      </c>
      <c r="B822">
        <f t="shared" ca="1" si="109"/>
        <v>-0.74863008884426718</v>
      </c>
      <c r="C822">
        <f t="shared" ca="1" si="113"/>
        <v>8.6143488925233633</v>
      </c>
      <c r="D822" s="21">
        <f t="shared" ca="1" si="110"/>
        <v>0.30144670694218234</v>
      </c>
      <c r="F822">
        <f t="shared" si="111"/>
        <v>0.81600000000000061</v>
      </c>
      <c r="G822">
        <f t="shared" ca="1" si="112"/>
        <v>4.3540842297129893E-2</v>
      </c>
      <c r="H822">
        <f t="shared" ca="1" si="114"/>
        <v>4.3542353387629934E-2</v>
      </c>
      <c r="I822">
        <f t="shared" ca="1" si="115"/>
        <v>1.1128656322513078E-2</v>
      </c>
      <c r="J822" s="5">
        <f t="shared" ca="1" si="116"/>
        <v>3.2413697065116855E-2</v>
      </c>
    </row>
    <row r="823" spans="1:10" x14ac:dyDescent="0.2">
      <c r="A823">
        <f t="shared" ca="1" si="108"/>
        <v>0.98387199714784468</v>
      </c>
      <c r="B823">
        <f t="shared" ca="1" si="109"/>
        <v>2.1412236626723438</v>
      </c>
      <c r="C823">
        <f t="shared" ca="1" si="113"/>
        <v>10.755572555195707</v>
      </c>
      <c r="D823" s="21">
        <f t="shared" ca="1" si="110"/>
        <v>4.0301849410677416E-2</v>
      </c>
      <c r="F823">
        <f t="shared" si="111"/>
        <v>0.81700000000000061</v>
      </c>
      <c r="G823">
        <f t="shared" ca="1" si="112"/>
        <v>4.1179230088810165E-2</v>
      </c>
      <c r="H823">
        <f t="shared" ca="1" si="114"/>
        <v>4.1180622946609076E-2</v>
      </c>
      <c r="I823">
        <f t="shared" ca="1" si="115"/>
        <v>1.1103396539419098E-2</v>
      </c>
      <c r="J823" s="5">
        <f t="shared" ca="1" si="116"/>
        <v>3.0077226407189978E-2</v>
      </c>
    </row>
    <row r="824" spans="1:10" x14ac:dyDescent="0.2">
      <c r="A824">
        <f t="shared" ca="1" si="108"/>
        <v>0.31205664036753766</v>
      </c>
      <c r="B824">
        <f t="shared" ca="1" si="109"/>
        <v>-0.49002913726117747</v>
      </c>
      <c r="C824">
        <f t="shared" ca="1" si="113"/>
        <v>10.265543417934529</v>
      </c>
      <c r="D824" s="21">
        <f t="shared" ca="1" si="110"/>
        <v>0.35380731891316336</v>
      </c>
      <c r="F824">
        <f t="shared" si="111"/>
        <v>0.81800000000000062</v>
      </c>
      <c r="G824">
        <f t="shared" ca="1" si="112"/>
        <v>4.7955917082518146E-2</v>
      </c>
      <c r="H824">
        <f t="shared" ca="1" si="114"/>
        <v>4.7957648638207076E-2</v>
      </c>
      <c r="I824">
        <f t="shared" ca="1" si="115"/>
        <v>1.1179896385142456E-2</v>
      </c>
      <c r="J824" s="5">
        <f t="shared" ca="1" si="116"/>
        <v>3.6777752253064622E-2</v>
      </c>
    </row>
    <row r="825" spans="1:10" x14ac:dyDescent="0.2">
      <c r="A825">
        <f t="shared" ca="1" si="108"/>
        <v>0.8236613560725391</v>
      </c>
      <c r="B825">
        <f t="shared" ca="1" si="109"/>
        <v>0.92940876359602043</v>
      </c>
      <c r="C825">
        <f t="shared" ca="1" si="113"/>
        <v>11.194952181530549</v>
      </c>
      <c r="D825" s="21">
        <f t="shared" ca="1" si="110"/>
        <v>0.25902288603180701</v>
      </c>
      <c r="F825">
        <f t="shared" si="111"/>
        <v>0.81900000000000062</v>
      </c>
      <c r="G825">
        <f t="shared" ca="1" si="112"/>
        <v>4.6411590514187008E-2</v>
      </c>
      <c r="H825">
        <f t="shared" ca="1" si="114"/>
        <v>4.6413244679750644E-2</v>
      </c>
      <c r="I825">
        <f t="shared" ca="1" si="115"/>
        <v>1.1163645838211826E-2</v>
      </c>
      <c r="J825" s="5">
        <f t="shared" ca="1" si="116"/>
        <v>3.5249598841538818E-2</v>
      </c>
    </row>
    <row r="826" spans="1:10" x14ac:dyDescent="0.2">
      <c r="A826">
        <f t="shared" ca="1" si="108"/>
        <v>0.82265405863603325</v>
      </c>
      <c r="B826">
        <f t="shared" ca="1" si="109"/>
        <v>0.92552692905007483</v>
      </c>
      <c r="C826">
        <f t="shared" ca="1" si="113"/>
        <v>12.120479110580625</v>
      </c>
      <c r="D826" s="21">
        <f t="shared" ca="1" si="110"/>
        <v>0.259957120842712</v>
      </c>
      <c r="F826">
        <f t="shared" si="111"/>
        <v>0.82000000000000062</v>
      </c>
      <c r="G826">
        <f t="shared" ca="1" si="112"/>
        <v>4.9355850711181121E-2</v>
      </c>
      <c r="H826">
        <f t="shared" ca="1" si="114"/>
        <v>4.9357651925567077E-2</v>
      </c>
      <c r="I826">
        <f t="shared" ca="1" si="115"/>
        <v>1.1197568317108074E-2</v>
      </c>
      <c r="J826" s="5">
        <f t="shared" ca="1" si="116"/>
        <v>3.8160083608459003E-2</v>
      </c>
    </row>
    <row r="827" spans="1:10" x14ac:dyDescent="0.2">
      <c r="A827">
        <f t="shared" ca="1" si="108"/>
        <v>3.3285643326808056E-2</v>
      </c>
      <c r="B827">
        <f t="shared" ca="1" si="109"/>
        <v>-1.8345574600290508</v>
      </c>
      <c r="C827">
        <f t="shared" ca="1" si="113"/>
        <v>10.285921650551574</v>
      </c>
      <c r="D827" s="21">
        <f t="shared" ca="1" si="110"/>
        <v>7.4144523492103265E-2</v>
      </c>
      <c r="F827">
        <f t="shared" si="111"/>
        <v>0.82100000000000062</v>
      </c>
      <c r="G827">
        <f t="shared" ca="1" si="112"/>
        <v>5.2287541671957587E-2</v>
      </c>
      <c r="H827">
        <f t="shared" ca="1" si="114"/>
        <v>5.228948929199382E-2</v>
      </c>
      <c r="I827">
        <f t="shared" ca="1" si="115"/>
        <v>1.12314560028513E-2</v>
      </c>
      <c r="J827" s="5">
        <f t="shared" ca="1" si="116"/>
        <v>4.1058033289142523E-2</v>
      </c>
    </row>
    <row r="828" spans="1:10" x14ac:dyDescent="0.2">
      <c r="A828">
        <f t="shared" ca="1" si="108"/>
        <v>0.50756659507242774</v>
      </c>
      <c r="B828">
        <f t="shared" ca="1" si="109"/>
        <v>1.89677784503888E-2</v>
      </c>
      <c r="C828">
        <f t="shared" ca="1" si="113"/>
        <v>10.304889429001962</v>
      </c>
      <c r="D828" s="21">
        <f t="shared" ca="1" si="110"/>
        <v>0.39887052180341476</v>
      </c>
      <c r="F828">
        <f t="shared" si="111"/>
        <v>0.82200000000000062</v>
      </c>
      <c r="G828">
        <f t="shared" ca="1" si="112"/>
        <v>4.649122266400886E-2</v>
      </c>
      <c r="H828">
        <f t="shared" ca="1" si="114"/>
        <v>4.6492880270919509E-2</v>
      </c>
      <c r="I828">
        <f t="shared" ca="1" si="115"/>
        <v>1.1167547562480321E-2</v>
      </c>
      <c r="J828" s="5">
        <f t="shared" ca="1" si="116"/>
        <v>3.532533270843919E-2</v>
      </c>
    </row>
    <row r="829" spans="1:10" x14ac:dyDescent="0.2">
      <c r="A829">
        <f t="shared" ca="1" si="108"/>
        <v>0.78631246510135722</v>
      </c>
      <c r="B829">
        <f t="shared" ca="1" si="109"/>
        <v>0.79369146567865534</v>
      </c>
      <c r="C829">
        <f t="shared" ca="1" si="113"/>
        <v>11.098580894680618</v>
      </c>
      <c r="D829" s="21">
        <f t="shared" ca="1" si="110"/>
        <v>0.29115147792446527</v>
      </c>
      <c r="F829">
        <f t="shared" si="111"/>
        <v>0.82300000000000062</v>
      </c>
      <c r="G829">
        <f t="shared" ca="1" si="112"/>
        <v>4.6556551657320033E-2</v>
      </c>
      <c r="H829">
        <f t="shared" ca="1" si="114"/>
        <v>4.65582123649491E-2</v>
      </c>
      <c r="I829">
        <f t="shared" ca="1" si="115"/>
        <v>1.1169278458560607E-2</v>
      </c>
      <c r="J829" s="5">
        <f t="shared" ca="1" si="116"/>
        <v>3.5388933906388489E-2</v>
      </c>
    </row>
    <row r="830" spans="1:10" x14ac:dyDescent="0.2">
      <c r="A830">
        <f t="shared" ca="1" si="108"/>
        <v>0.27329955889075686</v>
      </c>
      <c r="B830">
        <f t="shared" ca="1" si="109"/>
        <v>-0.60286407338677728</v>
      </c>
      <c r="C830">
        <f t="shared" ca="1" si="113"/>
        <v>10.49571682129384</v>
      </c>
      <c r="D830" s="21">
        <f t="shared" ca="1" si="110"/>
        <v>0.33265110243696527</v>
      </c>
      <c r="F830">
        <f t="shared" si="111"/>
        <v>0.82400000000000062</v>
      </c>
      <c r="G830">
        <f t="shared" ca="1" si="112"/>
        <v>4.9071643037517002E-2</v>
      </c>
      <c r="H830">
        <f t="shared" ca="1" si="114"/>
        <v>4.9073429334694517E-2</v>
      </c>
      <c r="I830">
        <f t="shared" ca="1" si="115"/>
        <v>1.1198410934836738E-2</v>
      </c>
      <c r="J830" s="5">
        <f t="shared" ca="1" si="116"/>
        <v>3.7875018399857782E-2</v>
      </c>
    </row>
    <row r="831" spans="1:10" x14ac:dyDescent="0.2">
      <c r="A831">
        <f t="shared" ca="1" si="108"/>
        <v>0.53130486114755515</v>
      </c>
      <c r="B831">
        <f t="shared" ca="1" si="109"/>
        <v>7.8550353394247596E-2</v>
      </c>
      <c r="C831">
        <f t="shared" ca="1" si="113"/>
        <v>10.574267174688087</v>
      </c>
      <c r="D831" s="21">
        <f t="shared" ca="1" si="110"/>
        <v>0.3977134085044095</v>
      </c>
      <c r="F831">
        <f t="shared" si="111"/>
        <v>0.82500000000000062</v>
      </c>
      <c r="G831">
        <f t="shared" ca="1" si="112"/>
        <v>4.7170407344398861E-2</v>
      </c>
      <c r="H831">
        <f t="shared" ca="1" si="114"/>
        <v>4.7172098400371933E-2</v>
      </c>
      <c r="I831">
        <f t="shared" ca="1" si="115"/>
        <v>1.1178144230418243E-2</v>
      </c>
      <c r="J831" s="5">
        <f t="shared" ca="1" si="116"/>
        <v>3.5993954169953692E-2</v>
      </c>
    </row>
    <row r="832" spans="1:10" x14ac:dyDescent="0.2">
      <c r="A832">
        <f t="shared" ca="1" si="108"/>
        <v>0.41860681430997382</v>
      </c>
      <c r="B832">
        <f t="shared" ca="1" si="109"/>
        <v>-0.20545887119703435</v>
      </c>
      <c r="C832">
        <f t="shared" ca="1" si="113"/>
        <v>10.368808303491052</v>
      </c>
      <c r="D832" s="21">
        <f t="shared" ca="1" si="110"/>
        <v>0.39061017661330366</v>
      </c>
      <c r="F832">
        <f t="shared" si="111"/>
        <v>0.82600000000000062</v>
      </c>
      <c r="G832">
        <f t="shared" ca="1" si="112"/>
        <v>4.7424075647878303E-2</v>
      </c>
      <c r="H832">
        <f t="shared" ca="1" si="114"/>
        <v>4.7425779218268856E-2</v>
      </c>
      <c r="I832">
        <f t="shared" ca="1" si="115"/>
        <v>1.1181983442251887E-2</v>
      </c>
      <c r="J832" s="5">
        <f t="shared" ca="1" si="116"/>
        <v>3.6243795776016968E-2</v>
      </c>
    </row>
    <row r="833" spans="1:10" x14ac:dyDescent="0.2">
      <c r="A833">
        <f t="shared" ca="1" si="108"/>
        <v>0.19679071732861819</v>
      </c>
      <c r="B833">
        <f t="shared" ca="1" si="109"/>
        <v>-0.8531404274087856</v>
      </c>
      <c r="C833">
        <f t="shared" ca="1" si="113"/>
        <v>9.5156678760822668</v>
      </c>
      <c r="D833" s="21">
        <f t="shared" ca="1" si="110"/>
        <v>0.27724246586338713</v>
      </c>
      <c r="F833">
        <f t="shared" si="111"/>
        <v>0.82700000000000062</v>
      </c>
      <c r="G833">
        <f t="shared" ca="1" si="112"/>
        <v>4.6779647463519258E-2</v>
      </c>
      <c r="H833">
        <f t="shared" ca="1" si="114"/>
        <v>4.6781318641877234E-2</v>
      </c>
      <c r="I833">
        <f t="shared" ca="1" si="115"/>
        <v>1.1175782314875376E-2</v>
      </c>
      <c r="J833" s="5">
        <f t="shared" ca="1" si="116"/>
        <v>3.5605536327001856E-2</v>
      </c>
    </row>
    <row r="834" spans="1:10" x14ac:dyDescent="0.2">
      <c r="A834">
        <f t="shared" ca="1" si="108"/>
        <v>0.96208143903151078</v>
      </c>
      <c r="B834">
        <f t="shared" ca="1" si="109"/>
        <v>1.775368134611355</v>
      </c>
      <c r="C834">
        <f t="shared" ca="1" si="113"/>
        <v>11.291036010693622</v>
      </c>
      <c r="D834" s="21">
        <f t="shared" ca="1" si="110"/>
        <v>8.2504326887022958E-2</v>
      </c>
      <c r="F834">
        <f t="shared" si="111"/>
        <v>0.82800000000000062</v>
      </c>
      <c r="G834">
        <f t="shared" ca="1" si="112"/>
        <v>4.4087237205824123E-2</v>
      </c>
      <c r="H834">
        <f t="shared" ca="1" si="114"/>
        <v>4.4088773595431736E-2</v>
      </c>
      <c r="I834">
        <f t="shared" ca="1" si="115"/>
        <v>1.1146731065512967E-2</v>
      </c>
      <c r="J834" s="5">
        <f t="shared" ca="1" si="116"/>
        <v>3.2942042529918766E-2</v>
      </c>
    </row>
    <row r="835" spans="1:10" x14ac:dyDescent="0.2">
      <c r="A835">
        <f t="shared" ca="1" si="108"/>
        <v>2.8483172599189865E-2</v>
      </c>
      <c r="B835">
        <f t="shared" ca="1" si="109"/>
        <v>-1.903568955279008</v>
      </c>
      <c r="C835">
        <f t="shared" ca="1" si="113"/>
        <v>9.3874670554146142</v>
      </c>
      <c r="D835" s="21">
        <f t="shared" ca="1" si="110"/>
        <v>6.5171963059592095E-2</v>
      </c>
      <c r="F835">
        <f t="shared" si="111"/>
        <v>0.82900000000000063</v>
      </c>
      <c r="G835">
        <f t="shared" ca="1" si="112"/>
        <v>4.9706754494551558E-2</v>
      </c>
      <c r="H835">
        <f t="shared" ca="1" si="114"/>
        <v>4.9708571708728493E-2</v>
      </c>
      <c r="I835">
        <f t="shared" ca="1" si="115"/>
        <v>1.1210552070745824E-2</v>
      </c>
      <c r="J835" s="5">
        <f t="shared" ca="1" si="116"/>
        <v>3.8498019637982668E-2</v>
      </c>
    </row>
    <row r="836" spans="1:10" x14ac:dyDescent="0.2">
      <c r="A836">
        <f t="shared" ca="1" si="108"/>
        <v>0.50602504961695283</v>
      </c>
      <c r="B836">
        <f t="shared" ca="1" si="109"/>
        <v>1.5103133888782925E-2</v>
      </c>
      <c r="C836">
        <f t="shared" ca="1" si="113"/>
        <v>9.4025701893033968</v>
      </c>
      <c r="D836" s="21">
        <f t="shared" ca="1" si="110"/>
        <v>0.39889678270077</v>
      </c>
      <c r="F836">
        <f t="shared" si="111"/>
        <v>0.83000000000000063</v>
      </c>
      <c r="G836">
        <f t="shared" ca="1" si="112"/>
        <v>4.3692470953914167E-2</v>
      </c>
      <c r="H836">
        <f t="shared" ca="1" si="114"/>
        <v>4.3693987269688754E-2</v>
      </c>
      <c r="I836">
        <f t="shared" ca="1" si="115"/>
        <v>1.1144330244756572E-2</v>
      </c>
      <c r="J836" s="5">
        <f t="shared" ca="1" si="116"/>
        <v>3.2549657024932184E-2</v>
      </c>
    </row>
    <row r="837" spans="1:10" x14ac:dyDescent="0.2">
      <c r="A837">
        <f t="shared" ca="1" si="108"/>
        <v>0.3774706619699143</v>
      </c>
      <c r="B837">
        <f t="shared" ca="1" si="109"/>
        <v>-0.3121305316364415</v>
      </c>
      <c r="C837">
        <f t="shared" ca="1" si="113"/>
        <v>9.0904396576669555</v>
      </c>
      <c r="D837" s="21">
        <f t="shared" ca="1" si="110"/>
        <v>0.3799744491525856</v>
      </c>
      <c r="F837">
        <f t="shared" si="111"/>
        <v>0.83100000000000063</v>
      </c>
      <c r="G837">
        <f t="shared" ca="1" si="112"/>
        <v>4.3745859340269894E-2</v>
      </c>
      <c r="H837">
        <f t="shared" ca="1" si="114"/>
        <v>4.3747378173856814E-2</v>
      </c>
      <c r="I837">
        <f t="shared" ca="1" si="115"/>
        <v>1.1145921326286815E-2</v>
      </c>
      <c r="J837" s="5">
        <f t="shared" ca="1" si="116"/>
        <v>3.2601456847570001E-2</v>
      </c>
    </row>
    <row r="838" spans="1:10" x14ac:dyDescent="0.2">
      <c r="A838">
        <f t="shared" ca="1" si="108"/>
        <v>0.20043533025041338</v>
      </c>
      <c r="B838">
        <f t="shared" ca="1" si="109"/>
        <v>-0.84006728717527013</v>
      </c>
      <c r="C838">
        <f t="shared" ca="1" si="113"/>
        <v>8.2503723704916858</v>
      </c>
      <c r="D838" s="21">
        <f t="shared" ca="1" si="110"/>
        <v>0.28032796527657666</v>
      </c>
      <c r="F838">
        <f t="shared" si="111"/>
        <v>0.83200000000000063</v>
      </c>
      <c r="G838">
        <f t="shared" ca="1" si="112"/>
        <v>4.2764490415938251E-2</v>
      </c>
      <c r="H838">
        <f t="shared" ca="1" si="114"/>
        <v>4.2765960028789025E-2</v>
      </c>
      <c r="I838">
        <f t="shared" ca="1" si="115"/>
        <v>1.1135983113967379E-2</v>
      </c>
      <c r="J838" s="5">
        <f t="shared" ca="1" si="116"/>
        <v>3.1629976914821646E-2</v>
      </c>
    </row>
    <row r="839" spans="1:10" x14ac:dyDescent="0.2">
      <c r="A839">
        <f t="shared" ref="A839:A902" ca="1" si="117">RAND()</f>
        <v>0.73198040350748461</v>
      </c>
      <c r="B839">
        <f t="shared" ref="B839:B902" ca="1" si="118">NORMSINV(A839)</f>
        <v>0.61881355266572713</v>
      </c>
      <c r="C839">
        <f t="shared" ca="1" si="113"/>
        <v>8.8691859231574135</v>
      </c>
      <c r="D839" s="21">
        <f t="shared" ref="D839:D902" ca="1" si="119">_xlfn.NORM.DIST(B839,0,1,FALSE)</f>
        <v>0.32942596484268621</v>
      </c>
      <c r="F839">
        <f t="shared" ref="F839:F902" si="120">F838+$M$2/$N$2</f>
        <v>0.83300000000000063</v>
      </c>
      <c r="G839">
        <f t="shared" ref="G839:G902" ca="1" si="121">G838*EXP(-$M$4*$O$2) + $O$4*(1-EXP(-$M$4*$O$2)) + $N$4* SQRT((1-EXP(-2*$M$4*$O$2))/(2*$M$4)) *B838</f>
        <v>4.0113820486222612E-2</v>
      </c>
      <c r="H839">
        <f t="shared" ca="1" si="114"/>
        <v>4.0115157417513536E-2</v>
      </c>
      <c r="I839">
        <f t="shared" ca="1" si="115"/>
        <v>1.1107494506247354E-2</v>
      </c>
      <c r="J839" s="5">
        <f t="shared" ca="1" si="116"/>
        <v>2.9007662911266184E-2</v>
      </c>
    </row>
    <row r="840" spans="1:10" x14ac:dyDescent="0.2">
      <c r="A840">
        <f t="shared" ca="1" si="117"/>
        <v>0.40183340742078966</v>
      </c>
      <c r="B840">
        <f t="shared" ca="1" si="118"/>
        <v>-0.24860438680200836</v>
      </c>
      <c r="C840">
        <f t="shared" ref="C840:C903" ca="1" si="122">B840+C839</f>
        <v>8.6205815363554059</v>
      </c>
      <c r="D840" s="21">
        <f t="shared" ca="1" si="119"/>
        <v>0.38680267342761604</v>
      </c>
      <c r="F840">
        <f t="shared" si="120"/>
        <v>0.83400000000000063</v>
      </c>
      <c r="G840">
        <f t="shared" ca="1" si="121"/>
        <v>4.2076571239220269E-2</v>
      </c>
      <c r="H840">
        <f t="shared" ref="H840:H903" ca="1" si="123">H839+($M$6 + $N$6*H839)*$O$2 + $O$6*H839^$P$6*SQRT($O$2)*B839</f>
        <v>4.2078006175176041E-2</v>
      </c>
      <c r="I840">
        <f t="shared" ref="I840:I903" ca="1" si="124">I839*EXP(($M$8-0.5*($N$8^2))*$O$2 + $N$8*SQRT($O$2)*B839)</f>
        <v>1.1130308930963338E-2</v>
      </c>
      <c r="J840" s="5">
        <f t="shared" ref="J840:J903" ca="1" si="125">ABS(H840-I840)</f>
        <v>3.0947697244212702E-2</v>
      </c>
    </row>
    <row r="841" spans="1:10" x14ac:dyDescent="0.2">
      <c r="A841">
        <f t="shared" ca="1" si="117"/>
        <v>0.20438984157488349</v>
      </c>
      <c r="B841">
        <f t="shared" ca="1" si="118"/>
        <v>-0.82604302946097574</v>
      </c>
      <c r="C841">
        <f t="shared" ca="1" si="122"/>
        <v>7.7945385068944297</v>
      </c>
      <c r="D841" s="21">
        <f t="shared" ca="1" si="119"/>
        <v>0.2836222373405804</v>
      </c>
      <c r="F841">
        <f t="shared" si="120"/>
        <v>0.83500000000000063</v>
      </c>
      <c r="G841">
        <f t="shared" ca="1" si="121"/>
        <v>4.1296246500052182E-2</v>
      </c>
      <c r="H841">
        <f t="shared" ca="1" si="123"/>
        <v>4.1297642275954671E-2</v>
      </c>
      <c r="I841">
        <f t="shared" ca="1" si="124"/>
        <v>1.112261880791021E-2</v>
      </c>
      <c r="J841" s="5">
        <f t="shared" ca="1" si="125"/>
        <v>3.017502346804446E-2</v>
      </c>
    </row>
    <row r="842" spans="1:10" x14ac:dyDescent="0.2">
      <c r="A842">
        <f t="shared" ca="1" si="117"/>
        <v>0.32461397339646114</v>
      </c>
      <c r="B842">
        <f t="shared" ca="1" si="118"/>
        <v>-0.45483500211525069</v>
      </c>
      <c r="C842">
        <f t="shared" ca="1" si="122"/>
        <v>7.3397035047791794</v>
      </c>
      <c r="D842" s="21">
        <f t="shared" ca="1" si="119"/>
        <v>0.35973919342894728</v>
      </c>
      <c r="F842">
        <f t="shared" si="120"/>
        <v>0.83600000000000063</v>
      </c>
      <c r="G842">
        <f t="shared" ca="1" si="121"/>
        <v>3.8690069766920063E-2</v>
      </c>
      <c r="H842">
        <f t="shared" ca="1" si="123"/>
        <v>3.8691335093324827E-2</v>
      </c>
      <c r="I842">
        <f t="shared" ca="1" si="124"/>
        <v>1.1094656410935126E-2</v>
      </c>
      <c r="J842" s="5">
        <f t="shared" ca="1" si="125"/>
        <v>2.75966786823897E-2</v>
      </c>
    </row>
    <row r="843" spans="1:10" x14ac:dyDescent="0.2">
      <c r="A843">
        <f t="shared" ca="1" si="117"/>
        <v>0.62488021349951584</v>
      </c>
      <c r="B843">
        <f t="shared" ca="1" si="118"/>
        <v>0.31832348322317494</v>
      </c>
      <c r="C843">
        <f t="shared" ca="1" si="122"/>
        <v>7.6580269880023542</v>
      </c>
      <c r="D843" s="21">
        <f t="shared" ca="1" si="119"/>
        <v>0.37923339208197987</v>
      </c>
      <c r="F843">
        <f t="shared" si="120"/>
        <v>0.83700000000000063</v>
      </c>
      <c r="G843">
        <f t="shared" ca="1" si="121"/>
        <v>3.7257957799884195E-2</v>
      </c>
      <c r="H843">
        <f t="shared" ca="1" si="123"/>
        <v>3.7259151393563804E-2</v>
      </c>
      <c r="I843">
        <f t="shared" ca="1" si="124"/>
        <v>1.1079762803010613E-2</v>
      </c>
      <c r="J843" s="5">
        <f t="shared" ca="1" si="125"/>
        <v>2.6179388590553191E-2</v>
      </c>
    </row>
    <row r="844" spans="1:10" x14ac:dyDescent="0.2">
      <c r="A844">
        <f t="shared" ca="1" si="117"/>
        <v>1.4960456676900935E-2</v>
      </c>
      <c r="B844">
        <f t="shared" ca="1" si="118"/>
        <v>-2.1711357366872508</v>
      </c>
      <c r="C844">
        <f t="shared" ca="1" si="122"/>
        <v>5.4868912513151038</v>
      </c>
      <c r="D844" s="21">
        <f t="shared" ca="1" si="119"/>
        <v>3.7784597733378597E-2</v>
      </c>
      <c r="F844">
        <f t="shared" si="120"/>
        <v>0.83800000000000063</v>
      </c>
      <c r="G844">
        <f t="shared" ca="1" si="121"/>
        <v>3.8270808600843143E-2</v>
      </c>
      <c r="H844">
        <f t="shared" ca="1" si="123"/>
        <v>3.8272052718128079E-2</v>
      </c>
      <c r="I844">
        <f t="shared" ca="1" si="124"/>
        <v>1.1091975297096868E-2</v>
      </c>
      <c r="J844" s="5">
        <f t="shared" ca="1" si="125"/>
        <v>2.718007742103121E-2</v>
      </c>
    </row>
    <row r="845" spans="1:10" x14ac:dyDescent="0.2">
      <c r="A845">
        <f t="shared" ca="1" si="117"/>
        <v>0.77767134718050768</v>
      </c>
      <c r="B845">
        <f t="shared" ca="1" si="118"/>
        <v>0.76435233458754714</v>
      </c>
      <c r="C845">
        <f t="shared" ca="1" si="122"/>
        <v>6.2512435859026514</v>
      </c>
      <c r="D845" s="21">
        <f t="shared" ca="1" si="119"/>
        <v>0.29788261517158099</v>
      </c>
      <c r="F845">
        <f t="shared" si="120"/>
        <v>0.83900000000000063</v>
      </c>
      <c r="G845">
        <f t="shared" ca="1" si="121"/>
        <v>3.1411590446426954E-2</v>
      </c>
      <c r="H845">
        <f t="shared" ca="1" si="123"/>
        <v>3.1412491475536951E-2</v>
      </c>
      <c r="I845">
        <f t="shared" ca="1" si="124"/>
        <v>1.1017128153397013E-2</v>
      </c>
      <c r="J845" s="5">
        <f t="shared" ca="1" si="125"/>
        <v>2.0395363322139939E-2</v>
      </c>
    </row>
    <row r="846" spans="1:10" x14ac:dyDescent="0.2">
      <c r="A846">
        <f t="shared" ca="1" si="117"/>
        <v>0.45386568934557248</v>
      </c>
      <c r="B846">
        <f t="shared" ca="1" si="118"/>
        <v>-0.11590052616122098</v>
      </c>
      <c r="C846">
        <f t="shared" ca="1" si="122"/>
        <v>6.1353430597414302</v>
      </c>
      <c r="D846" s="21">
        <f t="shared" ca="1" si="119"/>
        <v>0.39627177636008615</v>
      </c>
      <c r="F846">
        <f t="shared" si="120"/>
        <v>0.84000000000000064</v>
      </c>
      <c r="G846">
        <f t="shared" ca="1" si="121"/>
        <v>3.3835422406935226E-2</v>
      </c>
      <c r="H846">
        <f t="shared" ca="1" si="123"/>
        <v>3.3836444538553147E-2</v>
      </c>
      <c r="I846">
        <f t="shared" ca="1" si="124"/>
        <v>1.1044839009937373E-2</v>
      </c>
      <c r="J846" s="5">
        <f t="shared" ca="1" si="125"/>
        <v>2.2791605528615776E-2</v>
      </c>
    </row>
    <row r="847" spans="1:10" x14ac:dyDescent="0.2">
      <c r="A847">
        <f t="shared" ca="1" si="117"/>
        <v>0.29252008600293877</v>
      </c>
      <c r="B847">
        <f t="shared" ca="1" si="118"/>
        <v>-0.54603748288572018</v>
      </c>
      <c r="C847">
        <f t="shared" ca="1" si="122"/>
        <v>5.5893055768557103</v>
      </c>
      <c r="D847" s="21">
        <f t="shared" ca="1" si="119"/>
        <v>0.34368937830933527</v>
      </c>
      <c r="F847">
        <f t="shared" si="120"/>
        <v>0.84100000000000064</v>
      </c>
      <c r="G847">
        <f t="shared" ca="1" si="121"/>
        <v>3.347554721391998E-2</v>
      </c>
      <c r="H847">
        <f t="shared" ca="1" si="123"/>
        <v>3.3476551249417896E-2</v>
      </c>
      <c r="I847">
        <f t="shared" ca="1" si="124"/>
        <v>1.1041840636684268E-2</v>
      </c>
      <c r="J847" s="5">
        <f t="shared" ca="1" si="125"/>
        <v>2.2434710612733628E-2</v>
      </c>
    </row>
    <row r="848" spans="1:10" x14ac:dyDescent="0.2">
      <c r="A848">
        <f t="shared" ca="1" si="117"/>
        <v>0.17440043165388897</v>
      </c>
      <c r="B848">
        <f t="shared" ca="1" si="118"/>
        <v>-0.93691775917773945</v>
      </c>
      <c r="C848">
        <f t="shared" ca="1" si="122"/>
        <v>4.6523878176779707</v>
      </c>
      <c r="D848" s="21">
        <f t="shared" ca="1" si="119"/>
        <v>0.25721422604380112</v>
      </c>
      <c r="F848">
        <f t="shared" si="120"/>
        <v>0.84200000000000064</v>
      </c>
      <c r="G848">
        <f t="shared" ca="1" si="121"/>
        <v>3.1755563525352824E-2</v>
      </c>
      <c r="H848">
        <f t="shared" ca="1" si="123"/>
        <v>3.1756481460548866E-2</v>
      </c>
      <c r="I848">
        <f t="shared" ca="1" si="124"/>
        <v>1.1023838112473061E-2</v>
      </c>
      <c r="J848" s="5">
        <f t="shared" ca="1" si="125"/>
        <v>2.0732643348075806E-2</v>
      </c>
    </row>
    <row r="849" spans="1:10" x14ac:dyDescent="0.2">
      <c r="A849">
        <f t="shared" ca="1" si="117"/>
        <v>0.39512204258508865</v>
      </c>
      <c r="B849">
        <f t="shared" ca="1" si="118"/>
        <v>-0.26599366858353235</v>
      </c>
      <c r="C849">
        <f t="shared" ca="1" si="122"/>
        <v>4.3863941490944383</v>
      </c>
      <c r="D849" s="21">
        <f t="shared" ca="1" si="119"/>
        <v>0.38507588929464898</v>
      </c>
      <c r="F849">
        <f t="shared" si="120"/>
        <v>0.84300000000000064</v>
      </c>
      <c r="G849">
        <f t="shared" ca="1" si="121"/>
        <v>2.8799741662059439E-2</v>
      </c>
      <c r="H849">
        <f t="shared" ca="1" si="123"/>
        <v>2.8800511713140027E-2</v>
      </c>
      <c r="I849">
        <f t="shared" ca="1" si="124"/>
        <v>1.0992269302641954E-2</v>
      </c>
      <c r="J849" s="5">
        <f t="shared" ca="1" si="125"/>
        <v>1.7808242410498075E-2</v>
      </c>
    </row>
    <row r="850" spans="1:10" x14ac:dyDescent="0.2">
      <c r="A850">
        <f t="shared" ca="1" si="117"/>
        <v>0.2138376814372408</v>
      </c>
      <c r="B850">
        <f t="shared" ca="1" si="118"/>
        <v>-0.79317587212314133</v>
      </c>
      <c r="C850">
        <f t="shared" ca="1" si="122"/>
        <v>3.5932182769712968</v>
      </c>
      <c r="D850" s="21">
        <f t="shared" ca="1" si="119"/>
        <v>0.29127060924081866</v>
      </c>
      <c r="F850">
        <f t="shared" si="120"/>
        <v>0.84400000000000064</v>
      </c>
      <c r="G850">
        <f t="shared" ca="1" si="121"/>
        <v>2.796575755153536E-2</v>
      </c>
      <c r="H850">
        <f t="shared" ca="1" si="123"/>
        <v>2.7966485826060778E-2</v>
      </c>
      <c r="I850">
        <f t="shared" ca="1" si="124"/>
        <v>1.0984070525796589E-2</v>
      </c>
      <c r="J850" s="5">
        <f t="shared" ca="1" si="125"/>
        <v>1.6982415300264189E-2</v>
      </c>
    </row>
    <row r="851" spans="1:10" x14ac:dyDescent="0.2">
      <c r="A851">
        <f t="shared" ca="1" si="117"/>
        <v>0.47202396857561546</v>
      </c>
      <c r="B851">
        <f t="shared" ca="1" si="118"/>
        <v>-7.0183085235134474E-2</v>
      </c>
      <c r="C851">
        <f t="shared" ca="1" si="122"/>
        <v>3.5230351917361622</v>
      </c>
      <c r="D851" s="21">
        <f t="shared" ca="1" si="119"/>
        <v>0.39796096120578583</v>
      </c>
      <c r="F851">
        <f t="shared" si="120"/>
        <v>0.84500000000000064</v>
      </c>
      <c r="G851">
        <f t="shared" ca="1" si="121"/>
        <v>2.5464843681513194E-2</v>
      </c>
      <c r="H851">
        <f t="shared" ca="1" si="123"/>
        <v>2.546544683647859E-2</v>
      </c>
      <c r="I851">
        <f t="shared" ca="1" si="124"/>
        <v>1.0957595260191934E-2</v>
      </c>
      <c r="J851" s="5">
        <f t="shared" ca="1" si="125"/>
        <v>1.4507851576286656E-2</v>
      </c>
    </row>
    <row r="852" spans="1:10" x14ac:dyDescent="0.2">
      <c r="A852">
        <f t="shared" ca="1" si="117"/>
        <v>0.24106095639772129</v>
      </c>
      <c r="B852">
        <f t="shared" ca="1" si="118"/>
        <v>-0.70289383603154698</v>
      </c>
      <c r="C852">
        <f t="shared" ca="1" si="122"/>
        <v>2.8201413557046151</v>
      </c>
      <c r="D852" s="21">
        <f t="shared" ca="1" si="119"/>
        <v>0.31162074060404094</v>
      </c>
      <c r="F852">
        <f t="shared" si="120"/>
        <v>0.84600000000000064</v>
      </c>
      <c r="G852">
        <f t="shared" ca="1" si="121"/>
        <v>2.5250369518378699E-2</v>
      </c>
      <c r="H852">
        <f t="shared" ca="1" si="123"/>
        <v>2.5250961889234182E-2</v>
      </c>
      <c r="I852">
        <f t="shared" ca="1" si="124"/>
        <v>1.0956204408831792E-2</v>
      </c>
      <c r="J852" s="5">
        <f t="shared" ca="1" si="125"/>
        <v>1.429475748040239E-2</v>
      </c>
    </row>
    <row r="853" spans="1:10" x14ac:dyDescent="0.2">
      <c r="A853">
        <f t="shared" ca="1" si="117"/>
        <v>0.41736158684741387</v>
      </c>
      <c r="B853">
        <f t="shared" ca="1" si="118"/>
        <v>-0.20864782434851054</v>
      </c>
      <c r="C853">
        <f t="shared" ca="1" si="122"/>
        <v>2.6114935313561047</v>
      </c>
      <c r="D853" s="21">
        <f t="shared" ca="1" si="119"/>
        <v>0.39035234831693916</v>
      </c>
      <c r="F853">
        <f t="shared" si="120"/>
        <v>0.84700000000000064</v>
      </c>
      <c r="G853">
        <f t="shared" ca="1" si="121"/>
        <v>2.303520976518179E-2</v>
      </c>
      <c r="H853">
        <f t="shared" ca="1" si="123"/>
        <v>2.303569131789264E-2</v>
      </c>
      <c r="I853">
        <f t="shared" ca="1" si="124"/>
        <v>1.0932917177911852E-2</v>
      </c>
      <c r="J853" s="5">
        <f t="shared" ca="1" si="125"/>
        <v>1.2102774139980788E-2</v>
      </c>
    </row>
    <row r="854" spans="1:10" x14ac:dyDescent="0.2">
      <c r="A854">
        <f t="shared" ca="1" si="117"/>
        <v>0.22580291346803261</v>
      </c>
      <c r="B854">
        <f t="shared" ca="1" si="118"/>
        <v>-0.75274056769437947</v>
      </c>
      <c r="C854">
        <f t="shared" ca="1" si="122"/>
        <v>1.8587529636617253</v>
      </c>
      <c r="D854" s="21">
        <f t="shared" ca="1" si="119"/>
        <v>0.30051797364557259</v>
      </c>
      <c r="F854">
        <f t="shared" si="120"/>
        <v>0.84800000000000064</v>
      </c>
      <c r="G854">
        <f t="shared" ca="1" si="121"/>
        <v>2.2383136494357279E-2</v>
      </c>
      <c r="H854">
        <f t="shared" ca="1" si="123"/>
        <v>2.238358539498082E-2</v>
      </c>
      <c r="I854">
        <f t="shared" ca="1" si="124"/>
        <v>1.0926743984037406E-2</v>
      </c>
      <c r="J854" s="5">
        <f t="shared" ca="1" si="125"/>
        <v>1.1456841410943414E-2</v>
      </c>
    </row>
    <row r="855" spans="1:10" x14ac:dyDescent="0.2">
      <c r="A855">
        <f t="shared" ca="1" si="117"/>
        <v>0.57101982424301989</v>
      </c>
      <c r="B855">
        <f t="shared" ca="1" si="118"/>
        <v>0.17897115429244467</v>
      </c>
      <c r="C855">
        <f t="shared" ca="1" si="122"/>
        <v>2.0377241179541699</v>
      </c>
      <c r="D855" s="21">
        <f t="shared" ca="1" si="119"/>
        <v>0.39260397584135359</v>
      </c>
      <c r="F855">
        <f t="shared" si="120"/>
        <v>0.84900000000000064</v>
      </c>
      <c r="G855">
        <f t="shared" ca="1" si="121"/>
        <v>2.0010642125289222E-2</v>
      </c>
      <c r="H855">
        <f t="shared" ca="1" si="123"/>
        <v>2.0010972355318922E-2</v>
      </c>
      <c r="I855">
        <f t="shared" ca="1" si="124"/>
        <v>1.0901800793114074E-2</v>
      </c>
      <c r="J855" s="5">
        <f t="shared" ca="1" si="125"/>
        <v>9.1091715622048479E-3</v>
      </c>
    </row>
    <row r="856" spans="1:10" x14ac:dyDescent="0.2">
      <c r="A856">
        <f t="shared" ca="1" si="117"/>
        <v>0.66302645939433991</v>
      </c>
      <c r="B856">
        <f t="shared" ca="1" si="118"/>
        <v>0.42073708034187851</v>
      </c>
      <c r="C856">
        <f t="shared" ca="1" si="122"/>
        <v>2.4584611982960483</v>
      </c>
      <c r="D856" s="21">
        <f t="shared" ca="1" si="119"/>
        <v>0.36514951519944555</v>
      </c>
      <c r="F856">
        <f t="shared" si="120"/>
        <v>0.85000000000000064</v>
      </c>
      <c r="G856">
        <f t="shared" ca="1" si="121"/>
        <v>2.0584568847531654E-2</v>
      </c>
      <c r="H856">
        <f t="shared" ca="1" si="123"/>
        <v>2.0584927741116938E-2</v>
      </c>
      <c r="I856">
        <f t="shared" ca="1" si="124"/>
        <v>1.090900879084903E-2</v>
      </c>
      <c r="J856" s="5">
        <f t="shared" ca="1" si="125"/>
        <v>9.6759189502679081E-3</v>
      </c>
    </row>
    <row r="857" spans="1:10" x14ac:dyDescent="0.2">
      <c r="A857">
        <f t="shared" ca="1" si="117"/>
        <v>0.24295251065003742</v>
      </c>
      <c r="B857">
        <f t="shared" ca="1" si="118"/>
        <v>-0.6968366590776055</v>
      </c>
      <c r="C857">
        <f t="shared" ca="1" si="122"/>
        <v>1.7616245392184426</v>
      </c>
      <c r="D857" s="21">
        <f t="shared" ca="1" si="119"/>
        <v>0.31294456964155454</v>
      </c>
      <c r="F857">
        <f t="shared" si="120"/>
        <v>0.85100000000000064</v>
      </c>
      <c r="G857">
        <f t="shared" ca="1" si="121"/>
        <v>2.1922930941950802E-2</v>
      </c>
      <c r="H857">
        <f t="shared" ca="1" si="123"/>
        <v>2.1923356718312415E-2</v>
      </c>
      <c r="I857">
        <f t="shared" ca="1" si="124"/>
        <v>1.0924570535090746E-2</v>
      </c>
      <c r="J857" s="5">
        <f t="shared" ca="1" si="125"/>
        <v>1.0998786183221669E-2</v>
      </c>
    </row>
    <row r="858" spans="1:10" x14ac:dyDescent="0.2">
      <c r="A858">
        <f t="shared" ca="1" si="117"/>
        <v>0.49458273459695457</v>
      </c>
      <c r="B858">
        <f t="shared" ca="1" si="118"/>
        <v>-1.3579487967483744E-2</v>
      </c>
      <c r="C858">
        <f t="shared" ca="1" si="122"/>
        <v>1.7480450512509589</v>
      </c>
      <c r="D858" s="21">
        <f t="shared" ca="1" si="119"/>
        <v>0.39890549912147255</v>
      </c>
      <c r="F858">
        <f t="shared" si="120"/>
        <v>0.85200000000000065</v>
      </c>
      <c r="G858">
        <f t="shared" ca="1" si="121"/>
        <v>1.9727257433656168E-2</v>
      </c>
      <c r="H858">
        <f t="shared" ca="1" si="123"/>
        <v>1.9727573382853102E-2</v>
      </c>
      <c r="I858">
        <f t="shared" ca="1" si="124"/>
        <v>1.0901559353095476E-2</v>
      </c>
      <c r="J858" s="5">
        <f t="shared" ca="1" si="125"/>
        <v>8.8260140297576253E-3</v>
      </c>
    </row>
    <row r="859" spans="1:10" x14ac:dyDescent="0.2">
      <c r="A859">
        <f t="shared" ca="1" si="117"/>
        <v>0.56219595848736437</v>
      </c>
      <c r="B859">
        <f t="shared" ca="1" si="118"/>
        <v>0.15653912377871682</v>
      </c>
      <c r="C859">
        <f t="shared" ca="1" si="122"/>
        <v>1.9045841750296757</v>
      </c>
      <c r="D859" s="21">
        <f t="shared" ca="1" si="119"/>
        <v>0.39408416259780749</v>
      </c>
      <c r="F859">
        <f t="shared" si="120"/>
        <v>0.85300000000000065</v>
      </c>
      <c r="G859">
        <f t="shared" ca="1" si="121"/>
        <v>1.9692344342142482E-2</v>
      </c>
      <c r="H859">
        <f t="shared" ca="1" si="123"/>
        <v>1.9692658514078715E-2</v>
      </c>
      <c r="I859">
        <f t="shared" ca="1" si="124"/>
        <v>1.0902126880029452E-2</v>
      </c>
      <c r="J859" s="5">
        <f t="shared" ca="1" si="125"/>
        <v>8.7905316340492635E-3</v>
      </c>
    </row>
    <row r="860" spans="1:10" x14ac:dyDescent="0.2">
      <c r="A860">
        <f t="shared" ca="1" si="117"/>
        <v>0.83150927939961039</v>
      </c>
      <c r="B860">
        <f t="shared" ca="1" si="118"/>
        <v>0.96014659364888766</v>
      </c>
      <c r="C860">
        <f t="shared" ca="1" si="122"/>
        <v>2.8647307686785632</v>
      </c>
      <c r="D860" s="21">
        <f t="shared" ca="1" si="119"/>
        <v>0.25160892700270032</v>
      </c>
      <c r="F860">
        <f t="shared" si="120"/>
        <v>0.85400000000000065</v>
      </c>
      <c r="G860">
        <f t="shared" ca="1" si="121"/>
        <v>2.0195370130273688E-2</v>
      </c>
      <c r="H860">
        <f t="shared" ca="1" si="123"/>
        <v>2.0195709422295077E-2</v>
      </c>
      <c r="I860">
        <f t="shared" ca="1" si="124"/>
        <v>1.0908561252847138E-2</v>
      </c>
      <c r="J860" s="5">
        <f t="shared" ca="1" si="125"/>
        <v>9.2871481694479386E-3</v>
      </c>
    </row>
    <row r="861" spans="1:10" x14ac:dyDescent="0.2">
      <c r="A861">
        <f t="shared" ca="1" si="117"/>
        <v>8.7521337914052588E-2</v>
      </c>
      <c r="B861">
        <f t="shared" ca="1" si="118"/>
        <v>-1.3561775731669481</v>
      </c>
      <c r="C861">
        <f t="shared" ca="1" si="122"/>
        <v>1.5085531955116152</v>
      </c>
      <c r="D861" s="21">
        <f t="shared" ca="1" si="119"/>
        <v>0.15904830176888501</v>
      </c>
      <c r="F861">
        <f t="shared" si="120"/>
        <v>0.85500000000000065</v>
      </c>
      <c r="G861">
        <f t="shared" ca="1" si="121"/>
        <v>2.3239448511652522E-2</v>
      </c>
      <c r="H861">
        <f t="shared" ca="1" si="123"/>
        <v>2.3239939974935491E-2</v>
      </c>
      <c r="I861">
        <f t="shared" ca="1" si="124"/>
        <v>1.0942772220213693E-2</v>
      </c>
      <c r="J861" s="5">
        <f t="shared" ca="1" si="125"/>
        <v>1.2297167754721798E-2</v>
      </c>
    </row>
    <row r="862" spans="1:10" x14ac:dyDescent="0.2">
      <c r="A862">
        <f t="shared" ca="1" si="117"/>
        <v>0.4240944689747187</v>
      </c>
      <c r="B862">
        <f t="shared" ca="1" si="118"/>
        <v>-0.19142971930012556</v>
      </c>
      <c r="C862">
        <f t="shared" ca="1" si="122"/>
        <v>1.3171234762114896</v>
      </c>
      <c r="D862" s="21">
        <f t="shared" ca="1" si="119"/>
        <v>0.39169915251488618</v>
      </c>
      <c r="F862">
        <f t="shared" si="120"/>
        <v>0.85600000000000065</v>
      </c>
      <c r="G862">
        <f t="shared" ca="1" si="121"/>
        <v>1.8958728561732113E-2</v>
      </c>
      <c r="H862">
        <f t="shared" ca="1" si="123"/>
        <v>1.895900593809079E-2</v>
      </c>
      <c r="I862">
        <f t="shared" ca="1" si="124"/>
        <v>1.0896978588163988E-2</v>
      </c>
      <c r="J862" s="5">
        <f t="shared" ca="1" si="125"/>
        <v>8.0620273499268022E-3</v>
      </c>
    </row>
    <row r="863" spans="1:10" x14ac:dyDescent="0.2">
      <c r="A863">
        <f t="shared" ca="1" si="117"/>
        <v>0.58057450435278113</v>
      </c>
      <c r="B863">
        <f t="shared" ca="1" si="118"/>
        <v>0.20336341704691746</v>
      </c>
      <c r="C863">
        <f t="shared" ca="1" si="122"/>
        <v>1.520486893258407</v>
      </c>
      <c r="D863" s="21">
        <f t="shared" ca="1" si="119"/>
        <v>0.3907775241408869</v>
      </c>
      <c r="F863">
        <f t="shared" si="120"/>
        <v>0.85700000000000065</v>
      </c>
      <c r="G863">
        <f t="shared" ca="1" si="121"/>
        <v>1.8361508625283143E-2</v>
      </c>
      <c r="H863">
        <f t="shared" ca="1" si="123"/>
        <v>1.836175611266189E-2</v>
      </c>
      <c r="I863">
        <f t="shared" ca="1" si="124"/>
        <v>1.0891418691250959E-2</v>
      </c>
      <c r="J863" s="5">
        <f t="shared" ca="1" si="125"/>
        <v>7.470337421410931E-3</v>
      </c>
    </row>
    <row r="864" spans="1:10" x14ac:dyDescent="0.2">
      <c r="A864">
        <f t="shared" ca="1" si="117"/>
        <v>7.6217125995021395E-2</v>
      </c>
      <c r="B864">
        <f t="shared" ca="1" si="118"/>
        <v>-1.4309859147524078</v>
      </c>
      <c r="C864">
        <f t="shared" ca="1" si="122"/>
        <v>8.9500978505999251E-2</v>
      </c>
      <c r="D864" s="21">
        <f t="shared" ca="1" si="119"/>
        <v>0.14330230239572883</v>
      </c>
      <c r="F864">
        <f t="shared" si="120"/>
        <v>0.85800000000000065</v>
      </c>
      <c r="G864">
        <f t="shared" ca="1" si="121"/>
        <v>1.9012731503624921E-2</v>
      </c>
      <c r="H864">
        <f t="shared" ca="1" si="123"/>
        <v>1.9013011527673596E-2</v>
      </c>
      <c r="I864">
        <f t="shared" ca="1" si="124"/>
        <v>1.0899460523236121E-2</v>
      </c>
      <c r="J864" s="5">
        <f t="shared" ca="1" si="125"/>
        <v>8.1135510044374748E-3</v>
      </c>
    </row>
    <row r="865" spans="1:10" x14ac:dyDescent="0.2">
      <c r="A865">
        <f t="shared" ca="1" si="117"/>
        <v>0.31725006587409521</v>
      </c>
      <c r="B865">
        <f t="shared" ca="1" si="118"/>
        <v>-0.47540247355130583</v>
      </c>
      <c r="C865">
        <f t="shared" ca="1" si="122"/>
        <v>-0.38590149504530658</v>
      </c>
      <c r="D865" s="21">
        <f t="shared" ca="1" si="119"/>
        <v>0.35631422279516772</v>
      </c>
      <c r="F865">
        <f t="shared" si="120"/>
        <v>0.85900000000000065</v>
      </c>
      <c r="G865">
        <f t="shared" ca="1" si="121"/>
        <v>1.4495881284627036E-2</v>
      </c>
      <c r="H865">
        <f t="shared" ca="1" si="123"/>
        <v>1.4495935436283674E-2</v>
      </c>
      <c r="I865">
        <f t="shared" ca="1" si="124"/>
        <v>1.085128080907613E-2</v>
      </c>
      <c r="J865" s="5">
        <f t="shared" ca="1" si="125"/>
        <v>3.6446546272075435E-3</v>
      </c>
    </row>
    <row r="866" spans="1:10" x14ac:dyDescent="0.2">
      <c r="A866">
        <f t="shared" ca="1" si="117"/>
        <v>0.1301801935483976</v>
      </c>
      <c r="B866">
        <f t="shared" ca="1" si="118"/>
        <v>-1.1255397400271689</v>
      </c>
      <c r="C866">
        <f t="shared" ca="1" si="122"/>
        <v>-1.5114412350724755</v>
      </c>
      <c r="D866" s="21">
        <f t="shared" ca="1" si="119"/>
        <v>0.21174800088935142</v>
      </c>
      <c r="F866">
        <f t="shared" si="120"/>
        <v>0.86000000000000065</v>
      </c>
      <c r="G866">
        <f t="shared" ca="1" si="121"/>
        <v>1.3001151811891381E-2</v>
      </c>
      <c r="H866">
        <f t="shared" ca="1" si="123"/>
        <v>1.3001131221039961E-2</v>
      </c>
      <c r="I866">
        <f t="shared" ca="1" si="124"/>
        <v>1.0836009114102638E-2</v>
      </c>
      <c r="J866" s="5">
        <f t="shared" ca="1" si="125"/>
        <v>2.1651221069373238E-3</v>
      </c>
    </row>
    <row r="867" spans="1:10" x14ac:dyDescent="0.2">
      <c r="A867">
        <f t="shared" ca="1" si="117"/>
        <v>0.99150947319950644</v>
      </c>
      <c r="B867">
        <f t="shared" ca="1" si="118"/>
        <v>2.3871177034202553</v>
      </c>
      <c r="C867">
        <f t="shared" ca="1" si="122"/>
        <v>0.87567646834777979</v>
      </c>
      <c r="D867" s="21">
        <f t="shared" ca="1" si="119"/>
        <v>2.3095811501047659E-2</v>
      </c>
      <c r="F867">
        <f t="shared" si="120"/>
        <v>0.86100000000000065</v>
      </c>
      <c r="G867">
        <f t="shared" ca="1" si="121"/>
        <v>9.4507600422547647E-3</v>
      </c>
      <c r="H867">
        <f t="shared" ca="1" si="123"/>
        <v>9.4505619323982173E-3</v>
      </c>
      <c r="I867">
        <f t="shared" ca="1" si="124"/>
        <v>1.0798535209067574E-2</v>
      </c>
      <c r="J867" s="5">
        <f t="shared" ca="1" si="125"/>
        <v>1.3479732766693564E-3</v>
      </c>
    </row>
    <row r="868" spans="1:10" x14ac:dyDescent="0.2">
      <c r="A868">
        <f t="shared" ca="1" si="117"/>
        <v>9.6810262880223541E-2</v>
      </c>
      <c r="B868">
        <f t="shared" ca="1" si="118"/>
        <v>-1.2999429421001114</v>
      </c>
      <c r="C868">
        <f t="shared" ca="1" si="122"/>
        <v>-0.42426647375233162</v>
      </c>
      <c r="D868" s="21">
        <f t="shared" ca="1" si="119"/>
        <v>0.17138130355183653</v>
      </c>
      <c r="F868">
        <f t="shared" si="120"/>
        <v>0.86200000000000065</v>
      </c>
      <c r="G868">
        <f t="shared" ca="1" si="121"/>
        <v>1.7008166078514297E-2</v>
      </c>
      <c r="H868">
        <f t="shared" ca="1" si="123"/>
        <v>1.7008345861923298E-2</v>
      </c>
      <c r="I868">
        <f t="shared" ca="1" si="124"/>
        <v>1.0881392551762148E-2</v>
      </c>
      <c r="J868" s="5">
        <f t="shared" ca="1" si="125"/>
        <v>6.1269533101611495E-3</v>
      </c>
    </row>
    <row r="869" spans="1:10" x14ac:dyDescent="0.2">
      <c r="A869">
        <f t="shared" ca="1" si="117"/>
        <v>0.75230642614896726</v>
      </c>
      <c r="B869">
        <f t="shared" ca="1" si="118"/>
        <v>0.68176565020795221</v>
      </c>
      <c r="C869">
        <f t="shared" ca="1" si="122"/>
        <v>0.25749917645562059</v>
      </c>
      <c r="D869" s="21">
        <f t="shared" ca="1" si="119"/>
        <v>0.31621252812391398</v>
      </c>
      <c r="F869">
        <f t="shared" si="120"/>
        <v>0.86300000000000066</v>
      </c>
      <c r="G869">
        <f t="shared" ca="1" si="121"/>
        <v>1.290588985212688E-2</v>
      </c>
      <c r="H869">
        <f t="shared" ca="1" si="123"/>
        <v>1.2905864502040365E-2</v>
      </c>
      <c r="I869">
        <f t="shared" ca="1" si="124"/>
        <v>1.0837782889486808E-2</v>
      </c>
      <c r="J869" s="5">
        <f t="shared" ca="1" si="125"/>
        <v>2.0680816125535576E-3</v>
      </c>
    </row>
    <row r="870" spans="1:10" x14ac:dyDescent="0.2">
      <c r="A870">
        <f t="shared" ca="1" si="117"/>
        <v>0.12736050315633973</v>
      </c>
      <c r="B870">
        <f t="shared" ca="1" si="118"/>
        <v>-1.1389571995128067</v>
      </c>
      <c r="C870">
        <f t="shared" ca="1" si="122"/>
        <v>-0.88145802305718612</v>
      </c>
      <c r="D870" s="21">
        <f t="shared" ca="1" si="119"/>
        <v>0.20855545865360678</v>
      </c>
      <c r="F870">
        <f t="shared" si="120"/>
        <v>0.86400000000000066</v>
      </c>
      <c r="G870">
        <f t="shared" ca="1" si="121"/>
        <v>1.5070423320685483E-2</v>
      </c>
      <c r="H870">
        <f t="shared" ca="1" si="123"/>
        <v>1.5070506200712938E-2</v>
      </c>
      <c r="I870">
        <f t="shared" ca="1" si="124"/>
        <v>1.0862205481380375E-2</v>
      </c>
      <c r="J870" s="5">
        <f t="shared" ca="1" si="125"/>
        <v>4.2083007193325639E-3</v>
      </c>
    </row>
    <row r="871" spans="1:10" x14ac:dyDescent="0.2">
      <c r="A871">
        <f t="shared" ca="1" si="117"/>
        <v>0.46343115106478361</v>
      </c>
      <c r="B871">
        <f t="shared" ca="1" si="118"/>
        <v>-9.1793256306434909E-2</v>
      </c>
      <c r="C871">
        <f t="shared" ca="1" si="122"/>
        <v>-0.97325127936362099</v>
      </c>
      <c r="D871" s="21">
        <f t="shared" ca="1" si="119"/>
        <v>0.39726507171611736</v>
      </c>
      <c r="F871">
        <f t="shared" si="120"/>
        <v>0.86500000000000066</v>
      </c>
      <c r="G871">
        <f t="shared" ca="1" si="121"/>
        <v>1.1477397023254583E-2</v>
      </c>
      <c r="H871">
        <f t="shared" ca="1" si="123"/>
        <v>1.147730024218558E-2</v>
      </c>
      <c r="I871">
        <f t="shared" ca="1" si="124"/>
        <v>1.082418170521319E-2</v>
      </c>
      <c r="J871" s="5">
        <f t="shared" ca="1" si="125"/>
        <v>6.5311853697238957E-4</v>
      </c>
    </row>
    <row r="872" spans="1:10" x14ac:dyDescent="0.2">
      <c r="A872">
        <f t="shared" ca="1" si="117"/>
        <v>0.21586871939919061</v>
      </c>
      <c r="B872">
        <f t="shared" ca="1" si="118"/>
        <v>-0.78622200120954089</v>
      </c>
      <c r="C872">
        <f t="shared" ca="1" si="122"/>
        <v>-1.7594732805731619</v>
      </c>
      <c r="D872" s="21">
        <f t="shared" ca="1" si="119"/>
        <v>0.29287451129645348</v>
      </c>
      <c r="F872">
        <f t="shared" si="120"/>
        <v>0.86600000000000066</v>
      </c>
      <c r="G872">
        <f t="shared" ca="1" si="121"/>
        <v>1.1195987590365521E-2</v>
      </c>
      <c r="H872">
        <f t="shared" ca="1" si="123"/>
        <v>1.1195876748389412E-2</v>
      </c>
      <c r="I872">
        <f t="shared" ca="1" si="124"/>
        <v>1.082206821122729E-2</v>
      </c>
      <c r="J872" s="5">
        <f t="shared" ca="1" si="125"/>
        <v>3.7380853716212185E-4</v>
      </c>
    </row>
    <row r="873" spans="1:10" x14ac:dyDescent="0.2">
      <c r="A873">
        <f t="shared" ca="1" si="117"/>
        <v>0.87626688499346594</v>
      </c>
      <c r="B873">
        <f t="shared" ca="1" si="118"/>
        <v>1.1565256110542246</v>
      </c>
      <c r="C873">
        <f t="shared" ca="1" si="122"/>
        <v>-0.6029476695189373</v>
      </c>
      <c r="D873" s="21">
        <f t="shared" ca="1" si="119"/>
        <v>0.20439226216253231</v>
      </c>
      <c r="F873">
        <f t="shared" si="120"/>
        <v>0.86700000000000066</v>
      </c>
      <c r="G873">
        <f t="shared" ca="1" si="121"/>
        <v>8.7187395846774676E-3</v>
      </c>
      <c r="H873">
        <f t="shared" ca="1" si="123"/>
        <v>8.7185048903567659E-3</v>
      </c>
      <c r="I873">
        <f t="shared" ca="1" si="124"/>
        <v>1.079622083216562E-2</v>
      </c>
      <c r="J873" s="5">
        <f t="shared" ca="1" si="125"/>
        <v>2.0777159418088539E-3</v>
      </c>
    </row>
    <row r="874" spans="1:10" x14ac:dyDescent="0.2">
      <c r="A874">
        <f t="shared" ca="1" si="117"/>
        <v>9.4201540752465451E-2</v>
      </c>
      <c r="B874">
        <f t="shared" ca="1" si="118"/>
        <v>-1.3153179096284418</v>
      </c>
      <c r="C874">
        <f t="shared" ca="1" si="122"/>
        <v>-1.9182655791473791</v>
      </c>
      <c r="D874" s="21">
        <f t="shared" ca="1" si="119"/>
        <v>0.16797012632253874</v>
      </c>
      <c r="F874">
        <f t="shared" si="120"/>
        <v>0.86800000000000066</v>
      </c>
      <c r="G874">
        <f t="shared" ca="1" si="121"/>
        <v>1.2384939502441057E-2</v>
      </c>
      <c r="H874">
        <f t="shared" ca="1" si="123"/>
        <v>1.238488814311709E-2</v>
      </c>
      <c r="I874">
        <f t="shared" ca="1" si="124"/>
        <v>1.0836807104283011E-2</v>
      </c>
      <c r="J874" s="5">
        <f t="shared" ca="1" si="125"/>
        <v>1.5480810388340781E-3</v>
      </c>
    </row>
    <row r="875" spans="1:10" x14ac:dyDescent="0.2">
      <c r="A875">
        <f t="shared" ca="1" si="117"/>
        <v>0.7459514002790405</v>
      </c>
      <c r="B875">
        <f t="shared" ca="1" si="118"/>
        <v>0.66180344277399017</v>
      </c>
      <c r="C875">
        <f t="shared" ca="1" si="122"/>
        <v>-1.256462136373389</v>
      </c>
      <c r="D875" s="21">
        <f t="shared" ca="1" si="119"/>
        <v>0.32048159452855629</v>
      </c>
      <c r="F875">
        <f t="shared" si="120"/>
        <v>0.86900000000000066</v>
      </c>
      <c r="G875">
        <f t="shared" ca="1" si="121"/>
        <v>8.2345080901497641E-3</v>
      </c>
      <c r="H875">
        <f t="shared" ca="1" si="123"/>
        <v>8.2342492126653843E-3</v>
      </c>
      <c r="I875">
        <f t="shared" ca="1" si="124"/>
        <v>1.0792851368069267E-2</v>
      </c>
      <c r="J875" s="5">
        <f t="shared" ca="1" si="125"/>
        <v>2.5586021554038826E-3</v>
      </c>
    </row>
    <row r="876" spans="1:10" x14ac:dyDescent="0.2">
      <c r="A876">
        <f t="shared" ca="1" si="117"/>
        <v>0.97449346500654144</v>
      </c>
      <c r="B876">
        <f t="shared" ca="1" si="118"/>
        <v>1.9513698109935436</v>
      </c>
      <c r="C876">
        <f t="shared" ca="1" si="122"/>
        <v>0.69490767462015457</v>
      </c>
      <c r="D876" s="21">
        <f t="shared" ca="1" si="119"/>
        <v>5.9435677427134063E-2</v>
      </c>
      <c r="F876">
        <f t="shared" si="120"/>
        <v>0.87000000000000066</v>
      </c>
      <c r="G876">
        <f t="shared" ca="1" si="121"/>
        <v>1.0336385787082993E-2</v>
      </c>
      <c r="H876">
        <f t="shared" ca="1" si="123"/>
        <v>1.033623203025083E-2</v>
      </c>
      <c r="I876">
        <f t="shared" ca="1" si="124"/>
        <v>1.0816489884484861E-2</v>
      </c>
      <c r="J876" s="5">
        <f t="shared" ca="1" si="125"/>
        <v>4.8025785423403029E-4</v>
      </c>
    </row>
    <row r="877" spans="1:10" x14ac:dyDescent="0.2">
      <c r="A877">
        <f t="shared" ca="1" si="117"/>
        <v>0.1733273816814298</v>
      </c>
      <c r="B877">
        <f t="shared" ca="1" si="118"/>
        <v>-0.94109775998976897</v>
      </c>
      <c r="C877">
        <f t="shared" ca="1" si="122"/>
        <v>-0.2461900853696144</v>
      </c>
      <c r="D877" s="21">
        <f t="shared" ca="1" si="119"/>
        <v>0.25620662526034266</v>
      </c>
      <c r="F877">
        <f t="shared" si="120"/>
        <v>0.87100000000000066</v>
      </c>
      <c r="G877">
        <f t="shared" ca="1" si="121"/>
        <v>1.651581633443025E-2</v>
      </c>
      <c r="H877">
        <f t="shared" ca="1" si="123"/>
        <v>1.6515971567079679E-2</v>
      </c>
      <c r="I877">
        <f t="shared" ca="1" si="124"/>
        <v>1.0884476327876605E-2</v>
      </c>
      <c r="J877" s="5">
        <f t="shared" ca="1" si="125"/>
        <v>5.6314952392030743E-3</v>
      </c>
    </row>
    <row r="878" spans="1:10" x14ac:dyDescent="0.2">
      <c r="A878">
        <f t="shared" ca="1" si="117"/>
        <v>0.29607825168791368</v>
      </c>
      <c r="B878">
        <f t="shared" ca="1" si="118"/>
        <v>-0.53571359930235207</v>
      </c>
      <c r="C878">
        <f t="shared" ca="1" si="122"/>
        <v>-0.78190368467196647</v>
      </c>
      <c r="D878" s="21">
        <f t="shared" ca="1" si="119"/>
        <v>0.34561388600616766</v>
      </c>
      <c r="F878">
        <f t="shared" si="120"/>
        <v>0.87200000000000066</v>
      </c>
      <c r="G878">
        <f t="shared" ca="1" si="121"/>
        <v>1.3548300707361021E-2</v>
      </c>
      <c r="H878">
        <f t="shared" ca="1" si="123"/>
        <v>1.3548307547472821E-2</v>
      </c>
      <c r="I878">
        <f t="shared" ca="1" si="124"/>
        <v>1.0853163144857649E-2</v>
      </c>
      <c r="J878" s="5">
        <f t="shared" ca="1" si="125"/>
        <v>2.6951444026151721E-3</v>
      </c>
    </row>
    <row r="879" spans="1:10" x14ac:dyDescent="0.2">
      <c r="A879">
        <f t="shared" ca="1" si="117"/>
        <v>0.51084786211542643</v>
      </c>
      <c r="B879">
        <f t="shared" ca="1" si="118"/>
        <v>2.7194909584639528E-2</v>
      </c>
      <c r="C879">
        <f t="shared" ca="1" si="122"/>
        <v>-0.75470877508732692</v>
      </c>
      <c r="D879" s="21">
        <f t="shared" ca="1" si="119"/>
        <v>0.39879478617716824</v>
      </c>
      <c r="F879">
        <f t="shared" si="120"/>
        <v>0.87300000000000066</v>
      </c>
      <c r="G879">
        <f t="shared" ca="1" si="121"/>
        <v>1.1862954997952172E-2</v>
      </c>
      <c r="H879">
        <f t="shared" ca="1" si="123"/>
        <v>1.1862877569395851E-2</v>
      </c>
      <c r="I879">
        <f t="shared" ca="1" si="124"/>
        <v>1.0835821990002922E-2</v>
      </c>
      <c r="J879" s="5">
        <f t="shared" ca="1" si="125"/>
        <v>1.0270555793929284E-3</v>
      </c>
    </row>
    <row r="880" spans="1:10" x14ac:dyDescent="0.2">
      <c r="A880">
        <f t="shared" ca="1" si="117"/>
        <v>0.8711050163757893</v>
      </c>
      <c r="B880">
        <f t="shared" ca="1" si="118"/>
        <v>1.1316301302656548</v>
      </c>
      <c r="C880">
        <f t="shared" ca="1" si="122"/>
        <v>0.37692135517832792</v>
      </c>
      <c r="D880" s="21">
        <f t="shared" ca="1" si="119"/>
        <v>0.21029753681390587</v>
      </c>
      <c r="F880">
        <f t="shared" si="120"/>
        <v>0.87400000000000067</v>
      </c>
      <c r="G880">
        <f t="shared" ca="1" si="121"/>
        <v>1.1957761817118049E-2</v>
      </c>
      <c r="H880">
        <f t="shared" ca="1" si="123"/>
        <v>1.1957689136688716E-2</v>
      </c>
      <c r="I880">
        <f t="shared" ca="1" si="124"/>
        <v>1.0837783428043498E-2</v>
      </c>
      <c r="J880" s="5">
        <f t="shared" ca="1" si="125"/>
        <v>1.1199057086452181E-3</v>
      </c>
    </row>
    <row r="881" spans="1:10" x14ac:dyDescent="0.2">
      <c r="A881">
        <f t="shared" ca="1" si="117"/>
        <v>0.17495843139143308</v>
      </c>
      <c r="B881">
        <f t="shared" ca="1" si="118"/>
        <v>-0.93475056232670639</v>
      </c>
      <c r="C881">
        <f t="shared" ca="1" si="122"/>
        <v>-0.55782920714837847</v>
      </c>
      <c r="D881" s="21">
        <f t="shared" ca="1" si="119"/>
        <v>0.25773642105550071</v>
      </c>
      <c r="F881">
        <f t="shared" si="120"/>
        <v>0.87500000000000067</v>
      </c>
      <c r="G881">
        <f t="shared" ca="1" si="121"/>
        <v>1.5544915362273251E-2</v>
      </c>
      <c r="H881">
        <f t="shared" ca="1" si="123"/>
        <v>1.5545022048287562E-2</v>
      </c>
      <c r="I881">
        <f t="shared" ca="1" si="124"/>
        <v>1.0877669552856689E-2</v>
      </c>
      <c r="J881" s="5">
        <f t="shared" ca="1" si="125"/>
        <v>4.667352495430873E-3</v>
      </c>
    </row>
    <row r="882" spans="1:10" x14ac:dyDescent="0.2">
      <c r="A882">
        <f t="shared" ca="1" si="117"/>
        <v>0.41000052375912732</v>
      </c>
      <c r="B882">
        <f t="shared" ca="1" si="118"/>
        <v>-0.22754362934011566</v>
      </c>
      <c r="C882">
        <f t="shared" ca="1" si="122"/>
        <v>-0.7853728364884941</v>
      </c>
      <c r="D882" s="21">
        <f t="shared" ca="1" si="119"/>
        <v>0.38874697967979122</v>
      </c>
      <c r="F882">
        <f t="shared" si="120"/>
        <v>0.87600000000000067</v>
      </c>
      <c r="G882">
        <f t="shared" ca="1" si="121"/>
        <v>1.2597567418283216E-2</v>
      </c>
      <c r="H882">
        <f t="shared" ca="1" si="123"/>
        <v>1.2597526725007158E-2</v>
      </c>
      <c r="I882">
        <f t="shared" ca="1" si="124"/>
        <v>1.084659365833864E-2</v>
      </c>
      <c r="J882" s="5">
        <f t="shared" ca="1" si="125"/>
        <v>1.7509330666685176E-3</v>
      </c>
    </row>
    <row r="883" spans="1:10" x14ac:dyDescent="0.2">
      <c r="A883">
        <f t="shared" ca="1" si="117"/>
        <v>0.56854007771012949</v>
      </c>
      <c r="B883">
        <f t="shared" ca="1" si="118"/>
        <v>0.1726585272378709</v>
      </c>
      <c r="C883">
        <f t="shared" ca="1" si="122"/>
        <v>-0.6127143092506232</v>
      </c>
      <c r="D883" s="21">
        <f t="shared" ca="1" si="119"/>
        <v>0.39303995063539604</v>
      </c>
      <c r="F883">
        <f t="shared" si="120"/>
        <v>0.87700000000000067</v>
      </c>
      <c r="G883">
        <f t="shared" ca="1" si="121"/>
        <v>1.1886787065075689E-2</v>
      </c>
      <c r="H883">
        <f t="shared" ca="1" si="123"/>
        <v>1.1886710836558775E-2</v>
      </c>
      <c r="I883">
        <f t="shared" ca="1" si="124"/>
        <v>1.0839821466744099E-2</v>
      </c>
      <c r="J883" s="5">
        <f t="shared" ca="1" si="125"/>
        <v>1.0468893698146759E-3</v>
      </c>
    </row>
    <row r="884" spans="1:10" x14ac:dyDescent="0.2">
      <c r="A884">
        <f t="shared" ca="1" si="117"/>
        <v>0.10348509720846299</v>
      </c>
      <c r="B884">
        <f t="shared" ca="1" si="118"/>
        <v>-1.2619405079703241</v>
      </c>
      <c r="C884">
        <f t="shared" ca="1" si="122"/>
        <v>-1.8746548172209474</v>
      </c>
      <c r="D884" s="21">
        <f t="shared" ca="1" si="119"/>
        <v>0.17993034845004718</v>
      </c>
      <c r="F884">
        <f t="shared" si="120"/>
        <v>0.87800000000000067</v>
      </c>
      <c r="G884">
        <f t="shared" ca="1" si="121"/>
        <v>1.2441564850766959E-2</v>
      </c>
      <c r="H884">
        <f t="shared" ca="1" si="123"/>
        <v>1.2441516368997013E-2</v>
      </c>
      <c r="I884">
        <f t="shared" ca="1" si="124"/>
        <v>1.0846771956845446E-2</v>
      </c>
      <c r="J884" s="5">
        <f t="shared" ca="1" si="125"/>
        <v>1.5947444121515667E-3</v>
      </c>
    </row>
    <row r="885" spans="1:10" x14ac:dyDescent="0.2">
      <c r="A885">
        <f t="shared" ca="1" si="117"/>
        <v>0.74938156939840372</v>
      </c>
      <c r="B885">
        <f t="shared" ca="1" si="118"/>
        <v>0.67254490746136764</v>
      </c>
      <c r="C885">
        <f t="shared" ca="1" si="122"/>
        <v>-1.2021099097595798</v>
      </c>
      <c r="D885" s="21">
        <f t="shared" ca="1" si="119"/>
        <v>0.31819309627967118</v>
      </c>
      <c r="F885">
        <f t="shared" si="120"/>
        <v>0.87900000000000067</v>
      </c>
      <c r="G885">
        <f t="shared" ca="1" si="121"/>
        <v>8.4599135016886484E-3</v>
      </c>
      <c r="H885">
        <f t="shared" ca="1" si="123"/>
        <v>8.4596659405440193E-3</v>
      </c>
      <c r="I885">
        <f t="shared" ca="1" si="124"/>
        <v>1.0804599401096937E-2</v>
      </c>
      <c r="J885" s="5">
        <f t="shared" ca="1" si="125"/>
        <v>2.3449334605529174E-3</v>
      </c>
    </row>
    <row r="886" spans="1:10" x14ac:dyDescent="0.2">
      <c r="A886">
        <f t="shared" ca="1" si="117"/>
        <v>0.27812825053836254</v>
      </c>
      <c r="B886">
        <f t="shared" ca="1" si="118"/>
        <v>-0.58841093302165437</v>
      </c>
      <c r="C886">
        <f t="shared" ca="1" si="122"/>
        <v>-1.790520842781234</v>
      </c>
      <c r="D886" s="21">
        <f t="shared" ca="1" si="119"/>
        <v>0.33552720220673748</v>
      </c>
      <c r="F886">
        <f t="shared" si="120"/>
        <v>0.88000000000000067</v>
      </c>
      <c r="G886">
        <f t="shared" ca="1" si="121"/>
        <v>1.0595734454722165E-2</v>
      </c>
      <c r="H886">
        <f t="shared" ca="1" si="123"/>
        <v>1.0595593710275058E-2</v>
      </c>
      <c r="I886">
        <f t="shared" ca="1" si="124"/>
        <v>1.0828631463294372E-2</v>
      </c>
      <c r="J886" s="5">
        <f t="shared" ca="1" si="125"/>
        <v>2.3303775301931375E-4</v>
      </c>
    </row>
    <row r="887" spans="1:10" x14ac:dyDescent="0.2">
      <c r="A887">
        <f t="shared" ca="1" si="117"/>
        <v>0.94585788548049332</v>
      </c>
      <c r="B887">
        <f t="shared" ca="1" si="118"/>
        <v>1.605953036695752</v>
      </c>
      <c r="C887">
        <f t="shared" ca="1" si="122"/>
        <v>-0.18456780608548207</v>
      </c>
      <c r="D887" s="21">
        <f t="shared" ca="1" si="119"/>
        <v>0.10986739820247031</v>
      </c>
      <c r="F887">
        <f t="shared" si="120"/>
        <v>0.88100000000000067</v>
      </c>
      <c r="G887">
        <f t="shared" ca="1" si="121"/>
        <v>8.7440487178381526E-3</v>
      </c>
      <c r="H887">
        <f t="shared" ca="1" si="123"/>
        <v>8.7438154024108202E-3</v>
      </c>
      <c r="I887">
        <f t="shared" ca="1" si="124"/>
        <v>1.0809528016319686E-2</v>
      </c>
      <c r="J887" s="5">
        <f t="shared" ca="1" si="125"/>
        <v>2.0657126139088655E-3</v>
      </c>
    </row>
    <row r="888" spans="1:10" x14ac:dyDescent="0.2">
      <c r="A888">
        <f t="shared" ca="1" si="117"/>
        <v>0.3238662763082818</v>
      </c>
      <c r="B888">
        <f t="shared" ca="1" si="118"/>
        <v>-0.45691442876938532</v>
      </c>
      <c r="C888">
        <f t="shared" ca="1" si="122"/>
        <v>-0.64148223485486744</v>
      </c>
      <c r="D888" s="21">
        <f t="shared" ca="1" si="119"/>
        <v>0.35939833735445875</v>
      </c>
      <c r="F888">
        <f t="shared" si="120"/>
        <v>0.88200000000000067</v>
      </c>
      <c r="G888">
        <f t="shared" ca="1" si="121"/>
        <v>1.383138935503349E-2</v>
      </c>
      <c r="H888">
        <f t="shared" ca="1" si="123"/>
        <v>1.3831410432093126E-2</v>
      </c>
      <c r="I888">
        <f t="shared" ca="1" si="124"/>
        <v>1.0865595685995674E-2</v>
      </c>
      <c r="J888" s="5">
        <f t="shared" ca="1" si="125"/>
        <v>2.9658147460974518E-3</v>
      </c>
    </row>
    <row r="889" spans="1:10" x14ac:dyDescent="0.2">
      <c r="A889">
        <f t="shared" ca="1" si="117"/>
        <v>0.54161418056551569</v>
      </c>
      <c r="B889">
        <f t="shared" ca="1" si="118"/>
        <v>0.10450117122205559</v>
      </c>
      <c r="C889">
        <f t="shared" ca="1" si="122"/>
        <v>-0.53698106363281184</v>
      </c>
      <c r="D889" s="21">
        <f t="shared" ca="1" si="119"/>
        <v>0.39676989313805167</v>
      </c>
      <c r="F889">
        <f t="shared" si="120"/>
        <v>0.88300000000000067</v>
      </c>
      <c r="G889">
        <f t="shared" ca="1" si="121"/>
        <v>1.239518773606775E-2</v>
      </c>
      <c r="H889">
        <f t="shared" ca="1" si="123"/>
        <v>1.2395137000343892E-2</v>
      </c>
      <c r="I889">
        <f t="shared" ca="1" si="124"/>
        <v>1.0850938219088285E-2</v>
      </c>
      <c r="J889" s="5">
        <f t="shared" ca="1" si="125"/>
        <v>1.5441987812556072E-3</v>
      </c>
    </row>
    <row r="890" spans="1:10" x14ac:dyDescent="0.2">
      <c r="A890">
        <f t="shared" ca="1" si="117"/>
        <v>0.25359470557752972</v>
      </c>
      <c r="B890">
        <f t="shared" ca="1" si="118"/>
        <v>-0.66322039511885322</v>
      </c>
      <c r="C890">
        <f t="shared" ca="1" si="122"/>
        <v>-1.200201458751665</v>
      </c>
      <c r="D890" s="21">
        <f t="shared" ca="1" si="119"/>
        <v>0.32018088429890684</v>
      </c>
      <c r="F890">
        <f t="shared" si="120"/>
        <v>0.88400000000000067</v>
      </c>
      <c r="G890">
        <f t="shared" ca="1" si="121"/>
        <v>1.2734392976104092E-2</v>
      </c>
      <c r="H890">
        <f t="shared" ca="1" si="123"/>
        <v>1.2734359205860794E-2</v>
      </c>
      <c r="I890">
        <f t="shared" ca="1" si="124"/>
        <v>1.0855555860163194E-2</v>
      </c>
      <c r="J890" s="5">
        <f t="shared" ca="1" si="125"/>
        <v>1.8788033456976008E-3</v>
      </c>
    </row>
    <row r="891" spans="1:10" x14ac:dyDescent="0.2">
      <c r="A891">
        <f t="shared" ca="1" si="117"/>
        <v>0.97307207901151616</v>
      </c>
      <c r="B891">
        <f t="shared" ca="1" si="118"/>
        <v>1.9279942452523202</v>
      </c>
      <c r="C891">
        <f t="shared" ca="1" si="122"/>
        <v>0.72779278650065526</v>
      </c>
      <c r="D891" s="21">
        <f t="shared" ca="1" si="119"/>
        <v>6.2192588762296351E-2</v>
      </c>
      <c r="F891">
        <f t="shared" si="120"/>
        <v>0.88500000000000068</v>
      </c>
      <c r="G891">
        <f t="shared" ca="1" si="121"/>
        <v>1.0645936921223401E-2</v>
      </c>
      <c r="H891">
        <f t="shared" ca="1" si="123"/>
        <v>1.0645798730687814E-2</v>
      </c>
      <c r="I891">
        <f t="shared" ca="1" si="124"/>
        <v>1.0833841667638266E-2</v>
      </c>
      <c r="J891" s="5">
        <f t="shared" ca="1" si="125"/>
        <v>1.8804293695045236E-4</v>
      </c>
    </row>
    <row r="892" spans="1:10" x14ac:dyDescent="0.2">
      <c r="A892">
        <f t="shared" ca="1" si="117"/>
        <v>0.2260924105725548</v>
      </c>
      <c r="B892">
        <f t="shared" ca="1" si="118"/>
        <v>-0.7517775895598352</v>
      </c>
      <c r="C892">
        <f t="shared" ca="1" si="122"/>
        <v>-2.3984803059179938E-2</v>
      </c>
      <c r="D892" s="21">
        <f t="shared" ca="1" si="119"/>
        <v>0.30073575045385648</v>
      </c>
      <c r="F892">
        <f t="shared" si="120"/>
        <v>0.88600000000000068</v>
      </c>
      <c r="G892">
        <f t="shared" ca="1" si="121"/>
        <v>1.6751420181515153E-2</v>
      </c>
      <c r="H892">
        <f t="shared" ca="1" si="123"/>
        <v>1.6751587281509352E-2</v>
      </c>
      <c r="I892">
        <f t="shared" ca="1" si="124"/>
        <v>1.0901131332962945E-2</v>
      </c>
      <c r="J892" s="5">
        <f t="shared" ca="1" si="125"/>
        <v>5.8504559485464073E-3</v>
      </c>
    </row>
    <row r="893" spans="1:10" x14ac:dyDescent="0.2">
      <c r="A893">
        <f t="shared" ca="1" si="117"/>
        <v>0.63362681025001077</v>
      </c>
      <c r="B893">
        <f t="shared" ca="1" si="118"/>
        <v>0.34147452528759059</v>
      </c>
      <c r="C893">
        <f t="shared" ca="1" si="122"/>
        <v>0.31748972222841065</v>
      </c>
      <c r="D893" s="21">
        <f t="shared" ca="1" si="119"/>
        <v>0.37634802739928574</v>
      </c>
      <c r="F893">
        <f t="shared" si="120"/>
        <v>0.88700000000000068</v>
      </c>
      <c r="G893">
        <f t="shared" ca="1" si="121"/>
        <v>1.4382534007908969E-2</v>
      </c>
      <c r="H893">
        <f t="shared" ca="1" si="123"/>
        <v>1.43825826459009E-2</v>
      </c>
      <c r="I893">
        <f t="shared" ca="1" si="124"/>
        <v>1.0876279730150927E-2</v>
      </c>
      <c r="J893" s="5">
        <f t="shared" ca="1" si="125"/>
        <v>3.5063029157499735E-3</v>
      </c>
    </row>
    <row r="894" spans="1:10" x14ac:dyDescent="0.2">
      <c r="A894">
        <f t="shared" ca="1" si="117"/>
        <v>0.23548492676320065</v>
      </c>
      <c r="B894">
        <f t="shared" ca="1" si="118"/>
        <v>-0.72090193293078941</v>
      </c>
      <c r="C894">
        <f t="shared" ca="1" si="122"/>
        <v>-0.40341221070237876</v>
      </c>
      <c r="D894" s="21">
        <f t="shared" ca="1" si="119"/>
        <v>0.30765128417663301</v>
      </c>
      <c r="F894">
        <f t="shared" si="120"/>
        <v>0.88800000000000068</v>
      </c>
      <c r="G894">
        <f t="shared" ca="1" si="121"/>
        <v>1.547087859965509E-2</v>
      </c>
      <c r="H894">
        <f t="shared" ca="1" si="123"/>
        <v>1.547098165046986E-2</v>
      </c>
      <c r="I894">
        <f t="shared" ca="1" si="124"/>
        <v>1.0889065097751472E-2</v>
      </c>
      <c r="J894" s="5">
        <f t="shared" ca="1" si="125"/>
        <v>4.5819165527183885E-3</v>
      </c>
    </row>
    <row r="895" spans="1:10" x14ac:dyDescent="0.2">
      <c r="A895">
        <f t="shared" ca="1" si="117"/>
        <v>0.97776311520767201</v>
      </c>
      <c r="B895">
        <f t="shared" ca="1" si="118"/>
        <v>2.0095978444754485</v>
      </c>
      <c r="C895">
        <f t="shared" ca="1" si="122"/>
        <v>1.6061856337730698</v>
      </c>
      <c r="D895" s="21">
        <f t="shared" ca="1" si="119"/>
        <v>5.2962017067067046E-2</v>
      </c>
      <c r="F895">
        <f t="shared" si="120"/>
        <v>0.88900000000000068</v>
      </c>
      <c r="G895">
        <f t="shared" ca="1" si="121"/>
        <v>1.31997529913391E-2</v>
      </c>
      <c r="H895">
        <f t="shared" ca="1" si="123"/>
        <v>1.3199742474625575E-2</v>
      </c>
      <c r="I895">
        <f t="shared" ca="1" si="124"/>
        <v>1.0865301810683186E-2</v>
      </c>
      <c r="J895" s="5">
        <f t="shared" ca="1" si="125"/>
        <v>2.334440663942389E-3</v>
      </c>
    </row>
    <row r="896" spans="1:10" x14ac:dyDescent="0.2">
      <c r="A896">
        <f t="shared" ca="1" si="117"/>
        <v>3.6689954326623031E-2</v>
      </c>
      <c r="B896">
        <f t="shared" ca="1" si="118"/>
        <v>-1.7904605197307859</v>
      </c>
      <c r="C896">
        <f t="shared" ca="1" si="122"/>
        <v>-0.18427488595771613</v>
      </c>
      <c r="D896" s="21">
        <f t="shared" ca="1" si="119"/>
        <v>8.0313868081329051E-2</v>
      </c>
      <c r="F896">
        <f t="shared" si="120"/>
        <v>0.89000000000000068</v>
      </c>
      <c r="G896">
        <f t="shared" ca="1" si="121"/>
        <v>1.9563021219480774E-2</v>
      </c>
      <c r="H896">
        <f t="shared" ca="1" si="123"/>
        <v>1.9563328869885353E-2</v>
      </c>
      <c r="I896">
        <f t="shared" ca="1" si="124"/>
        <v>1.0935608482024989E-2</v>
      </c>
      <c r="J896" s="5">
        <f t="shared" ca="1" si="125"/>
        <v>8.6277203878603638E-3</v>
      </c>
    </row>
    <row r="897" spans="1:10" x14ac:dyDescent="0.2">
      <c r="A897">
        <f t="shared" ca="1" si="117"/>
        <v>0.31112940464560068</v>
      </c>
      <c r="B897">
        <f t="shared" ca="1" si="118"/>
        <v>-0.49265156094122775</v>
      </c>
      <c r="C897">
        <f t="shared" ca="1" si="122"/>
        <v>-0.67692644689894388</v>
      </c>
      <c r="D897" s="21">
        <f t="shared" ca="1" si="119"/>
        <v>0.35335173085094174</v>
      </c>
      <c r="F897">
        <f t="shared" si="120"/>
        <v>0.89100000000000068</v>
      </c>
      <c r="G897">
        <f t="shared" ca="1" si="121"/>
        <v>1.3909414297099177E-2</v>
      </c>
      <c r="H897">
        <f t="shared" ca="1" si="123"/>
        <v>1.3909439234040233E-2</v>
      </c>
      <c r="I897">
        <f t="shared" ca="1" si="124"/>
        <v>1.0874899816308594E-2</v>
      </c>
      <c r="J897" s="5">
        <f t="shared" ca="1" si="125"/>
        <v>3.0345394177316385E-3</v>
      </c>
    </row>
    <row r="898" spans="1:10" x14ac:dyDescent="0.2">
      <c r="A898">
        <f t="shared" ca="1" si="117"/>
        <v>0.46030777066132389</v>
      </c>
      <c r="B898">
        <f t="shared" ca="1" si="118"/>
        <v>-9.9658383286444094E-2</v>
      </c>
      <c r="C898">
        <f t="shared" ca="1" si="122"/>
        <v>-0.77658483018538793</v>
      </c>
      <c r="D898" s="21">
        <f t="shared" ca="1" si="119"/>
        <v>0.39696608510774634</v>
      </c>
      <c r="F898">
        <f t="shared" si="120"/>
        <v>0.89200000000000068</v>
      </c>
      <c r="G898">
        <f t="shared" ca="1" si="121"/>
        <v>1.2360199791625146E-2</v>
      </c>
      <c r="H898">
        <f t="shared" ca="1" si="123"/>
        <v>1.2360147264705303E-2</v>
      </c>
      <c r="I898">
        <f t="shared" ca="1" si="124"/>
        <v>1.0859002545118349E-2</v>
      </c>
      <c r="J898" s="5">
        <f t="shared" ca="1" si="125"/>
        <v>1.5011447195869537E-3</v>
      </c>
    </row>
    <row r="899" spans="1:10" x14ac:dyDescent="0.2">
      <c r="A899">
        <f t="shared" ca="1" si="117"/>
        <v>0.75133260720576933</v>
      </c>
      <c r="B899">
        <f t="shared" ca="1" si="118"/>
        <v>0.67868923953682092</v>
      </c>
      <c r="C899">
        <f t="shared" ca="1" si="122"/>
        <v>-9.789559064856701E-2</v>
      </c>
      <c r="D899" s="21">
        <f t="shared" ca="1" si="119"/>
        <v>0.31687494597297006</v>
      </c>
      <c r="F899">
        <f t="shared" si="120"/>
        <v>0.89300000000000068</v>
      </c>
      <c r="G899">
        <f t="shared" ca="1" si="121"/>
        <v>1.2053831611063798E-2</v>
      </c>
      <c r="H899">
        <f t="shared" ca="1" si="123"/>
        <v>1.2053763770863613E-2</v>
      </c>
      <c r="I899">
        <f t="shared" ca="1" si="124"/>
        <v>1.085661222620333E-2</v>
      </c>
      <c r="J899" s="5">
        <f t="shared" ca="1" si="125"/>
        <v>1.1971515446602826E-3</v>
      </c>
    </row>
    <row r="900" spans="1:10" x14ac:dyDescent="0.2">
      <c r="A900">
        <f t="shared" ca="1" si="117"/>
        <v>0.10863726056831458</v>
      </c>
      <c r="B900">
        <f t="shared" ca="1" si="118"/>
        <v>-1.233807829734717</v>
      </c>
      <c r="C900">
        <f t="shared" ca="1" si="122"/>
        <v>-1.331703420383284</v>
      </c>
      <c r="D900" s="21">
        <f t="shared" ca="1" si="119"/>
        <v>0.18635917600577451</v>
      </c>
      <c r="F900">
        <f t="shared" si="120"/>
        <v>0.89400000000000068</v>
      </c>
      <c r="G900">
        <f t="shared" ca="1" si="121"/>
        <v>1.4208722302850507E-2</v>
      </c>
      <c r="H900">
        <f t="shared" ca="1" si="123"/>
        <v>1.4208762214870481E-2</v>
      </c>
      <c r="I900">
        <f t="shared" ca="1" si="124"/>
        <v>1.088097139373446E-2</v>
      </c>
      <c r="J900" s="5">
        <f t="shared" ca="1" si="125"/>
        <v>3.3277908211360209E-3</v>
      </c>
    </row>
    <row r="901" spans="1:10" x14ac:dyDescent="0.2">
      <c r="A901">
        <f t="shared" ca="1" si="117"/>
        <v>0.36772583670587511</v>
      </c>
      <c r="B901">
        <f t="shared" ca="1" si="118"/>
        <v>-0.33788258276204164</v>
      </c>
      <c r="C901">
        <f t="shared" ca="1" si="122"/>
        <v>-1.6695860031453256</v>
      </c>
      <c r="D901" s="21">
        <f t="shared" ca="1" si="119"/>
        <v>0.37680749206736375</v>
      </c>
      <c r="F901">
        <f t="shared" si="120"/>
        <v>0.89500000000000068</v>
      </c>
      <c r="G901">
        <f t="shared" ca="1" si="121"/>
        <v>1.0315853138785983E-2</v>
      </c>
      <c r="H901">
        <f t="shared" ca="1" si="123"/>
        <v>1.0315698401738066E-2</v>
      </c>
      <c r="I901">
        <f t="shared" ca="1" si="124"/>
        <v>1.0839630156417647E-2</v>
      </c>
      <c r="J901" s="5">
        <f t="shared" ca="1" si="125"/>
        <v>5.2393175467958103E-4</v>
      </c>
    </row>
    <row r="902" spans="1:10" x14ac:dyDescent="0.2">
      <c r="A902">
        <f t="shared" ca="1" si="117"/>
        <v>0.83055870057539538</v>
      </c>
      <c r="B902">
        <f t="shared" ca="1" si="118"/>
        <v>0.95637541923491753</v>
      </c>
      <c r="C902">
        <f t="shared" ca="1" si="122"/>
        <v>-0.71321058391040804</v>
      </c>
      <c r="D902" s="21">
        <f t="shared" ca="1" si="119"/>
        <v>0.25251982854394206</v>
      </c>
      <c r="F902">
        <f t="shared" si="120"/>
        <v>0.89600000000000068</v>
      </c>
      <c r="G902">
        <f t="shared" ca="1" si="121"/>
        <v>9.2563959835391812E-3</v>
      </c>
      <c r="H902">
        <f t="shared" ca="1" si="123"/>
        <v>9.2561882886694948E-3</v>
      </c>
      <c r="I902">
        <f t="shared" ca="1" si="124"/>
        <v>1.0829083143522133E-2</v>
      </c>
      <c r="J902" s="5">
        <f t="shared" ca="1" si="125"/>
        <v>1.5728948548526384E-3</v>
      </c>
    </row>
    <row r="903" spans="1:10" x14ac:dyDescent="0.2">
      <c r="A903">
        <f t="shared" ref="A903:A966" ca="1" si="126">RAND()</f>
        <v>0.1094040420154796</v>
      </c>
      <c r="B903">
        <f t="shared" ref="B903:B966" ca="1" si="127">NORMSINV(A903)</f>
        <v>-1.2297036913213497</v>
      </c>
      <c r="C903">
        <f t="shared" ca="1" si="122"/>
        <v>-1.9429142752317579</v>
      </c>
      <c r="D903" s="21">
        <f t="shared" ref="D903:D966" ca="1" si="128">_xlfn.NORM.DIST(B903,0,1,FALSE)</f>
        <v>0.18730366214464533</v>
      </c>
      <c r="F903">
        <f t="shared" ref="F903:F966" si="129">F902+$M$2/$N$2</f>
        <v>0.89700000000000069</v>
      </c>
      <c r="G903">
        <f t="shared" ref="G903:G966" ca="1" si="130">G902*EXP(-$M$4*$O$2) + $O$4*(1-EXP(-$M$4*$O$2)) + $N$4* SQRT((1-EXP(-2*$M$4*$O$2))/(2*$M$4)) *B902</f>
        <v>1.2289643303287932E-2</v>
      </c>
      <c r="H903">
        <f t="shared" ca="1" si="123"/>
        <v>1.2289587292821376E-2</v>
      </c>
      <c r="I903">
        <f t="shared" ca="1" si="124"/>
        <v>1.0862915308535949E-2</v>
      </c>
      <c r="J903" s="5">
        <f t="shared" ca="1" si="125"/>
        <v>1.4266719842854266E-3</v>
      </c>
    </row>
    <row r="904" spans="1:10" x14ac:dyDescent="0.2">
      <c r="A904">
        <f t="shared" ca="1" si="126"/>
        <v>0.67062654162062518</v>
      </c>
      <c r="B904">
        <f t="shared" ca="1" si="127"/>
        <v>0.44164389243934254</v>
      </c>
      <c r="C904">
        <f t="shared" ref="C904:C967" ca="1" si="131">B904+C903</f>
        <v>-1.5012703827924154</v>
      </c>
      <c r="D904" s="21">
        <f t="shared" ca="1" si="128"/>
        <v>0.36187255141211577</v>
      </c>
      <c r="F904">
        <f t="shared" si="129"/>
        <v>0.89800000000000069</v>
      </c>
      <c r="G904">
        <f t="shared" ca="1" si="130"/>
        <v>8.4099438138528961E-3</v>
      </c>
      <c r="H904">
        <f t="shared" ref="H904:H967" ca="1" si="132">H903+($M$6 + $N$6*H903)*$O$2 + $O$6*H903^$P$6*SQRT($O$2)*B903</f>
        <v>8.4096938223999964E-3</v>
      </c>
      <c r="I904">
        <f t="shared" ref="I904:I967" ca="1" si="133">I903*EXP(($M$8-0.5*($N$8^2))*$O$2 + $N$8*SQRT($O$2)*B903)</f>
        <v>1.0821783122424624E-2</v>
      </c>
      <c r="J904" s="5">
        <f t="shared" ref="J904:J967" ca="1" si="134">ABS(H904-I904)</f>
        <v>2.4120893000246276E-3</v>
      </c>
    </row>
    <row r="905" spans="1:10" x14ac:dyDescent="0.2">
      <c r="A905">
        <f t="shared" ca="1" si="126"/>
        <v>0.51562804006599461</v>
      </c>
      <c r="B905">
        <f t="shared" ca="1" si="127"/>
        <v>3.9183711669559272E-2</v>
      </c>
      <c r="C905">
        <f t="shared" ca="1" si="131"/>
        <v>-1.4620866711228562</v>
      </c>
      <c r="D905" s="21">
        <f t="shared" ca="1" si="128"/>
        <v>0.39863613726656316</v>
      </c>
      <c r="F905">
        <f t="shared" si="129"/>
        <v>0.89900000000000069</v>
      </c>
      <c r="G905">
        <f t="shared" ca="1" si="130"/>
        <v>9.8156331492259517E-3</v>
      </c>
      <c r="H905">
        <f t="shared" ca="1" si="132"/>
        <v>9.8154534678284965E-3</v>
      </c>
      <c r="I905">
        <f t="shared" ca="1" si="133"/>
        <v>1.0837936945314442E-2</v>
      </c>
      <c r="J905" s="5">
        <f t="shared" ca="1" si="134"/>
        <v>1.022483477485946E-3</v>
      </c>
    </row>
    <row r="906" spans="1:10" x14ac:dyDescent="0.2">
      <c r="A906">
        <f t="shared" ca="1" si="126"/>
        <v>0.64836745479364988</v>
      </c>
      <c r="B906">
        <f t="shared" ca="1" si="127"/>
        <v>0.38091665932638819</v>
      </c>
      <c r="C906">
        <f t="shared" ca="1" si="131"/>
        <v>-1.081170011796468</v>
      </c>
      <c r="D906" s="21">
        <f t="shared" ca="1" si="128"/>
        <v>0.3710244617616188</v>
      </c>
      <c r="F906">
        <f t="shared" si="129"/>
        <v>0.90000000000000069</v>
      </c>
      <c r="G906">
        <f t="shared" ca="1" si="130"/>
        <v>9.9485547158286846E-3</v>
      </c>
      <c r="H906">
        <f t="shared" ca="1" si="132"/>
        <v>9.9483816985368404E-3</v>
      </c>
      <c r="I906">
        <f t="shared" ca="1" si="133"/>
        <v>1.0840309735368037E-2</v>
      </c>
      <c r="J906" s="5">
        <f t="shared" ca="1" si="134"/>
        <v>8.9192803683119624E-4</v>
      </c>
    </row>
    <row r="907" spans="1:10" x14ac:dyDescent="0.2">
      <c r="A907">
        <f t="shared" ca="1" si="126"/>
        <v>0.7835724675458664</v>
      </c>
      <c r="B907">
        <f t="shared" ca="1" si="127"/>
        <v>0.78431540079549045</v>
      </c>
      <c r="C907">
        <f t="shared" ca="1" si="131"/>
        <v>-0.29685461100097754</v>
      </c>
      <c r="D907" s="21">
        <f t="shared" ca="1" si="128"/>
        <v>0.29331332956528189</v>
      </c>
      <c r="F907">
        <f t="shared" si="129"/>
        <v>0.90100000000000069</v>
      </c>
      <c r="G907">
        <f t="shared" ca="1" si="130"/>
        <v>1.1162063426585982E-2</v>
      </c>
      <c r="H907">
        <f t="shared" ca="1" si="132"/>
        <v>1.1161951102540793E-2</v>
      </c>
      <c r="I907">
        <f t="shared" ca="1" si="133"/>
        <v>1.0854406572162748E-2</v>
      </c>
      <c r="J907" s="5">
        <f t="shared" ca="1" si="134"/>
        <v>3.0754453037804518E-4</v>
      </c>
    </row>
    <row r="908" spans="1:10" x14ac:dyDescent="0.2">
      <c r="A908">
        <f t="shared" ca="1" si="126"/>
        <v>0.49384383035883861</v>
      </c>
      <c r="B908">
        <f t="shared" ca="1" si="127"/>
        <v>-1.543184135830881E-2</v>
      </c>
      <c r="C908">
        <f t="shared" ca="1" si="131"/>
        <v>-0.31228645235928637</v>
      </c>
      <c r="D908" s="21">
        <f t="shared" ca="1" si="128"/>
        <v>0.39889478082744118</v>
      </c>
      <c r="F908">
        <f t="shared" si="129"/>
        <v>0.90200000000000069</v>
      </c>
      <c r="G908">
        <f t="shared" ca="1" si="130"/>
        <v>1.3651045840543417E-2</v>
      </c>
      <c r="H908">
        <f t="shared" ca="1" si="132"/>
        <v>1.3651057977892128E-2</v>
      </c>
      <c r="I908">
        <f t="shared" ca="1" si="133"/>
        <v>1.0882395113284149E-2</v>
      </c>
      <c r="J908" s="5">
        <f t="shared" ca="1" si="134"/>
        <v>2.7686628646079788E-3</v>
      </c>
    </row>
    <row r="909" spans="1:10" x14ac:dyDescent="0.2">
      <c r="A909">
        <f t="shared" ca="1" si="126"/>
        <v>0.46101957235543012</v>
      </c>
      <c r="B909">
        <f t="shared" ca="1" si="127"/>
        <v>-9.7865437967024016E-2</v>
      </c>
      <c r="C909">
        <f t="shared" ca="1" si="131"/>
        <v>-0.41015189032631039</v>
      </c>
      <c r="D909" s="21">
        <f t="shared" ca="1" si="128"/>
        <v>0.39703638398421137</v>
      </c>
      <c r="F909">
        <f t="shared" si="129"/>
        <v>0.90300000000000069</v>
      </c>
      <c r="G909">
        <f t="shared" ca="1" si="130"/>
        <v>1.3610882976933037E-2</v>
      </c>
      <c r="H909">
        <f t="shared" ca="1" si="132"/>
        <v>1.3610893104911696E-2</v>
      </c>
      <c r="I909">
        <f t="shared" ca="1" si="133"/>
        <v>1.08828978940862E-2</v>
      </c>
      <c r="J909" s="5">
        <f t="shared" ca="1" si="134"/>
        <v>2.7279952108254964E-3</v>
      </c>
    </row>
    <row r="910" spans="1:10" x14ac:dyDescent="0.2">
      <c r="A910">
        <f t="shared" ca="1" si="126"/>
        <v>0.14675693385632416</v>
      </c>
      <c r="B910">
        <f t="shared" ca="1" si="127"/>
        <v>-1.0504443422511611</v>
      </c>
      <c r="C910">
        <f t="shared" ca="1" si="131"/>
        <v>-1.4605962325774715</v>
      </c>
      <c r="D910" s="21">
        <f t="shared" ca="1" si="128"/>
        <v>0.2297748893517729</v>
      </c>
      <c r="F910">
        <f t="shared" si="129"/>
        <v>0.90400000000000069</v>
      </c>
      <c r="G910">
        <f t="shared" ca="1" si="130"/>
        <v>1.3310059241758135E-2</v>
      </c>
      <c r="H910">
        <f t="shared" ca="1" si="132"/>
        <v>1.3310054327415491E-2</v>
      </c>
      <c r="I910">
        <f t="shared" ca="1" si="133"/>
        <v>1.0880564005597565E-2</v>
      </c>
      <c r="J910" s="5">
        <f t="shared" ca="1" si="134"/>
        <v>2.4294903218179259E-3</v>
      </c>
    </row>
    <row r="911" spans="1:10" x14ac:dyDescent="0.2">
      <c r="A911">
        <f t="shared" ca="1" si="126"/>
        <v>0.56444433779712055</v>
      </c>
      <c r="B911">
        <f t="shared" ca="1" si="127"/>
        <v>0.16224703178434871</v>
      </c>
      <c r="C911">
        <f t="shared" ca="1" si="131"/>
        <v>-1.2983492007931228</v>
      </c>
      <c r="D911" s="21">
        <f t="shared" ca="1" si="128"/>
        <v>0.39372578747260156</v>
      </c>
      <c r="F911">
        <f t="shared" si="129"/>
        <v>0.90500000000000069</v>
      </c>
      <c r="G911">
        <f t="shared" ca="1" si="130"/>
        <v>9.9970972085613192E-3</v>
      </c>
      <c r="H911">
        <f t="shared" ca="1" si="132"/>
        <v>9.9969266452316352E-3</v>
      </c>
      <c r="I911">
        <f t="shared" ca="1" si="133"/>
        <v>1.0845511222340147E-2</v>
      </c>
      <c r="J911" s="5">
        <f t="shared" ca="1" si="134"/>
        <v>8.4858457710851147E-4</v>
      </c>
    </row>
    <row r="912" spans="1:10" x14ac:dyDescent="0.2">
      <c r="A912">
        <f t="shared" ca="1" si="126"/>
        <v>0.42316277935287505</v>
      </c>
      <c r="B912">
        <f t="shared" ca="1" si="127"/>
        <v>-0.19380884795910652</v>
      </c>
      <c r="C912">
        <f t="shared" ca="1" si="131"/>
        <v>-1.4921580487522292</v>
      </c>
      <c r="D912" s="21">
        <f t="shared" ca="1" si="128"/>
        <v>0.39151969121201124</v>
      </c>
      <c r="F912">
        <f t="shared" si="129"/>
        <v>0.90600000000000069</v>
      </c>
      <c r="G912">
        <f t="shared" ca="1" si="130"/>
        <v>1.0519141560441873E-2</v>
      </c>
      <c r="H912">
        <f t="shared" ca="1" si="132"/>
        <v>1.0518997116607387E-2</v>
      </c>
      <c r="I912">
        <f t="shared" ca="1" si="133"/>
        <v>1.0852108059594906E-2</v>
      </c>
      <c r="J912" s="5">
        <f t="shared" ca="1" si="134"/>
        <v>3.3311094298751898E-4</v>
      </c>
    </row>
    <row r="913" spans="1:10" x14ac:dyDescent="0.2">
      <c r="A913">
        <f t="shared" ca="1" si="126"/>
        <v>0.50236603745052122</v>
      </c>
      <c r="B913">
        <f t="shared" ca="1" si="127"/>
        <v>5.9308111410355194E-3</v>
      </c>
      <c r="C913">
        <f t="shared" ca="1" si="131"/>
        <v>-1.4862272376111938</v>
      </c>
      <c r="D913" s="21">
        <f t="shared" ca="1" si="128"/>
        <v>0.39893526416136299</v>
      </c>
      <c r="F913">
        <f t="shared" si="129"/>
        <v>0.90700000000000069</v>
      </c>
      <c r="G913">
        <f t="shared" ca="1" si="130"/>
        <v>9.9152424512451379E-3</v>
      </c>
      <c r="H913">
        <f t="shared" ca="1" si="132"/>
        <v>9.9150678266516756E-3</v>
      </c>
      <c r="I913">
        <f t="shared" ca="1" si="133"/>
        <v>1.084648945319454E-2</v>
      </c>
      <c r="J913" s="5">
        <f t="shared" ca="1" si="134"/>
        <v>9.3142162654286445E-4</v>
      </c>
    </row>
    <row r="914" spans="1:10" x14ac:dyDescent="0.2">
      <c r="A914">
        <f t="shared" ca="1" si="126"/>
        <v>0.6049483302011589</v>
      </c>
      <c r="B914">
        <f t="shared" ca="1" si="127"/>
        <v>0.26617642346140941</v>
      </c>
      <c r="C914">
        <f t="shared" ca="1" si="131"/>
        <v>-1.2200508141497843</v>
      </c>
      <c r="D914" s="21">
        <f t="shared" ca="1" si="128"/>
        <v>0.38505716414863367</v>
      </c>
      <c r="F914">
        <f t="shared" si="129"/>
        <v>0.9080000000000007</v>
      </c>
      <c r="G914">
        <f t="shared" ca="1" si="130"/>
        <v>9.9430044104647057E-3</v>
      </c>
      <c r="H914">
        <f t="shared" ca="1" si="132"/>
        <v>9.9428311914469842E-3</v>
      </c>
      <c r="I914">
        <f t="shared" ca="1" si="133"/>
        <v>1.0847723364389734E-2</v>
      </c>
      <c r="J914" s="5">
        <f t="shared" ca="1" si="134"/>
        <v>9.0489217294274955E-4</v>
      </c>
    </row>
    <row r="915" spans="1:10" x14ac:dyDescent="0.2">
      <c r="A915">
        <f t="shared" ca="1" si="126"/>
        <v>0.55076743223847424</v>
      </c>
      <c r="B915">
        <f t="shared" ca="1" si="127"/>
        <v>0.12760049987620381</v>
      </c>
      <c r="C915">
        <f t="shared" ca="1" si="131"/>
        <v>-1.0924503142735804</v>
      </c>
      <c r="D915" s="21">
        <f t="shared" ca="1" si="128"/>
        <v>0.39570769786509069</v>
      </c>
      <c r="F915">
        <f t="shared" si="129"/>
        <v>0.9090000000000007</v>
      </c>
      <c r="G915">
        <f t="shared" ca="1" si="130"/>
        <v>1.079369133289486E-2</v>
      </c>
      <c r="H915">
        <f t="shared" ca="1" si="132"/>
        <v>1.0793560665903371E-2</v>
      </c>
      <c r="I915">
        <f t="shared" ca="1" si="133"/>
        <v>1.0857889445242141E-2</v>
      </c>
      <c r="J915" s="5">
        <f t="shared" ca="1" si="134"/>
        <v>6.4328779338769515E-5</v>
      </c>
    </row>
    <row r="916" spans="1:10" x14ac:dyDescent="0.2">
      <c r="A916">
        <f t="shared" ca="1" si="126"/>
        <v>0.5929006459636047</v>
      </c>
      <c r="B916">
        <f t="shared" ca="1" si="127"/>
        <v>0.23501291645527103</v>
      </c>
      <c r="C916">
        <f t="shared" ca="1" si="131"/>
        <v>-0.85743739781830941</v>
      </c>
      <c r="D916" s="21">
        <f t="shared" ca="1" si="128"/>
        <v>0.38807600527642899</v>
      </c>
      <c r="F916">
        <f t="shared" si="129"/>
        <v>0.9100000000000007</v>
      </c>
      <c r="G916">
        <f t="shared" ca="1" si="130"/>
        <v>1.1206099553359829E-2</v>
      </c>
      <c r="H916">
        <f t="shared" ca="1" si="132"/>
        <v>1.1205989520021617E-2</v>
      </c>
      <c r="I916">
        <f t="shared" ca="1" si="133"/>
        <v>1.0863303541649506E-2</v>
      </c>
      <c r="J916" s="5">
        <f t="shared" ca="1" si="134"/>
        <v>3.4268597837211132E-4</v>
      </c>
    </row>
    <row r="917" spans="1:10" x14ac:dyDescent="0.2">
      <c r="A917">
        <f t="shared" ca="1" si="126"/>
        <v>0.58517554214377587</v>
      </c>
      <c r="B917">
        <f t="shared" ca="1" si="127"/>
        <v>0.21515186818663054</v>
      </c>
      <c r="C917">
        <f t="shared" ca="1" si="131"/>
        <v>-0.64228552963167884</v>
      </c>
      <c r="D917" s="21">
        <f t="shared" ca="1" si="128"/>
        <v>0.38981473296895897</v>
      </c>
      <c r="F917">
        <f t="shared" si="129"/>
        <v>0.9110000000000007</v>
      </c>
      <c r="G917">
        <f t="shared" ca="1" si="130"/>
        <v>1.195811743775075E-2</v>
      </c>
      <c r="H917">
        <f t="shared" ca="1" si="132"/>
        <v>1.1958045016627138E-2</v>
      </c>
      <c r="I917">
        <f t="shared" ca="1" si="133"/>
        <v>1.0872412720011382E-2</v>
      </c>
      <c r="J917" s="5">
        <f t="shared" ca="1" si="134"/>
        <v>1.0856322966157558E-3</v>
      </c>
    </row>
    <row r="918" spans="1:10" x14ac:dyDescent="0.2">
      <c r="A918">
        <f t="shared" ca="1" si="126"/>
        <v>0.64116551537911826</v>
      </c>
      <c r="B918">
        <f t="shared" ca="1" si="127"/>
        <v>0.36157591016041218</v>
      </c>
      <c r="C918">
        <f t="shared" ca="1" si="131"/>
        <v>-0.28070961947126666</v>
      </c>
      <c r="D918" s="21">
        <f t="shared" ca="1" si="128"/>
        <v>0.37369807166882663</v>
      </c>
      <c r="F918">
        <f t="shared" si="129"/>
        <v>0.9120000000000007</v>
      </c>
      <c r="G918">
        <f t="shared" ca="1" si="130"/>
        <v>1.264725711504237E-2</v>
      </c>
      <c r="H918">
        <f t="shared" ca="1" si="132"/>
        <v>1.2647219158435549E-2</v>
      </c>
      <c r="I918">
        <f t="shared" ca="1" si="133"/>
        <v>1.088084613116262E-2</v>
      </c>
      <c r="J918" s="5">
        <f t="shared" ca="1" si="134"/>
        <v>1.7663730272729286E-3</v>
      </c>
    </row>
    <row r="919" spans="1:10" x14ac:dyDescent="0.2">
      <c r="A919">
        <f t="shared" ca="1" si="126"/>
        <v>0.60333177041869712</v>
      </c>
      <c r="B919">
        <f t="shared" ca="1" si="127"/>
        <v>0.26198052187702481</v>
      </c>
      <c r="C919">
        <f t="shared" ca="1" si="131"/>
        <v>-1.872909759424185E-2</v>
      </c>
      <c r="D919" s="21">
        <f t="shared" ca="1" si="128"/>
        <v>0.38548406216064818</v>
      </c>
      <c r="F919">
        <f t="shared" si="129"/>
        <v>0.9130000000000007</v>
      </c>
      <c r="G919">
        <f t="shared" ca="1" si="130"/>
        <v>1.3799338207947858E-2</v>
      </c>
      <c r="H919">
        <f t="shared" ca="1" si="132"/>
        <v>1.3799357859675026E-2</v>
      </c>
      <c r="I919">
        <f t="shared" ca="1" si="133"/>
        <v>1.089432935537058E-2</v>
      </c>
      <c r="J919" s="5">
        <f t="shared" ca="1" si="134"/>
        <v>2.9050285043044459E-3</v>
      </c>
    </row>
    <row r="920" spans="1:10" x14ac:dyDescent="0.2">
      <c r="A920">
        <f t="shared" ca="1" si="126"/>
        <v>0.57340582264531492</v>
      </c>
      <c r="B920">
        <f t="shared" ca="1" si="127"/>
        <v>0.1850518661549839</v>
      </c>
      <c r="C920">
        <f t="shared" ca="1" si="131"/>
        <v>0.16632276856074205</v>
      </c>
      <c r="D920" s="21">
        <f t="shared" ca="1" si="128"/>
        <v>0.39216969800688356</v>
      </c>
      <c r="F920">
        <f t="shared" si="129"/>
        <v>0.9140000000000007</v>
      </c>
      <c r="G920">
        <f t="shared" ca="1" si="130"/>
        <v>1.4636371573837376E-2</v>
      </c>
      <c r="H920">
        <f t="shared" ca="1" si="132"/>
        <v>1.4636433075620027E-2</v>
      </c>
      <c r="I920">
        <f t="shared" ca="1" si="133"/>
        <v>1.09043944265441E-2</v>
      </c>
      <c r="J920" s="5">
        <f t="shared" ca="1" si="134"/>
        <v>3.7320386490759267E-3</v>
      </c>
    </row>
    <row r="921" spans="1:10" x14ac:dyDescent="0.2">
      <c r="A921">
        <f t="shared" ca="1" si="126"/>
        <v>0.33163515168858382</v>
      </c>
      <c r="B921">
        <f t="shared" ca="1" si="127"/>
        <v>-0.43540248989781682</v>
      </c>
      <c r="C921">
        <f t="shared" ca="1" si="131"/>
        <v>-0.26907972133707481</v>
      </c>
      <c r="D921" s="21">
        <f t="shared" ca="1" si="128"/>
        <v>0.36286435315986365</v>
      </c>
      <c r="F921">
        <f t="shared" si="129"/>
        <v>0.9150000000000007</v>
      </c>
      <c r="G921">
        <f t="shared" ca="1" si="130"/>
        <v>1.5230063634140419E-2</v>
      </c>
      <c r="H921">
        <f t="shared" ca="1" si="132"/>
        <v>1.5230154814626839E-2</v>
      </c>
      <c r="I921">
        <f t="shared" ca="1" si="133"/>
        <v>1.0911813959278826E-2</v>
      </c>
      <c r="J921" s="5">
        <f t="shared" ca="1" si="134"/>
        <v>4.3183408553480133E-3</v>
      </c>
    </row>
    <row r="922" spans="1:10" x14ac:dyDescent="0.2">
      <c r="A922">
        <f t="shared" ca="1" si="126"/>
        <v>0.3399771121098778</v>
      </c>
      <c r="B922">
        <f t="shared" ca="1" si="127"/>
        <v>-0.4125255954338593</v>
      </c>
      <c r="C922">
        <f t="shared" ca="1" si="131"/>
        <v>-0.68160531677093417</v>
      </c>
      <c r="D922" s="21">
        <f t="shared" ca="1" si="128"/>
        <v>0.36640089018214078</v>
      </c>
      <c r="F922">
        <f t="shared" si="129"/>
        <v>0.9160000000000007</v>
      </c>
      <c r="G922">
        <f t="shared" ca="1" si="130"/>
        <v>1.3861745477265906E-2</v>
      </c>
      <c r="H922">
        <f t="shared" ca="1" si="132"/>
        <v>1.3861768232159821E-2</v>
      </c>
      <c r="I922">
        <f t="shared" ca="1" si="133"/>
        <v>1.0897835463690901E-2</v>
      </c>
      <c r="J922" s="5">
        <f t="shared" ca="1" si="134"/>
        <v>2.9639327684689194E-3</v>
      </c>
    </row>
    <row r="923" spans="1:10" x14ac:dyDescent="0.2">
      <c r="A923">
        <f t="shared" ca="1" si="126"/>
        <v>0.83841857242752471</v>
      </c>
      <c r="B923">
        <f t="shared" ca="1" si="127"/>
        <v>0.98797915901100319</v>
      </c>
      <c r="C923">
        <f t="shared" ca="1" si="131"/>
        <v>0.30637384224006903</v>
      </c>
      <c r="D923" s="21">
        <f t="shared" ca="1" si="128"/>
        <v>0.24487927560201739</v>
      </c>
      <c r="F923">
        <f t="shared" si="129"/>
        <v>0.9170000000000007</v>
      </c>
      <c r="G923">
        <f t="shared" ca="1" si="130"/>
        <v>1.2565903620659213E-2</v>
      </c>
      <c r="H923">
        <f t="shared" ca="1" si="132"/>
        <v>1.2565861580648454E-2</v>
      </c>
      <c r="I923">
        <f t="shared" ca="1" si="133"/>
        <v>1.0884662276793385E-2</v>
      </c>
      <c r="J923" s="5">
        <f t="shared" ca="1" si="134"/>
        <v>1.6811993038550691E-3</v>
      </c>
    </row>
    <row r="924" spans="1:10" x14ac:dyDescent="0.2">
      <c r="A924">
        <f t="shared" ca="1" si="126"/>
        <v>0.99970285007180837</v>
      </c>
      <c r="B924">
        <f t="shared" ca="1" si="127"/>
        <v>3.4342025832871963</v>
      </c>
      <c r="C924">
        <f t="shared" ca="1" si="131"/>
        <v>3.7405764255272653</v>
      </c>
      <c r="D924" s="21">
        <f t="shared" ca="1" si="128"/>
        <v>1.0963023905405371E-3</v>
      </c>
      <c r="F924">
        <f t="shared" si="129"/>
        <v>0.9180000000000007</v>
      </c>
      <c r="G924">
        <f t="shared" ca="1" si="130"/>
        <v>1.5698754809681113E-2</v>
      </c>
      <c r="H924">
        <f t="shared" ca="1" si="132"/>
        <v>1.5698869417742827E-2</v>
      </c>
      <c r="I924">
        <f t="shared" ca="1" si="133"/>
        <v>1.0919759345881944E-2</v>
      </c>
      <c r="J924" s="5">
        <f t="shared" ca="1" si="134"/>
        <v>4.7791100718608832E-3</v>
      </c>
    </row>
    <row r="925" spans="1:10" x14ac:dyDescent="0.2">
      <c r="A925">
        <f t="shared" ca="1" si="126"/>
        <v>0.10051478894583488</v>
      </c>
      <c r="B925">
        <f t="shared" ca="1" si="127"/>
        <v>-1.2786237627483299</v>
      </c>
      <c r="C925">
        <f t="shared" ca="1" si="131"/>
        <v>2.4619526627789354</v>
      </c>
      <c r="D925" s="21">
        <f t="shared" ca="1" si="128"/>
        <v>0.17615730644095962</v>
      </c>
      <c r="F925">
        <f t="shared" si="129"/>
        <v>0.91900000000000071</v>
      </c>
      <c r="G925">
        <f t="shared" ca="1" si="130"/>
        <v>2.6566543649847937E-2</v>
      </c>
      <c r="H925">
        <f t="shared" ca="1" si="132"/>
        <v>2.6567201640422693E-2</v>
      </c>
      <c r="I925">
        <f t="shared" ca="1" si="133"/>
        <v>1.1040041879344532E-2</v>
      </c>
      <c r="J925" s="5">
        <f t="shared" ca="1" si="134"/>
        <v>1.5527159761078161E-2</v>
      </c>
    </row>
    <row r="926" spans="1:10" x14ac:dyDescent="0.2">
      <c r="A926">
        <f t="shared" ca="1" si="126"/>
        <v>0.51542838581419403</v>
      </c>
      <c r="B926">
        <f t="shared" ca="1" si="127"/>
        <v>3.8682873229661414E-2</v>
      </c>
      <c r="C926">
        <f t="shared" ca="1" si="131"/>
        <v>2.500635536008597</v>
      </c>
      <c r="D926" s="21">
        <f t="shared" ca="1" si="128"/>
        <v>0.39864391046377484</v>
      </c>
      <c r="F926">
        <f t="shared" si="129"/>
        <v>0.92000000000000071</v>
      </c>
      <c r="G926">
        <f t="shared" ca="1" si="130"/>
        <v>2.2530725427373159E-2</v>
      </c>
      <c r="H926">
        <f t="shared" ca="1" si="132"/>
        <v>2.2531181559559171E-2</v>
      </c>
      <c r="I926">
        <f t="shared" ca="1" si="133"/>
        <v>1.0996537724111407E-2</v>
      </c>
      <c r="J926" s="5">
        <f t="shared" ca="1" si="134"/>
        <v>1.1534643835447764E-2</v>
      </c>
    </row>
    <row r="927" spans="1:10" x14ac:dyDescent="0.2">
      <c r="A927">
        <f t="shared" ca="1" si="126"/>
        <v>2.4744378699443903E-2</v>
      </c>
      <c r="B927">
        <f t="shared" ca="1" si="127"/>
        <v>-1.9643565545486084</v>
      </c>
      <c r="C927">
        <f t="shared" ca="1" si="131"/>
        <v>0.53627898145998865</v>
      </c>
      <c r="D927" s="21">
        <f t="shared" ca="1" si="128"/>
        <v>5.7943500651502444E-2</v>
      </c>
      <c r="F927">
        <f t="shared" si="129"/>
        <v>0.92100000000000071</v>
      </c>
      <c r="G927">
        <f t="shared" ca="1" si="130"/>
        <v>2.266079183729779E-2</v>
      </c>
      <c r="H927">
        <f t="shared" ca="1" si="132"/>
        <v>2.2661254427248499E-2</v>
      </c>
      <c r="I927">
        <f t="shared" ca="1" si="133"/>
        <v>1.0998927817218448E-2</v>
      </c>
      <c r="J927" s="5">
        <f t="shared" ca="1" si="134"/>
        <v>1.1662326610030051E-2</v>
      </c>
    </row>
    <row r="928" spans="1:10" x14ac:dyDescent="0.2">
      <c r="A928">
        <f t="shared" ca="1" si="126"/>
        <v>0.62132773359209492</v>
      </c>
      <c r="B928">
        <f t="shared" ca="1" si="127"/>
        <v>0.30896975647826047</v>
      </c>
      <c r="C928">
        <f t="shared" ca="1" si="131"/>
        <v>0.84524873793824917</v>
      </c>
      <c r="D928" s="21">
        <f t="shared" ca="1" si="128"/>
        <v>0.3803476072732338</v>
      </c>
      <c r="F928">
        <f t="shared" si="129"/>
        <v>0.92200000000000071</v>
      </c>
      <c r="G928">
        <f t="shared" ca="1" si="130"/>
        <v>1.6456995101478199E-2</v>
      </c>
      <c r="H928">
        <f t="shared" ca="1" si="132"/>
        <v>1.6457147452751383E-2</v>
      </c>
      <c r="I928">
        <f t="shared" ca="1" si="133"/>
        <v>1.0931854473866645E-2</v>
      </c>
      <c r="J928" s="5">
        <f t="shared" ca="1" si="134"/>
        <v>5.5252929788847382E-3</v>
      </c>
    </row>
    <row r="929" spans="1:10" x14ac:dyDescent="0.2">
      <c r="A929">
        <f t="shared" ca="1" si="126"/>
        <v>0.60935035867239706</v>
      </c>
      <c r="B929">
        <f t="shared" ca="1" si="127"/>
        <v>0.27762624576509609</v>
      </c>
      <c r="C929">
        <f t="shared" ca="1" si="131"/>
        <v>1.1228749837033454</v>
      </c>
      <c r="D929" s="21">
        <f t="shared" ca="1" si="128"/>
        <v>0.38386025980840549</v>
      </c>
      <c r="F929">
        <f t="shared" si="129"/>
        <v>0.92300000000000071</v>
      </c>
      <c r="G929">
        <f t="shared" ca="1" si="130"/>
        <v>1.7442348292473316E-2</v>
      </c>
      <c r="H929">
        <f t="shared" ca="1" si="132"/>
        <v>1.7442549896584975E-2</v>
      </c>
      <c r="I929">
        <f t="shared" ca="1" si="133"/>
        <v>1.0943580232491156E-2</v>
      </c>
      <c r="J929" s="5">
        <f t="shared" ca="1" si="134"/>
        <v>6.4989696640938184E-3</v>
      </c>
    </row>
    <row r="930" spans="1:10" x14ac:dyDescent="0.2">
      <c r="A930">
        <f t="shared" ca="1" si="126"/>
        <v>0.93873561040430364</v>
      </c>
      <c r="B930">
        <f t="shared" ca="1" si="127"/>
        <v>1.544245874946889</v>
      </c>
      <c r="C930">
        <f t="shared" ca="1" si="131"/>
        <v>2.6671208586502342</v>
      </c>
      <c r="D930" s="21">
        <f t="shared" ca="1" si="128"/>
        <v>0.12108213108471559</v>
      </c>
      <c r="F930">
        <f t="shared" si="129"/>
        <v>0.92400000000000071</v>
      </c>
      <c r="G930">
        <f t="shared" ca="1" si="130"/>
        <v>1.8328491024994148E-2</v>
      </c>
      <c r="H930">
        <f t="shared" ca="1" si="132"/>
        <v>1.8328736916454695E-2</v>
      </c>
      <c r="I930">
        <f t="shared" ca="1" si="133"/>
        <v>1.0954232765209095E-2</v>
      </c>
      <c r="J930" s="5">
        <f t="shared" ca="1" si="134"/>
        <v>7.3745041512455999E-3</v>
      </c>
    </row>
    <row r="931" spans="1:10" x14ac:dyDescent="0.2">
      <c r="A931">
        <f t="shared" ca="1" si="126"/>
        <v>0.20319871059018169</v>
      </c>
      <c r="B931">
        <f t="shared" ca="1" si="127"/>
        <v>-0.83025005289488951</v>
      </c>
      <c r="C931">
        <f t="shared" ca="1" si="131"/>
        <v>1.8368708057553447</v>
      </c>
      <c r="D931" s="21">
        <f t="shared" ca="1" si="128"/>
        <v>0.28263580779041592</v>
      </c>
      <c r="F931">
        <f t="shared" si="129"/>
        <v>0.92500000000000071</v>
      </c>
      <c r="G931">
        <f t="shared" ca="1" si="130"/>
        <v>2.3219747843160998E-2</v>
      </c>
      <c r="H931">
        <f t="shared" ca="1" si="132"/>
        <v>2.3220238274914772E-2</v>
      </c>
      <c r="I931">
        <f t="shared" ca="1" si="133"/>
        <v>1.1008902566532331E-2</v>
      </c>
      <c r="J931" s="5">
        <f t="shared" ca="1" si="134"/>
        <v>1.2211335708382441E-2</v>
      </c>
    </row>
    <row r="932" spans="1:10" x14ac:dyDescent="0.2">
      <c r="A932">
        <f t="shared" ca="1" si="126"/>
        <v>0.77584217950640355</v>
      </c>
      <c r="B932">
        <f t="shared" ca="1" si="127"/>
        <v>0.75822609654106443</v>
      </c>
      <c r="C932">
        <f t="shared" ca="1" si="131"/>
        <v>2.595096902296409</v>
      </c>
      <c r="D932" s="21">
        <f t="shared" ca="1" si="128"/>
        <v>0.29927513644012638</v>
      </c>
      <c r="F932">
        <f t="shared" si="129"/>
        <v>0.92600000000000071</v>
      </c>
      <c r="G932">
        <f t="shared" ca="1" si="130"/>
        <v>2.0602075558455314E-2</v>
      </c>
      <c r="H932">
        <f t="shared" ca="1" si="132"/>
        <v>2.0602435056464155E-2</v>
      </c>
      <c r="I932">
        <f t="shared" ca="1" si="133"/>
        <v>1.0981079962748566E-2</v>
      </c>
      <c r="J932" s="5">
        <f t="shared" ca="1" si="134"/>
        <v>9.6213550937155889E-3</v>
      </c>
    </row>
    <row r="933" spans="1:10" x14ac:dyDescent="0.2">
      <c r="A933">
        <f t="shared" ca="1" si="126"/>
        <v>0.25332706052335274</v>
      </c>
      <c r="B933">
        <f t="shared" ca="1" si="127"/>
        <v>-0.66405654529797453</v>
      </c>
      <c r="C933">
        <f t="shared" ca="1" si="131"/>
        <v>1.9310403569984345</v>
      </c>
      <c r="D933" s="21">
        <f t="shared" ca="1" si="128"/>
        <v>0.32000326475494256</v>
      </c>
      <c r="F933">
        <f t="shared" si="129"/>
        <v>0.92700000000000071</v>
      </c>
      <c r="G933">
        <f t="shared" ca="1" si="130"/>
        <v>2.3007616519294272E-2</v>
      </c>
      <c r="H933">
        <f t="shared" ca="1" si="132"/>
        <v>2.3008096259406991E-2</v>
      </c>
      <c r="I933">
        <f t="shared" ca="1" si="133"/>
        <v>1.100848688099188E-2</v>
      </c>
      <c r="J933" s="5">
        <f t="shared" ca="1" si="134"/>
        <v>1.1999609378415111E-2</v>
      </c>
    </row>
    <row r="934" spans="1:10" x14ac:dyDescent="0.2">
      <c r="A934">
        <f t="shared" ca="1" si="126"/>
        <v>0.47890811324980709</v>
      </c>
      <c r="B934">
        <f t="shared" ca="1" si="127"/>
        <v>-5.2894173842945647E-2</v>
      </c>
      <c r="C934">
        <f t="shared" ca="1" si="131"/>
        <v>1.8781461831554889</v>
      </c>
      <c r="D934" s="21">
        <f t="shared" ca="1" si="128"/>
        <v>0.39838459148227451</v>
      </c>
      <c r="F934">
        <f t="shared" si="129"/>
        <v>0.92800000000000071</v>
      </c>
      <c r="G934">
        <f t="shared" ca="1" si="130"/>
        <v>2.0915489186593132E-2</v>
      </c>
      <c r="H934">
        <f t="shared" ca="1" si="132"/>
        <v>2.0915864271496675E-2</v>
      </c>
      <c r="I934">
        <f t="shared" ca="1" si="133"/>
        <v>1.0986437733316262E-2</v>
      </c>
      <c r="J934" s="5">
        <f t="shared" ca="1" si="134"/>
        <v>9.9294265381804133E-3</v>
      </c>
    </row>
    <row r="935" spans="1:10" x14ac:dyDescent="0.2">
      <c r="A935">
        <f t="shared" ca="1" si="126"/>
        <v>0.66140040259465893</v>
      </c>
      <c r="B935">
        <f t="shared" ca="1" si="127"/>
        <v>0.41628810614746048</v>
      </c>
      <c r="C935">
        <f t="shared" ca="1" si="131"/>
        <v>2.2944342893029495</v>
      </c>
      <c r="D935" s="21">
        <f t="shared" ca="1" si="128"/>
        <v>0.36583003932495323</v>
      </c>
      <c r="F935">
        <f t="shared" si="129"/>
        <v>0.92900000000000071</v>
      </c>
      <c r="G935">
        <f t="shared" ca="1" si="130"/>
        <v>2.075613954092325E-2</v>
      </c>
      <c r="H935">
        <f t="shared" ca="1" si="132"/>
        <v>2.0756506620772917E-2</v>
      </c>
      <c r="I935">
        <f t="shared" ca="1" si="133"/>
        <v>1.0985643815387643E-2</v>
      </c>
      <c r="J935" s="5">
        <f t="shared" ca="1" si="134"/>
        <v>9.770862805385274E-3</v>
      </c>
    </row>
    <row r="936" spans="1:10" x14ac:dyDescent="0.2">
      <c r="A936">
        <f t="shared" ca="1" si="126"/>
        <v>0.84230250305138932</v>
      </c>
      <c r="B936">
        <f t="shared" ca="1" si="127"/>
        <v>1.0039660169372104</v>
      </c>
      <c r="C936">
        <f t="shared" ca="1" si="131"/>
        <v>3.2984003062401599</v>
      </c>
      <c r="D936" s="21">
        <f t="shared" ca="1" si="128"/>
        <v>0.24101106955398091</v>
      </c>
      <c r="F936">
        <f t="shared" si="129"/>
        <v>0.93000000000000071</v>
      </c>
      <c r="G936">
        <f t="shared" ca="1" si="130"/>
        <v>2.2080416290840489E-2</v>
      </c>
      <c r="H936">
        <f t="shared" ca="1" si="132"/>
        <v>2.2080849548374755E-2</v>
      </c>
      <c r="I936">
        <f t="shared" ca="1" si="133"/>
        <v>1.1001160104576449E-2</v>
      </c>
      <c r="J936" s="5">
        <f t="shared" ca="1" si="134"/>
        <v>1.1079689443798306E-2</v>
      </c>
    </row>
    <row r="937" spans="1:10" x14ac:dyDescent="0.2">
      <c r="A937">
        <f t="shared" ca="1" si="126"/>
        <v>1.4726622670173994E-2</v>
      </c>
      <c r="B937">
        <f t="shared" ca="1" si="127"/>
        <v>-2.1773663358388822</v>
      </c>
      <c r="C937">
        <f t="shared" ca="1" si="131"/>
        <v>1.1210339704012777</v>
      </c>
      <c r="D937" s="21">
        <f t="shared" ca="1" si="128"/>
        <v>3.7276185546666091E-2</v>
      </c>
      <c r="F937">
        <f t="shared" si="129"/>
        <v>0.93100000000000072</v>
      </c>
      <c r="G937">
        <f t="shared" ca="1" si="130"/>
        <v>2.5262868432203815E-2</v>
      </c>
      <c r="H937">
        <f t="shared" ca="1" si="132"/>
        <v>2.5263460770348686E-2</v>
      </c>
      <c r="I937">
        <f t="shared" ca="1" si="133"/>
        <v>1.1037190785089915E-2</v>
      </c>
      <c r="J937" s="5">
        <f t="shared" ca="1" si="134"/>
        <v>1.422626998525877E-2</v>
      </c>
    </row>
    <row r="938" spans="1:10" x14ac:dyDescent="0.2">
      <c r="A938">
        <f t="shared" ca="1" si="126"/>
        <v>0.74236010299059463</v>
      </c>
      <c r="B938">
        <f t="shared" ca="1" si="127"/>
        <v>0.65063862001576434</v>
      </c>
      <c r="C938">
        <f t="shared" ca="1" si="131"/>
        <v>1.7716725904170421</v>
      </c>
      <c r="D938" s="21">
        <f t="shared" ca="1" si="128"/>
        <v>0.32283825485864448</v>
      </c>
      <c r="F938">
        <f t="shared" si="129"/>
        <v>0.93200000000000072</v>
      </c>
      <c r="G938">
        <f t="shared" ca="1" si="130"/>
        <v>1.8385249107363472E-2</v>
      </c>
      <c r="H938">
        <f t="shared" ca="1" si="132"/>
        <v>1.8385497502445673E-2</v>
      </c>
      <c r="I938">
        <f t="shared" ca="1" si="133"/>
        <v>1.0962497324894177E-2</v>
      </c>
      <c r="J938" s="5">
        <f t="shared" ca="1" si="134"/>
        <v>7.4230001775514951E-3</v>
      </c>
    </row>
    <row r="939" spans="1:10" x14ac:dyDescent="0.2">
      <c r="A939">
        <f t="shared" ca="1" si="126"/>
        <v>0.56076303329054089</v>
      </c>
      <c r="B939">
        <f t="shared" ca="1" si="127"/>
        <v>0.15290406092080813</v>
      </c>
      <c r="C939">
        <f t="shared" ca="1" si="131"/>
        <v>1.9245766513378502</v>
      </c>
      <c r="D939" s="21">
        <f t="shared" ca="1" si="128"/>
        <v>0.39430586682185048</v>
      </c>
      <c r="F939">
        <f t="shared" si="129"/>
        <v>0.93300000000000072</v>
      </c>
      <c r="G939">
        <f t="shared" ca="1" si="130"/>
        <v>2.0450807276598842E-2</v>
      </c>
      <c r="H939">
        <f t="shared" ca="1" si="132"/>
        <v>2.0451158925614062E-2</v>
      </c>
      <c r="I939">
        <f t="shared" ca="1" si="133"/>
        <v>1.0986119514349576E-2</v>
      </c>
      <c r="J939" s="5">
        <f t="shared" ca="1" si="134"/>
        <v>9.4650394112644858E-3</v>
      </c>
    </row>
    <row r="940" spans="1:10" x14ac:dyDescent="0.2">
      <c r="A940">
        <f t="shared" ca="1" si="126"/>
        <v>0.2816620471951562</v>
      </c>
      <c r="B940">
        <f t="shared" ca="1" si="127"/>
        <v>-0.57791116878386117</v>
      </c>
      <c r="C940">
        <f t="shared" ca="1" si="131"/>
        <v>1.346665482553989</v>
      </c>
      <c r="D940" s="21">
        <f t="shared" ca="1" si="128"/>
        <v>0.33758795584637352</v>
      </c>
      <c r="F940">
        <f t="shared" si="129"/>
        <v>0.93400000000000072</v>
      </c>
      <c r="G940">
        <f t="shared" ca="1" si="130"/>
        <v>2.0942262718889874E-2</v>
      </c>
      <c r="H940">
        <f t="shared" ca="1" si="132"/>
        <v>2.0942638905720394E-2</v>
      </c>
      <c r="I940">
        <f t="shared" ca="1" si="133"/>
        <v>1.0992477099030095E-2</v>
      </c>
      <c r="J940" s="5">
        <f t="shared" ca="1" si="134"/>
        <v>9.9501618066902987E-3</v>
      </c>
    </row>
    <row r="941" spans="1:10" x14ac:dyDescent="0.2">
      <c r="A941">
        <f t="shared" ca="1" si="126"/>
        <v>0.80777934724201528</v>
      </c>
      <c r="B941">
        <f t="shared" ca="1" si="127"/>
        <v>0.86974219875386505</v>
      </c>
      <c r="C941">
        <f t="shared" ca="1" si="131"/>
        <v>2.2164076813078539</v>
      </c>
      <c r="D941" s="21">
        <f t="shared" ca="1" si="128"/>
        <v>0.27330571385997465</v>
      </c>
      <c r="F941">
        <f t="shared" si="129"/>
        <v>0.93500000000000072</v>
      </c>
      <c r="G941">
        <f t="shared" ca="1" si="130"/>
        <v>1.9122743890707245E-2</v>
      </c>
      <c r="H941">
        <f t="shared" ca="1" si="132"/>
        <v>1.9123029063222823E-2</v>
      </c>
      <c r="I941">
        <f t="shared" ca="1" si="133"/>
        <v>1.0973448949251096E-2</v>
      </c>
      <c r="J941" s="5">
        <f t="shared" ca="1" si="134"/>
        <v>8.1495801139717262E-3</v>
      </c>
    </row>
    <row r="942" spans="1:10" x14ac:dyDescent="0.2">
      <c r="A942">
        <f t="shared" ca="1" si="126"/>
        <v>6.046633901509002E-2</v>
      </c>
      <c r="B942">
        <f t="shared" ca="1" si="127"/>
        <v>-1.5508706803236822</v>
      </c>
      <c r="C942">
        <f t="shared" ca="1" si="131"/>
        <v>0.66553700098417168</v>
      </c>
      <c r="D942" s="21">
        <f t="shared" ca="1" si="128"/>
        <v>0.11984710581963248</v>
      </c>
      <c r="F942">
        <f t="shared" si="129"/>
        <v>0.93600000000000072</v>
      </c>
      <c r="G942">
        <f t="shared" ca="1" si="130"/>
        <v>2.1881060024583867E-2</v>
      </c>
      <c r="H942">
        <f t="shared" ca="1" si="132"/>
        <v>2.1881483085541574E-2</v>
      </c>
      <c r="I942">
        <f t="shared" ca="1" si="133"/>
        <v>1.1004716894646592E-2</v>
      </c>
      <c r="J942" s="5">
        <f t="shared" ca="1" si="134"/>
        <v>1.0876766190894982E-2</v>
      </c>
    </row>
    <row r="943" spans="1:10" x14ac:dyDescent="0.2">
      <c r="A943">
        <f t="shared" ca="1" si="126"/>
        <v>0.28290336470074051</v>
      </c>
      <c r="B943">
        <f t="shared" ca="1" si="127"/>
        <v>-0.57423804229236708</v>
      </c>
      <c r="C943">
        <f t="shared" ca="1" si="131"/>
        <v>9.1298958691804599E-2</v>
      </c>
      <c r="D943" s="21">
        <f t="shared" ca="1" si="128"/>
        <v>0.33830304653475823</v>
      </c>
      <c r="F943">
        <f t="shared" si="129"/>
        <v>0.93700000000000072</v>
      </c>
      <c r="G943">
        <f t="shared" ca="1" si="130"/>
        <v>1.6984833025770509E-2</v>
      </c>
      <c r="H943">
        <f t="shared" ca="1" si="132"/>
        <v>1.6985011231035303E-2</v>
      </c>
      <c r="I943">
        <f t="shared" ca="1" si="133"/>
        <v>1.0951919150423494E-2</v>
      </c>
      <c r="J943" s="5">
        <f t="shared" ca="1" si="134"/>
        <v>6.0330920806118092E-3</v>
      </c>
    </row>
    <row r="944" spans="1:10" x14ac:dyDescent="0.2">
      <c r="A944">
        <f t="shared" ca="1" si="126"/>
        <v>0.63687175277559427</v>
      </c>
      <c r="B944">
        <f t="shared" ca="1" si="127"/>
        <v>0.35010953616334084</v>
      </c>
      <c r="C944">
        <f t="shared" ca="1" si="131"/>
        <v>0.44140849485514544</v>
      </c>
      <c r="D944" s="21">
        <f t="shared" ca="1" si="128"/>
        <v>0.37522595910590517</v>
      </c>
      <c r="F944">
        <f t="shared" si="129"/>
        <v>0.93800000000000072</v>
      </c>
      <c r="G944">
        <f t="shared" ca="1" si="130"/>
        <v>1.5177324785869634E-2</v>
      </c>
      <c r="H944">
        <f t="shared" ca="1" si="132"/>
        <v>1.5177412597152223E-2</v>
      </c>
      <c r="I944">
        <f t="shared" ca="1" si="133"/>
        <v>1.0933088199044235E-2</v>
      </c>
      <c r="J944" s="5">
        <f t="shared" ca="1" si="134"/>
        <v>4.2443243981079883E-3</v>
      </c>
    </row>
    <row r="945" spans="1:10" x14ac:dyDescent="0.2">
      <c r="A945">
        <f t="shared" ca="1" si="126"/>
        <v>0.34067541438034232</v>
      </c>
      <c r="B945">
        <f t="shared" ca="1" si="127"/>
        <v>-0.41062050090635543</v>
      </c>
      <c r="C945">
        <f t="shared" ca="1" si="131"/>
        <v>3.0787993948790005E-2</v>
      </c>
      <c r="D945" s="21">
        <f t="shared" ca="1" si="128"/>
        <v>0.36668829248921547</v>
      </c>
      <c r="F945">
        <f t="shared" si="129"/>
        <v>0.93900000000000072</v>
      </c>
      <c r="G945">
        <f t="shared" ca="1" si="130"/>
        <v>1.6292894839241262E-2</v>
      </c>
      <c r="H945">
        <f t="shared" ca="1" si="132"/>
        <v>1.6293038420713755E-2</v>
      </c>
      <c r="I945">
        <f t="shared" ca="1" si="133"/>
        <v>1.0946239243804484E-2</v>
      </c>
      <c r="J945" s="5">
        <f t="shared" ca="1" si="134"/>
        <v>5.3467991769092713E-3</v>
      </c>
    </row>
    <row r="946" spans="1:10" x14ac:dyDescent="0.2">
      <c r="A946">
        <f t="shared" ca="1" si="126"/>
        <v>0.82034305392225282</v>
      </c>
      <c r="B946">
        <f t="shared" ca="1" si="127"/>
        <v>0.91667324116257531</v>
      </c>
      <c r="C946">
        <f t="shared" ca="1" si="131"/>
        <v>0.94746123511136537</v>
      </c>
      <c r="D946" s="21">
        <f t="shared" ca="1" si="128"/>
        <v>0.26208577357618545</v>
      </c>
      <c r="F946">
        <f t="shared" si="129"/>
        <v>0.94000000000000072</v>
      </c>
      <c r="G946">
        <f t="shared" ca="1" si="130"/>
        <v>1.5002834016509205E-2</v>
      </c>
      <c r="H946">
        <f t="shared" ca="1" si="132"/>
        <v>1.5002913080048363E-2</v>
      </c>
      <c r="I946">
        <f t="shared" ca="1" si="133"/>
        <v>1.0933073412358546E-2</v>
      </c>
      <c r="J946" s="5">
        <f t="shared" ca="1" si="134"/>
        <v>4.0698396676898171E-3</v>
      </c>
    </row>
    <row r="947" spans="1:10" x14ac:dyDescent="0.2">
      <c r="A947">
        <f t="shared" ca="1" si="126"/>
        <v>0.43936748987373342</v>
      </c>
      <c r="B947">
        <f t="shared" ca="1" si="127"/>
        <v>-0.15257304919975295</v>
      </c>
      <c r="C947">
        <f t="shared" ca="1" si="131"/>
        <v>0.79488818591161237</v>
      </c>
      <c r="D947" s="21">
        <f t="shared" ca="1" si="128"/>
        <v>0.39432580274118162</v>
      </c>
      <c r="F947">
        <f t="shared" si="129"/>
        <v>0.94100000000000072</v>
      </c>
      <c r="G947">
        <f t="shared" ca="1" si="130"/>
        <v>1.7909963687611684E-2</v>
      </c>
      <c r="H947">
        <f t="shared" ca="1" si="132"/>
        <v>1.7910188100942911E-2</v>
      </c>
      <c r="I947">
        <f t="shared" ca="1" si="133"/>
        <v>1.0965853621434058E-2</v>
      </c>
      <c r="J947" s="5">
        <f t="shared" ca="1" si="134"/>
        <v>6.9443344795088527E-3</v>
      </c>
    </row>
    <row r="948" spans="1:10" x14ac:dyDescent="0.2">
      <c r="A948">
        <f t="shared" ca="1" si="126"/>
        <v>0.97689877539625569</v>
      </c>
      <c r="B948">
        <f t="shared" ca="1" si="127"/>
        <v>1.9935390748722628</v>
      </c>
      <c r="C948">
        <f t="shared" ca="1" si="131"/>
        <v>2.7884272607838749</v>
      </c>
      <c r="D948" s="21">
        <f t="shared" ca="1" si="128"/>
        <v>5.4692015193951109E-2</v>
      </c>
      <c r="F948">
        <f t="shared" si="129"/>
        <v>0.94200000000000073</v>
      </c>
      <c r="G948">
        <f t="shared" ca="1" si="130"/>
        <v>1.7435718058690406E-2</v>
      </c>
      <c r="H948">
        <f t="shared" ca="1" si="132"/>
        <v>1.7435918737104667E-2</v>
      </c>
      <c r="I948">
        <f t="shared" ca="1" si="133"/>
        <v>1.0961605413718404E-2</v>
      </c>
      <c r="J948" s="5">
        <f t="shared" ca="1" si="134"/>
        <v>6.4743133233862629E-3</v>
      </c>
    </row>
    <row r="949" spans="1:10" x14ac:dyDescent="0.2">
      <c r="A949">
        <f t="shared" ca="1" si="126"/>
        <v>0.71381195593590885</v>
      </c>
      <c r="B949">
        <f t="shared" ca="1" si="127"/>
        <v>0.56455557671536072</v>
      </c>
      <c r="C949">
        <f t="shared" ca="1" si="131"/>
        <v>3.3529828374992356</v>
      </c>
      <c r="D949" s="21">
        <f t="shared" ca="1" si="128"/>
        <v>0.3401733178729156</v>
      </c>
      <c r="F949">
        <f t="shared" si="129"/>
        <v>0.94300000000000073</v>
      </c>
      <c r="G949">
        <f t="shared" ca="1" si="130"/>
        <v>2.3747782962147145E-2</v>
      </c>
      <c r="H949">
        <f t="shared" ca="1" si="132"/>
        <v>2.3748299226372248E-2</v>
      </c>
      <c r="I949">
        <f t="shared" ca="1" si="133"/>
        <v>1.1031974998612996E-2</v>
      </c>
      <c r="J949" s="5">
        <f t="shared" ca="1" si="134"/>
        <v>1.2716324227759252E-2</v>
      </c>
    </row>
    <row r="950" spans="1:10" x14ac:dyDescent="0.2">
      <c r="A950">
        <f t="shared" ca="1" si="126"/>
        <v>0.12506323731811686</v>
      </c>
      <c r="B950">
        <f t="shared" ca="1" si="127"/>
        <v>-1.1500422389429081</v>
      </c>
      <c r="C950">
        <f t="shared" ca="1" si="131"/>
        <v>2.2029405985563275</v>
      </c>
      <c r="D950" s="21">
        <f t="shared" ca="1" si="128"/>
        <v>0.20592626546938392</v>
      </c>
      <c r="F950">
        <f t="shared" si="129"/>
        <v>0.94400000000000073</v>
      </c>
      <c r="G950">
        <f t="shared" ca="1" si="130"/>
        <v>2.554060003041778E-2</v>
      </c>
      <c r="H950">
        <f t="shared" ca="1" si="132"/>
        <v>2.5541205884620072E-2</v>
      </c>
      <c r="I950">
        <f t="shared" ca="1" si="133"/>
        <v>1.1052737730754143E-2</v>
      </c>
      <c r="J950" s="5">
        <f t="shared" ca="1" si="134"/>
        <v>1.448846815386593E-2</v>
      </c>
    </row>
    <row r="951" spans="1:10" x14ac:dyDescent="0.2">
      <c r="A951">
        <f t="shared" ca="1" si="126"/>
        <v>8.9213798875555028E-2</v>
      </c>
      <c r="B951">
        <f t="shared" ca="1" si="127"/>
        <v>-1.3456122536877697</v>
      </c>
      <c r="C951">
        <f t="shared" ca="1" si="131"/>
        <v>0.8573283448685578</v>
      </c>
      <c r="D951" s="21">
        <f t="shared" ca="1" si="128"/>
        <v>0.16133461740522195</v>
      </c>
      <c r="F951">
        <f t="shared" si="129"/>
        <v>0.94500000000000073</v>
      </c>
      <c r="G951">
        <f t="shared" ca="1" si="130"/>
        <v>2.191147454773875E-2</v>
      </c>
      <c r="H951">
        <f t="shared" ca="1" si="132"/>
        <v>2.1911898883572426E-2</v>
      </c>
      <c r="I951">
        <f t="shared" ca="1" si="133"/>
        <v>1.1013660906135703E-2</v>
      </c>
      <c r="J951" s="5">
        <f t="shared" ca="1" si="134"/>
        <v>1.0898237977436723E-2</v>
      </c>
    </row>
    <row r="952" spans="1:10" x14ac:dyDescent="0.2">
      <c r="A952">
        <f t="shared" ca="1" si="126"/>
        <v>0.76318405407267298</v>
      </c>
      <c r="B952">
        <f t="shared" ca="1" si="127"/>
        <v>0.71658226319876539</v>
      </c>
      <c r="C952">
        <f t="shared" ca="1" si="131"/>
        <v>1.5739106080673233</v>
      </c>
      <c r="D952" s="21">
        <f t="shared" ca="1" si="128"/>
        <v>0.30860794219565341</v>
      </c>
      <c r="F952">
        <f t="shared" si="129"/>
        <v>0.94600000000000073</v>
      </c>
      <c r="G952">
        <f t="shared" ca="1" si="130"/>
        <v>1.7664296191882548E-2</v>
      </c>
      <c r="H952">
        <f t="shared" ca="1" si="132"/>
        <v>1.766450812459841E-2</v>
      </c>
      <c r="I952">
        <f t="shared" ca="1" si="133"/>
        <v>1.0967937054899244E-2</v>
      </c>
      <c r="J952" s="5">
        <f t="shared" ca="1" si="134"/>
        <v>6.6965710696991667E-3</v>
      </c>
    </row>
    <row r="953" spans="1:10" x14ac:dyDescent="0.2">
      <c r="A953">
        <f t="shared" ca="1" si="126"/>
        <v>0.54827556516033304</v>
      </c>
      <c r="B953">
        <f t="shared" ca="1" si="127"/>
        <v>0.12130574511798133</v>
      </c>
      <c r="C953">
        <f t="shared" ca="1" si="131"/>
        <v>1.6952163531853046</v>
      </c>
      <c r="D953" s="21">
        <f t="shared" ca="1" si="128"/>
        <v>0.3960178174797977</v>
      </c>
      <c r="F953">
        <f t="shared" si="129"/>
        <v>0.94700000000000073</v>
      </c>
      <c r="G953">
        <f t="shared" ca="1" si="130"/>
        <v>1.9938448136301481E-2</v>
      </c>
      <c r="H953">
        <f t="shared" ca="1" si="132"/>
        <v>1.9938773756372302E-2</v>
      </c>
      <c r="I953">
        <f t="shared" ca="1" si="133"/>
        <v>1.0993863300470676E-2</v>
      </c>
      <c r="J953" s="5">
        <f t="shared" ca="1" si="134"/>
        <v>8.9449104559016258E-3</v>
      </c>
    </row>
    <row r="954" spans="1:10" x14ac:dyDescent="0.2">
      <c r="A954">
        <f t="shared" ca="1" si="126"/>
        <v>0.76650314090060312</v>
      </c>
      <c r="B954">
        <f t="shared" ca="1" si="127"/>
        <v>0.72737915854937729</v>
      </c>
      <c r="C954">
        <f t="shared" ca="1" si="131"/>
        <v>2.422595511734682</v>
      </c>
      <c r="D954" s="21">
        <f t="shared" ca="1" si="128"/>
        <v>0.30621164880686602</v>
      </c>
      <c r="F954">
        <f t="shared" si="129"/>
        <v>0.94800000000000073</v>
      </c>
      <c r="G954">
        <f t="shared" ca="1" si="130"/>
        <v>2.0330037159706851E-2</v>
      </c>
      <c r="H954">
        <f t="shared" ca="1" si="132"/>
        <v>2.0330382326833336E-2</v>
      </c>
      <c r="I954">
        <f t="shared" ca="1" si="133"/>
        <v>1.0999126249687191E-2</v>
      </c>
      <c r="J954" s="5">
        <f t="shared" ca="1" si="134"/>
        <v>9.331256077146145E-3</v>
      </c>
    </row>
    <row r="955" spans="1:10" x14ac:dyDescent="0.2">
      <c r="A955">
        <f t="shared" ca="1" si="126"/>
        <v>0.10130261562279608</v>
      </c>
      <c r="B955">
        <f t="shared" ca="1" si="127"/>
        <v>-1.274164195906496</v>
      </c>
      <c r="C955">
        <f t="shared" ca="1" si="131"/>
        <v>1.148431315828186</v>
      </c>
      <c r="D955" s="21">
        <f t="shared" ca="1" si="128"/>
        <v>0.17716288200163427</v>
      </c>
      <c r="F955">
        <f t="shared" si="129"/>
        <v>0.94900000000000073</v>
      </c>
      <c r="G955">
        <f t="shared" ca="1" si="130"/>
        <v>2.263806361725576E-2</v>
      </c>
      <c r="H955">
        <f t="shared" ca="1" si="132"/>
        <v>2.2638524152153422E-2</v>
      </c>
      <c r="I955">
        <f t="shared" ca="1" si="133"/>
        <v>1.1025502655844175E-2</v>
      </c>
      <c r="J955" s="5">
        <f t="shared" ca="1" si="134"/>
        <v>1.1613021496309247E-2</v>
      </c>
    </row>
    <row r="956" spans="1:10" x14ac:dyDescent="0.2">
      <c r="A956">
        <f t="shared" ca="1" si="126"/>
        <v>0.29673033333499843</v>
      </c>
      <c r="B956">
        <f t="shared" ca="1" si="127"/>
        <v>-0.53382781653721512</v>
      </c>
      <c r="C956">
        <f t="shared" ca="1" si="131"/>
        <v>0.61460349929097091</v>
      </c>
      <c r="D956" s="21">
        <f t="shared" ca="1" si="128"/>
        <v>0.34596260006685992</v>
      </c>
      <c r="F956">
        <f t="shared" si="129"/>
        <v>0.95000000000000073</v>
      </c>
      <c r="G956">
        <f t="shared" ca="1" si="130"/>
        <v>1.8616739906650408E-2</v>
      </c>
      <c r="H956">
        <f t="shared" ca="1" si="132"/>
        <v>1.8616999327636691E-2</v>
      </c>
      <c r="I956">
        <f t="shared" ca="1" si="133"/>
        <v>1.0982210667877728E-2</v>
      </c>
      <c r="J956" s="5">
        <f t="shared" ca="1" si="134"/>
        <v>7.6347886597589627E-3</v>
      </c>
    </row>
    <row r="957" spans="1:10" x14ac:dyDescent="0.2">
      <c r="A957">
        <f t="shared" ca="1" si="126"/>
        <v>0.78185473935490302</v>
      </c>
      <c r="B957">
        <f t="shared" ca="1" si="127"/>
        <v>0.77847248511408829</v>
      </c>
      <c r="C957">
        <f t="shared" ca="1" si="131"/>
        <v>1.3930759844050593</v>
      </c>
      <c r="D957" s="21">
        <f t="shared" ca="1" si="128"/>
        <v>0.29465554815076389</v>
      </c>
      <c r="F957">
        <f t="shared" si="129"/>
        <v>0.95100000000000073</v>
      </c>
      <c r="G957">
        <f t="shared" ca="1" si="130"/>
        <v>1.693685044921709E-2</v>
      </c>
      <c r="H957">
        <f t="shared" ca="1" si="132"/>
        <v>1.6937025849091826E-2</v>
      </c>
      <c r="I957">
        <f t="shared" ca="1" si="133"/>
        <v>1.0964728707763259E-2</v>
      </c>
      <c r="J957" s="5">
        <f t="shared" ca="1" si="134"/>
        <v>5.9722971413285666E-3</v>
      </c>
    </row>
    <row r="958" spans="1:10" x14ac:dyDescent="0.2">
      <c r="A958">
        <f t="shared" ca="1" si="126"/>
        <v>0.61154359306670025</v>
      </c>
      <c r="B958">
        <f t="shared" ca="1" si="127"/>
        <v>0.28334444049520913</v>
      </c>
      <c r="C958">
        <f t="shared" ca="1" si="131"/>
        <v>1.6764204249002685</v>
      </c>
      <c r="D958" s="21">
        <f t="shared" ca="1" si="128"/>
        <v>0.38324509138297586</v>
      </c>
      <c r="F958">
        <f t="shared" si="129"/>
        <v>0.95200000000000073</v>
      </c>
      <c r="G958">
        <f t="shared" ca="1" si="130"/>
        <v>1.9406779415423285E-2</v>
      </c>
      <c r="H958">
        <f t="shared" ca="1" si="132"/>
        <v>1.9407078295238959E-2</v>
      </c>
      <c r="I958">
        <f t="shared" ca="1" si="133"/>
        <v>1.0992798604167528E-2</v>
      </c>
      <c r="J958" s="5">
        <f t="shared" ca="1" si="134"/>
        <v>8.4142796910714312E-3</v>
      </c>
    </row>
    <row r="959" spans="1:10" x14ac:dyDescent="0.2">
      <c r="A959">
        <f t="shared" ca="1" si="126"/>
        <v>3.5613331435336515E-2</v>
      </c>
      <c r="B959">
        <f t="shared" ca="1" si="127"/>
        <v>-1.8040296250309691</v>
      </c>
      <c r="C959">
        <f t="shared" ca="1" si="131"/>
        <v>-0.12760920013070054</v>
      </c>
      <c r="D959" s="21">
        <f t="shared" ca="1" si="128"/>
        <v>7.837894258343768E-2</v>
      </c>
      <c r="F959">
        <f t="shared" si="129"/>
        <v>0.95300000000000074</v>
      </c>
      <c r="G959">
        <f t="shared" ca="1" si="130"/>
        <v>2.0310807330016879E-2</v>
      </c>
      <c r="H959">
        <f t="shared" ca="1" si="132"/>
        <v>2.0311151381720346E-2</v>
      </c>
      <c r="I959">
        <f t="shared" ca="1" si="133"/>
        <v>1.1003698019065563E-2</v>
      </c>
      <c r="J959" s="5">
        <f t="shared" ca="1" si="134"/>
        <v>9.3074533626547832E-3</v>
      </c>
    </row>
    <row r="960" spans="1:10" x14ac:dyDescent="0.2">
      <c r="A960">
        <f t="shared" ca="1" si="126"/>
        <v>0.25220277201217711</v>
      </c>
      <c r="B960">
        <f t="shared" ca="1" si="127"/>
        <v>-0.66757402316459691</v>
      </c>
      <c r="C960">
        <f t="shared" ca="1" si="131"/>
        <v>-0.79518322329529745</v>
      </c>
      <c r="D960" s="21">
        <f t="shared" ca="1" si="128"/>
        <v>0.31925469705213044</v>
      </c>
      <c r="F960">
        <f t="shared" si="129"/>
        <v>0.95400000000000074</v>
      </c>
      <c r="G960">
        <f t="shared" ca="1" si="130"/>
        <v>1.461421849957833E-2</v>
      </c>
      <c r="H960">
        <f t="shared" ca="1" si="132"/>
        <v>1.4614277685064802E-2</v>
      </c>
      <c r="I960">
        <f t="shared" ca="1" si="133"/>
        <v>1.0942141827070297E-2</v>
      </c>
      <c r="J960" s="5">
        <f t="shared" ca="1" si="134"/>
        <v>3.6721358579945053E-3</v>
      </c>
    </row>
    <row r="961" spans="1:10" x14ac:dyDescent="0.2">
      <c r="A961">
        <f t="shared" ca="1" si="126"/>
        <v>0.28433794322974282</v>
      </c>
      <c r="B961">
        <f t="shared" ca="1" si="127"/>
        <v>-0.57000267104785973</v>
      </c>
      <c r="C961">
        <f t="shared" ca="1" si="131"/>
        <v>-1.3651858943431572</v>
      </c>
      <c r="D961" s="21">
        <f t="shared" ca="1" si="128"/>
        <v>0.33912379688753103</v>
      </c>
      <c r="F961">
        <f t="shared" si="129"/>
        <v>0.95500000000000074</v>
      </c>
      <c r="G961">
        <f t="shared" ca="1" si="130"/>
        <v>1.2511807779174725E-2</v>
      </c>
      <c r="H961">
        <f t="shared" ca="1" si="132"/>
        <v>1.2511761837334164E-2</v>
      </c>
      <c r="I961">
        <f t="shared" ca="1" si="133"/>
        <v>1.0920104095773091E-2</v>
      </c>
      <c r="J961" s="5">
        <f t="shared" ca="1" si="134"/>
        <v>1.5916577415610728E-3</v>
      </c>
    </row>
    <row r="962" spans="1:10" x14ac:dyDescent="0.2">
      <c r="A962">
        <f t="shared" ca="1" si="126"/>
        <v>0.41175121082424271</v>
      </c>
      <c r="B962">
        <f t="shared" ca="1" si="127"/>
        <v>-0.22304250986693941</v>
      </c>
      <c r="C962">
        <f t="shared" ca="1" si="131"/>
        <v>-1.5882284042100965</v>
      </c>
      <c r="D962" s="21">
        <f t="shared" ca="1" si="128"/>
        <v>0.38914139667669567</v>
      </c>
      <c r="F962">
        <f t="shared" si="129"/>
        <v>0.95600000000000074</v>
      </c>
      <c r="G962">
        <f t="shared" ca="1" si="130"/>
        <v>1.0718139569660062E-2</v>
      </c>
      <c r="H962">
        <f t="shared" ca="1" si="132"/>
        <v>1.0718003948259478E-2</v>
      </c>
      <c r="I962">
        <f t="shared" ca="1" si="133"/>
        <v>1.0901473854881279E-2</v>
      </c>
      <c r="J962" s="5">
        <f t="shared" ca="1" si="134"/>
        <v>1.8346990662180054E-4</v>
      </c>
    </row>
    <row r="963" spans="1:10" x14ac:dyDescent="0.2">
      <c r="A963">
        <f t="shared" ca="1" si="126"/>
        <v>0.38344372171803898</v>
      </c>
      <c r="B963">
        <f t="shared" ca="1" si="127"/>
        <v>-0.29644869356523773</v>
      </c>
      <c r="C963">
        <f t="shared" ca="1" si="131"/>
        <v>-1.8846770977753342</v>
      </c>
      <c r="D963" s="21">
        <f t="shared" ca="1" si="128"/>
        <v>0.38179195194224291</v>
      </c>
      <c r="F963">
        <f t="shared" si="129"/>
        <v>0.95700000000000074</v>
      </c>
      <c r="G963">
        <f t="shared" ca="1" si="130"/>
        <v>1.002178022773652E-2</v>
      </c>
      <c r="H963">
        <f t="shared" ca="1" si="132"/>
        <v>1.0021609801644545E-2</v>
      </c>
      <c r="I963">
        <f t="shared" ca="1" si="133"/>
        <v>1.0894822471731262E-2</v>
      </c>
      <c r="J963" s="5">
        <f t="shared" ca="1" si="134"/>
        <v>8.7321267008671696E-4</v>
      </c>
    </row>
    <row r="964" spans="1:10" x14ac:dyDescent="0.2">
      <c r="A964">
        <f t="shared" ca="1" si="126"/>
        <v>0.84302963886887616</v>
      </c>
      <c r="B964">
        <f t="shared" ca="1" si="127"/>
        <v>1.0069876225402601</v>
      </c>
      <c r="C964">
        <f t="shared" ca="1" si="131"/>
        <v>-0.87768947523507412</v>
      </c>
      <c r="D964" s="21">
        <f t="shared" ca="1" si="128"/>
        <v>0.24027995190096132</v>
      </c>
      <c r="F964">
        <f t="shared" si="129"/>
        <v>0.95800000000000074</v>
      </c>
      <c r="G964">
        <f t="shared" ca="1" si="130"/>
        <v>9.0933713894913015E-3</v>
      </c>
      <c r="H964">
        <f t="shared" ca="1" si="132"/>
        <v>9.0931545596169266E-3</v>
      </c>
      <c r="I964">
        <f t="shared" ca="1" si="133"/>
        <v>1.0885647960062915E-2</v>
      </c>
      <c r="J964" s="5">
        <f t="shared" ca="1" si="134"/>
        <v>1.792493400445988E-3</v>
      </c>
    </row>
    <row r="965" spans="1:10" x14ac:dyDescent="0.2">
      <c r="A965">
        <f t="shared" ca="1" si="126"/>
        <v>0.48028748116979758</v>
      </c>
      <c r="B965">
        <f t="shared" ca="1" si="127"/>
        <v>-4.9432081154892331E-2</v>
      </c>
      <c r="C965">
        <f t="shared" ca="1" si="131"/>
        <v>-0.92712155638996641</v>
      </c>
      <c r="D965" s="21">
        <f t="shared" ca="1" si="128"/>
        <v>0.39845516418854199</v>
      </c>
      <c r="F965">
        <f t="shared" si="129"/>
        <v>0.95900000000000074</v>
      </c>
      <c r="G965">
        <f t="shared" ca="1" si="130"/>
        <v>1.2286676848570176E-2</v>
      </c>
      <c r="H965">
        <f t="shared" ca="1" si="132"/>
        <v>1.2286619706986097E-2</v>
      </c>
      <c r="I965">
        <f t="shared" ca="1" si="133"/>
        <v>1.0921404673776509E-2</v>
      </c>
      <c r="J965" s="5">
        <f t="shared" ca="1" si="134"/>
        <v>1.3652150332095873E-3</v>
      </c>
    </row>
    <row r="966" spans="1:10" x14ac:dyDescent="0.2">
      <c r="A966">
        <f t="shared" ca="1" si="126"/>
        <v>9.8062396777486516E-2</v>
      </c>
      <c r="B966">
        <f t="shared" ca="1" si="127"/>
        <v>-1.2926712262905293</v>
      </c>
      <c r="C966">
        <f t="shared" ca="1" si="131"/>
        <v>-2.2197927826804955</v>
      </c>
      <c r="D966" s="21">
        <f t="shared" ca="1" si="128"/>
        <v>0.17300444644085239</v>
      </c>
      <c r="F966">
        <f t="shared" si="129"/>
        <v>0.96000000000000074</v>
      </c>
      <c r="G966">
        <f t="shared" ca="1" si="130"/>
        <v>1.2139137591974224E-2</v>
      </c>
      <c r="H966">
        <f t="shared" ca="1" si="132"/>
        <v>1.2139073079083653E-2</v>
      </c>
      <c r="I966">
        <f t="shared" ca="1" si="133"/>
        <v>1.0920735015988033E-2</v>
      </c>
      <c r="J966" s="5">
        <f t="shared" ca="1" si="134"/>
        <v>1.2183380630956201E-3</v>
      </c>
    </row>
    <row r="967" spans="1:10" x14ac:dyDescent="0.2">
      <c r="A967">
        <f t="shared" ref="A967:A1005" ca="1" si="135">RAND()</f>
        <v>0.36827610206131423</v>
      </c>
      <c r="B967">
        <f t="shared" ref="B967:B1005" ca="1" si="136">NORMSINV(A967)</f>
        <v>-0.33642260691077397</v>
      </c>
      <c r="C967">
        <f t="shared" ca="1" si="131"/>
        <v>-2.5562153895912694</v>
      </c>
      <c r="D967" s="21">
        <f t="shared" ref="D967:D1005" ca="1" si="137">_xlfn.NORM.DIST(B967,0,1,FALSE)</f>
        <v>0.37699301542684455</v>
      </c>
      <c r="F967">
        <f t="shared" ref="F967:F1005" si="138">F966+$M$2/$N$2</f>
        <v>0.96100000000000074</v>
      </c>
      <c r="G967">
        <f t="shared" ref="G967:G1005" ca="1" si="139">G966*EXP(-$M$4*$O$2) + $O$4*(1-EXP(-$M$4*$O$2)) + $N$4* SQRT((1-EXP(-2*$M$4*$O$2))/(2*$M$4)) *B966</f>
        <v>8.0603422788355483E-3</v>
      </c>
      <c r="H967">
        <f t="shared" ca="1" si="132"/>
        <v>8.0600738309347403E-3</v>
      </c>
      <c r="I967">
        <f t="shared" ca="1" si="133"/>
        <v>1.0877217800568707E-2</v>
      </c>
      <c r="J967" s="5">
        <f t="shared" ca="1" si="134"/>
        <v>2.8171439696339663E-3</v>
      </c>
    </row>
    <row r="968" spans="1:10" x14ac:dyDescent="0.2">
      <c r="A968">
        <f t="shared" ca="1" si="135"/>
        <v>0.58638995924218895</v>
      </c>
      <c r="B968">
        <f t="shared" ca="1" si="136"/>
        <v>0.21826828771286544</v>
      </c>
      <c r="C968">
        <f t="shared" ref="C968:C1005" ca="1" si="140">B968+C967</f>
        <v>-2.3379471018784042</v>
      </c>
      <c r="D968" s="21">
        <f t="shared" ca="1" si="137"/>
        <v>0.38955155675789732</v>
      </c>
      <c r="F968">
        <f t="shared" si="138"/>
        <v>0.96200000000000074</v>
      </c>
      <c r="G968">
        <f t="shared" ca="1" si="139"/>
        <v>7.0057272815835792E-3</v>
      </c>
      <c r="H968">
        <f t="shared" ref="H968:H1005" ca="1" si="141">H967+($M$6 + $N$6*H967)*$O$2 + $O$6*H967^$P$6*SQRT($O$2)*B967</f>
        <v>7.0054061293420983E-3</v>
      </c>
      <c r="I968">
        <f t="shared" ref="I968:I1005" ca="1" si="142">I967*EXP(($M$8-0.5*($N$8^2))*$O$2 + $N$8*SQRT($O$2)*B967)</f>
        <v>1.0866684384437832E-2</v>
      </c>
      <c r="J968" s="5">
        <f t="shared" ref="J968:J1005" ca="1" si="143">ABS(H968-I968)</f>
        <v>3.8612782550957337E-3</v>
      </c>
    </row>
    <row r="969" spans="1:10" x14ac:dyDescent="0.2">
      <c r="A969">
        <f t="shared" ca="1" si="135"/>
        <v>0.89124329579186523</v>
      </c>
      <c r="B969">
        <f t="shared" ca="1" si="136"/>
        <v>1.2331671505464805</v>
      </c>
      <c r="C969">
        <f t="shared" ca="1" si="140"/>
        <v>-1.1047799513319236</v>
      </c>
      <c r="D969" s="21">
        <f t="shared" ca="1" si="137"/>
        <v>0.1865065082362298</v>
      </c>
      <c r="F969">
        <f t="shared" si="138"/>
        <v>0.96300000000000074</v>
      </c>
      <c r="G969">
        <f t="shared" ca="1" si="139"/>
        <v>7.7052166642485528E-3</v>
      </c>
      <c r="H969">
        <f t="shared" ca="1" si="141"/>
        <v>7.704930518886763E-3</v>
      </c>
      <c r="I969">
        <f t="shared" ca="1" si="142"/>
        <v>1.0875220526881975E-2</v>
      </c>
      <c r="J969" s="5">
        <f t="shared" ca="1" si="143"/>
        <v>3.1702900079952122E-3</v>
      </c>
    </row>
    <row r="970" spans="1:10" x14ac:dyDescent="0.2">
      <c r="A970">
        <f t="shared" ca="1" si="135"/>
        <v>0.76517426654306475</v>
      </c>
      <c r="B970">
        <f t="shared" ca="1" si="136"/>
        <v>0.72304625503339792</v>
      </c>
      <c r="C970">
        <f t="shared" ca="1" si="140"/>
        <v>-0.38173369629852572</v>
      </c>
      <c r="D970" s="21">
        <f t="shared" ca="1" si="137"/>
        <v>0.3071753638689444</v>
      </c>
      <c r="F970">
        <f t="shared" si="138"/>
        <v>0.96400000000000075</v>
      </c>
      <c r="G970">
        <f t="shared" ca="1" si="139"/>
        <v>1.1613867639827502E-2</v>
      </c>
      <c r="H970">
        <f t="shared" ca="1" si="141"/>
        <v>1.1613776957261507E-2</v>
      </c>
      <c r="I970">
        <f t="shared" ca="1" si="142"/>
        <v>1.0918749750335325E-2</v>
      </c>
      <c r="J970" s="5">
        <f t="shared" ca="1" si="143"/>
        <v>6.9502720692618189E-4</v>
      </c>
    </row>
    <row r="971" spans="1:10" x14ac:dyDescent="0.2">
      <c r="A971">
        <f t="shared" ca="1" si="135"/>
        <v>0.65015109982737984</v>
      </c>
      <c r="B971">
        <f t="shared" ca="1" si="136"/>
        <v>0.38572843647896443</v>
      </c>
      <c r="C971">
        <f t="shared" ca="1" si="140"/>
        <v>3.9947401804387161E-3</v>
      </c>
      <c r="D971" s="21">
        <f t="shared" ca="1" si="137"/>
        <v>0.37034075172190978</v>
      </c>
      <c r="F971">
        <f t="shared" si="138"/>
        <v>0.96500000000000075</v>
      </c>
      <c r="G971">
        <f t="shared" ca="1" si="139"/>
        <v>1.3909064511820411E-2</v>
      </c>
      <c r="H971">
        <f t="shared" ca="1" si="141"/>
        <v>1.3909088599126304E-2</v>
      </c>
      <c r="I971">
        <f t="shared" ca="1" si="142"/>
        <v>1.0944783445240103E-2</v>
      </c>
      <c r="J971" s="5">
        <f t="shared" ca="1" si="143"/>
        <v>2.9643051538862011E-3</v>
      </c>
    </row>
    <row r="972" spans="1:10" x14ac:dyDescent="0.2">
      <c r="A972">
        <f t="shared" ca="1" si="135"/>
        <v>0.62517746244859307</v>
      </c>
      <c r="B972">
        <f t="shared" ca="1" si="136"/>
        <v>0.31910739644053632</v>
      </c>
      <c r="C972">
        <f t="shared" ca="1" si="140"/>
        <v>0.32310213662097503</v>
      </c>
      <c r="D972" s="21">
        <f t="shared" ca="1" si="137"/>
        <v>0.37913865425728671</v>
      </c>
      <c r="F972">
        <f t="shared" si="138"/>
        <v>0.96600000000000075</v>
      </c>
      <c r="G972">
        <f t="shared" ca="1" si="139"/>
        <v>1.5137392606018228E-2</v>
      </c>
      <c r="H972">
        <f t="shared" ca="1" si="141"/>
        <v>1.51374781078355E-2</v>
      </c>
      <c r="I972">
        <f t="shared" ca="1" si="142"/>
        <v>1.0959182896172197E-2</v>
      </c>
      <c r="J972" s="5">
        <f t="shared" ca="1" si="143"/>
        <v>4.1782952116633035E-3</v>
      </c>
    </row>
    <row r="973" spans="1:10" x14ac:dyDescent="0.2">
      <c r="A973">
        <f t="shared" ca="1" si="135"/>
        <v>0.61530870424724338</v>
      </c>
      <c r="B973">
        <f t="shared" ca="1" si="136"/>
        <v>0.29318258915266687</v>
      </c>
      <c r="C973">
        <f t="shared" ca="1" si="140"/>
        <v>0.61628472577364191</v>
      </c>
      <c r="D973" s="21">
        <f t="shared" ca="1" si="137"/>
        <v>0.38215975595447027</v>
      </c>
      <c r="F973">
        <f t="shared" si="138"/>
        <v>0.96700000000000075</v>
      </c>
      <c r="G973">
        <f t="shared" ca="1" si="139"/>
        <v>1.6154934180209801E-2</v>
      </c>
      <c r="H973">
        <f t="shared" ca="1" si="141"/>
        <v>1.6155070550983117E-2</v>
      </c>
      <c r="I973">
        <f t="shared" ca="1" si="142"/>
        <v>1.0971289680213414E-2</v>
      </c>
      <c r="J973" s="5">
        <f t="shared" ca="1" si="143"/>
        <v>5.1837808707697035E-3</v>
      </c>
    </row>
    <row r="974" spans="1:10" x14ac:dyDescent="0.2">
      <c r="A974">
        <f t="shared" ca="1" si="135"/>
        <v>0.5440767763465868</v>
      </c>
      <c r="B974">
        <f t="shared" ca="1" si="136"/>
        <v>0.1107098342666188</v>
      </c>
      <c r="C974">
        <f t="shared" ca="1" si="140"/>
        <v>0.72699456004026075</v>
      </c>
      <c r="D974" s="21">
        <f t="shared" ca="1" si="137"/>
        <v>0.39650490513219377</v>
      </c>
      <c r="F974">
        <f t="shared" si="138"/>
        <v>0.96800000000000075</v>
      </c>
      <c r="G974">
        <f t="shared" ca="1" si="139"/>
        <v>1.7090396665302054E-2</v>
      </c>
      <c r="H974">
        <f t="shared" ca="1" si="141"/>
        <v>1.709057979595582E-2</v>
      </c>
      <c r="I974">
        <f t="shared" ca="1" si="142"/>
        <v>1.0982509439977499E-2</v>
      </c>
      <c r="J974" s="5">
        <f t="shared" ca="1" si="143"/>
        <v>6.1080703559783216E-3</v>
      </c>
    </row>
    <row r="975" spans="1:10" x14ac:dyDescent="0.2">
      <c r="A975">
        <f t="shared" ca="1" si="135"/>
        <v>0.72663739366780045</v>
      </c>
      <c r="B975">
        <f t="shared" ca="1" si="136"/>
        <v>0.60267455397829894</v>
      </c>
      <c r="C975">
        <f t="shared" ca="1" si="140"/>
        <v>1.3296691140185597</v>
      </c>
      <c r="D975" s="21">
        <f t="shared" ca="1" si="137"/>
        <v>0.33268910549985936</v>
      </c>
      <c r="F975">
        <f t="shared" si="138"/>
        <v>0.96900000000000075</v>
      </c>
      <c r="G975">
        <f t="shared" ca="1" si="139"/>
        <v>1.7448764942731149E-2</v>
      </c>
      <c r="H975">
        <f t="shared" ca="1" si="141"/>
        <v>1.7448965973638497E-2</v>
      </c>
      <c r="I975">
        <f t="shared" ca="1" si="142"/>
        <v>1.0987398790637471E-2</v>
      </c>
      <c r="J975" s="5">
        <f t="shared" ca="1" si="143"/>
        <v>6.4615671830010254E-3</v>
      </c>
    </row>
    <row r="976" spans="1:10" x14ac:dyDescent="0.2">
      <c r="A976">
        <f t="shared" ca="1" si="135"/>
        <v>0.48047998133719361</v>
      </c>
      <c r="B976">
        <f t="shared" ca="1" si="136"/>
        <v>-4.894897064803809E-2</v>
      </c>
      <c r="C976">
        <f t="shared" ca="1" si="140"/>
        <v>1.2807201433705215</v>
      </c>
      <c r="D976" s="21">
        <f t="shared" ca="1" si="137"/>
        <v>0.39846463337282811</v>
      </c>
      <c r="F976">
        <f t="shared" si="138"/>
        <v>0.97000000000000075</v>
      </c>
      <c r="G976">
        <f t="shared" ca="1" si="139"/>
        <v>1.9362748644648351E-2</v>
      </c>
      <c r="H976">
        <f t="shared" ca="1" si="141"/>
        <v>1.936304535543865E-2</v>
      </c>
      <c r="I976">
        <f t="shared" ca="1" si="142"/>
        <v>1.1009404652484204E-2</v>
      </c>
      <c r="J976" s="5">
        <f t="shared" ca="1" si="143"/>
        <v>8.3536407029544454E-3</v>
      </c>
    </row>
    <row r="977" spans="1:10" x14ac:dyDescent="0.2">
      <c r="A977">
        <f t="shared" ca="1" si="135"/>
        <v>0.28191118216358502</v>
      </c>
      <c r="B977">
        <f t="shared" ca="1" si="136"/>
        <v>-0.57717334068594162</v>
      </c>
      <c r="C977">
        <f t="shared" ca="1" si="140"/>
        <v>0.70354680268457992</v>
      </c>
      <c r="D977" s="21">
        <f t="shared" ca="1" si="137"/>
        <v>0.33773184181124571</v>
      </c>
      <c r="F977">
        <f t="shared" si="138"/>
        <v>0.97100000000000075</v>
      </c>
      <c r="G977">
        <f t="shared" ca="1" si="139"/>
        <v>1.9216029469431895E-2</v>
      </c>
      <c r="H977">
        <f t="shared" ca="1" si="141"/>
        <v>1.9216318814534578E-2</v>
      </c>
      <c r="I977">
        <f t="shared" ca="1" si="142"/>
        <v>1.1008746417255973E-2</v>
      </c>
      <c r="J977" s="5">
        <f t="shared" ca="1" si="143"/>
        <v>8.2075723972786056E-3</v>
      </c>
    </row>
    <row r="978" spans="1:10" x14ac:dyDescent="0.2">
      <c r="A978">
        <f t="shared" ca="1" si="135"/>
        <v>4.7434122279113367E-2</v>
      </c>
      <c r="B978">
        <f t="shared" ca="1" si="136"/>
        <v>-1.6702584272759293</v>
      </c>
      <c r="C978">
        <f t="shared" ca="1" si="140"/>
        <v>-0.96671162459134941</v>
      </c>
      <c r="D978" s="21">
        <f t="shared" ca="1" si="137"/>
        <v>9.8882783029119542E-2</v>
      </c>
      <c r="F978">
        <f t="shared" si="138"/>
        <v>0.97200000000000075</v>
      </c>
      <c r="G978">
        <f t="shared" ca="1" si="139"/>
        <v>1.7399016356598424E-2</v>
      </c>
      <c r="H978">
        <f t="shared" ca="1" si="141"/>
        <v>1.7399214821357218E-2</v>
      </c>
      <c r="I978">
        <f t="shared" ca="1" si="142"/>
        <v>1.0989715746397786E-2</v>
      </c>
      <c r="J978" s="5">
        <f t="shared" ca="1" si="143"/>
        <v>6.4094990749594318E-3</v>
      </c>
    </row>
    <row r="979" spans="1:10" x14ac:dyDescent="0.2">
      <c r="A979">
        <f t="shared" ca="1" si="135"/>
        <v>0.71018566038294206</v>
      </c>
      <c r="B979">
        <f t="shared" ca="1" si="136"/>
        <v>0.55392718538994434</v>
      </c>
      <c r="C979">
        <f t="shared" ca="1" si="140"/>
        <v>-0.41278443920140506</v>
      </c>
      <c r="D979" s="21">
        <f t="shared" ca="1" si="137"/>
        <v>0.342201273315688</v>
      </c>
      <c r="F979">
        <f t="shared" si="138"/>
        <v>0.97300000000000075</v>
      </c>
      <c r="G979">
        <f t="shared" ca="1" si="139"/>
        <v>1.2125719210731221E-2</v>
      </c>
      <c r="H979">
        <f t="shared" ca="1" si="141"/>
        <v>1.2125653988592441E-2</v>
      </c>
      <c r="I979">
        <f t="shared" ca="1" si="142"/>
        <v>1.0932861632471475E-2</v>
      </c>
      <c r="J979" s="5">
        <f t="shared" ca="1" si="143"/>
        <v>1.1927923561209659E-3</v>
      </c>
    </row>
    <row r="980" spans="1:10" x14ac:dyDescent="0.2">
      <c r="A980">
        <f t="shared" ca="1" si="135"/>
        <v>0.73866555563052783</v>
      </c>
      <c r="B980">
        <f t="shared" ca="1" si="136"/>
        <v>0.63923681050989356</v>
      </c>
      <c r="C980">
        <f t="shared" ca="1" si="140"/>
        <v>0.2264523713084885</v>
      </c>
      <c r="D980" s="21">
        <f t="shared" ca="1" si="137"/>
        <v>0.32522098197870447</v>
      </c>
      <c r="F980">
        <f t="shared" si="138"/>
        <v>0.97400000000000075</v>
      </c>
      <c r="G980">
        <f t="shared" ca="1" si="139"/>
        <v>1.388609018324293E-2</v>
      </c>
      <c r="H980">
        <f t="shared" ca="1" si="141"/>
        <v>1.3886112986912152E-2</v>
      </c>
      <c r="I980">
        <f t="shared" ca="1" si="142"/>
        <v>1.095306969023826E-2</v>
      </c>
      <c r="J980" s="5">
        <f t="shared" ca="1" si="143"/>
        <v>2.9330432966738918E-3</v>
      </c>
    </row>
    <row r="981" spans="1:10" x14ac:dyDescent="0.2">
      <c r="A981">
        <f t="shared" ca="1" si="135"/>
        <v>1.7347066146668921E-2</v>
      </c>
      <c r="B981">
        <f t="shared" ca="1" si="136"/>
        <v>-2.1119104337605057</v>
      </c>
      <c r="C981">
        <f t="shared" ca="1" si="140"/>
        <v>-1.8854580624520172</v>
      </c>
      <c r="D981" s="21">
        <f t="shared" ca="1" si="137"/>
        <v>4.2894083628430855E-2</v>
      </c>
      <c r="F981">
        <f t="shared" si="138"/>
        <v>0.97500000000000075</v>
      </c>
      <c r="G981">
        <f t="shared" ca="1" si="139"/>
        <v>1.5916044361099019E-2</v>
      </c>
      <c r="H981">
        <f t="shared" ca="1" si="141"/>
        <v>1.5916168661046184E-2</v>
      </c>
      <c r="I981">
        <f t="shared" ca="1" si="142"/>
        <v>1.0976275800549558E-2</v>
      </c>
      <c r="J981" s="5">
        <f t="shared" ca="1" si="143"/>
        <v>4.9398928604966266E-3</v>
      </c>
    </row>
    <row r="982" spans="1:10" x14ac:dyDescent="0.2">
      <c r="A982">
        <f t="shared" ca="1" si="135"/>
        <v>0.59124437091872739</v>
      </c>
      <c r="B982">
        <f t="shared" ca="1" si="136"/>
        <v>0.23074712840732972</v>
      </c>
      <c r="C982">
        <f t="shared" ca="1" si="140"/>
        <v>-1.6547109340446875</v>
      </c>
      <c r="D982" s="21">
        <f t="shared" ca="1" si="137"/>
        <v>0.38846171806113228</v>
      </c>
      <c r="F982">
        <f t="shared" si="138"/>
        <v>0.97600000000000076</v>
      </c>
      <c r="G982">
        <f t="shared" ca="1" si="139"/>
        <v>9.2463390597462107E-3</v>
      </c>
      <c r="H982">
        <f t="shared" ca="1" si="141"/>
        <v>9.2461298592227195E-3</v>
      </c>
      <c r="I982">
        <f t="shared" ca="1" si="142"/>
        <v>1.0904251413043258E-2</v>
      </c>
      <c r="J982" s="5">
        <f t="shared" ca="1" si="143"/>
        <v>1.6581215538205383E-3</v>
      </c>
    </row>
    <row r="983" spans="1:10" x14ac:dyDescent="0.2">
      <c r="A983">
        <f t="shared" ca="1" si="135"/>
        <v>0.29571478710281796</v>
      </c>
      <c r="B983">
        <f t="shared" ca="1" si="136"/>
        <v>-0.53676554510140428</v>
      </c>
      <c r="C983">
        <f t="shared" ca="1" si="140"/>
        <v>-2.1914764791460919</v>
      </c>
      <c r="D983" s="21">
        <f t="shared" ca="1" si="137"/>
        <v>0.34541898193051862</v>
      </c>
      <c r="F983">
        <f t="shared" si="138"/>
        <v>0.97700000000000076</v>
      </c>
      <c r="G983">
        <f t="shared" ca="1" si="139"/>
        <v>9.9850639785932088E-3</v>
      </c>
      <c r="H983">
        <f t="shared" ca="1" si="141"/>
        <v>9.9848917355473011E-3</v>
      </c>
      <c r="I983">
        <f t="shared" ca="1" si="142"/>
        <v>1.091324771091242E-2</v>
      </c>
      <c r="J983" s="5">
        <f t="shared" ca="1" si="143"/>
        <v>9.2835597536511903E-4</v>
      </c>
    </row>
    <row r="984" spans="1:10" x14ac:dyDescent="0.2">
      <c r="A984">
        <f t="shared" ca="1" si="135"/>
        <v>0.6644422096892757</v>
      </c>
      <c r="B984">
        <f t="shared" ca="1" si="136"/>
        <v>0.42461743561640736</v>
      </c>
      <c r="C984">
        <f t="shared" ca="1" si="140"/>
        <v>-1.7668590435296845</v>
      </c>
      <c r="D984" s="21">
        <f t="shared" ca="1" si="137"/>
        <v>0.36455111049765559</v>
      </c>
      <c r="F984">
        <f t="shared" si="138"/>
        <v>0.97800000000000076</v>
      </c>
      <c r="G984">
        <f t="shared" ca="1" si="139"/>
        <v>8.2967481966618999E-3</v>
      </c>
      <c r="H984">
        <f t="shared" ca="1" si="141"/>
        <v>8.2964915543514723E-3</v>
      </c>
      <c r="I984">
        <f t="shared" ca="1" si="142"/>
        <v>1.0895774307759244E-2</v>
      </c>
      <c r="J984" s="5">
        <f t="shared" ca="1" si="143"/>
        <v>2.5992827534077716E-3</v>
      </c>
    </row>
    <row r="985" spans="1:10" x14ac:dyDescent="0.2">
      <c r="A985">
        <f t="shared" ca="1" si="135"/>
        <v>0.86540145302786242</v>
      </c>
      <c r="B985">
        <f t="shared" ca="1" si="136"/>
        <v>1.1049134497325188</v>
      </c>
      <c r="C985">
        <f t="shared" ca="1" si="140"/>
        <v>-0.66194559379716567</v>
      </c>
      <c r="D985" s="21">
        <f t="shared" ca="1" si="137"/>
        <v>0.21667529144045353</v>
      </c>
      <c r="F985">
        <f t="shared" si="138"/>
        <v>0.97900000000000076</v>
      </c>
      <c r="G985">
        <f t="shared" ca="1" si="139"/>
        <v>9.6486091589947608E-3</v>
      </c>
      <c r="H985">
        <f t="shared" ca="1" si="141"/>
        <v>9.6484201359637867E-3</v>
      </c>
      <c r="I985">
        <f t="shared" ca="1" si="142"/>
        <v>1.0911451063942914E-2</v>
      </c>
      <c r="J985" s="5">
        <f t="shared" ca="1" si="143"/>
        <v>1.2630309279791276E-3</v>
      </c>
    </row>
    <row r="986" spans="1:10" x14ac:dyDescent="0.2">
      <c r="A986">
        <f t="shared" ca="1" si="135"/>
        <v>0.61888194649210804</v>
      </c>
      <c r="B986">
        <f t="shared" ca="1" si="136"/>
        <v>0.3025456922267849</v>
      </c>
      <c r="C986">
        <f t="shared" ca="1" si="140"/>
        <v>-0.35939990157038076</v>
      </c>
      <c r="D986" s="21">
        <f t="shared" ca="1" si="137"/>
        <v>0.38109542299939564</v>
      </c>
      <c r="F986">
        <f t="shared" si="138"/>
        <v>0.98000000000000076</v>
      </c>
      <c r="G986">
        <f t="shared" ca="1" si="139"/>
        <v>1.3151512269968701E-2</v>
      </c>
      <c r="H986">
        <f t="shared" ca="1" si="141"/>
        <v>1.3151498412458914E-2</v>
      </c>
      <c r="I986">
        <f t="shared" ca="1" si="142"/>
        <v>1.0950683092905632E-2</v>
      </c>
      <c r="J986" s="5">
        <f t="shared" ca="1" si="143"/>
        <v>2.2008153195532815E-3</v>
      </c>
    </row>
    <row r="987" spans="1:10" x14ac:dyDescent="0.2">
      <c r="A987">
        <f t="shared" ca="1" si="135"/>
        <v>0.993396414595482</v>
      </c>
      <c r="B987">
        <f t="shared" ca="1" si="136"/>
        <v>2.478133528680917</v>
      </c>
      <c r="C987">
        <f t="shared" ca="1" si="140"/>
        <v>2.1187336271105361</v>
      </c>
      <c r="D987" s="21">
        <f t="shared" ca="1" si="137"/>
        <v>1.8508754803954204E-2</v>
      </c>
      <c r="F987">
        <f t="shared" si="138"/>
        <v>0.98100000000000076</v>
      </c>
      <c r="G987">
        <f t="shared" ca="1" si="139"/>
        <v>1.4116882333541601E-2</v>
      </c>
      <c r="H987">
        <f t="shared" ca="1" si="141"/>
        <v>1.4116916746326608E-2</v>
      </c>
      <c r="I987">
        <f t="shared" ca="1" si="142"/>
        <v>1.0962206351620245E-2</v>
      </c>
      <c r="J987" s="5">
        <f t="shared" ca="1" si="143"/>
        <v>3.1547103947063629E-3</v>
      </c>
    </row>
    <row r="988" spans="1:10" x14ac:dyDescent="0.2">
      <c r="A988">
        <f t="shared" ca="1" si="135"/>
        <v>0.23588693590893162</v>
      </c>
      <c r="B988">
        <f t="shared" ca="1" si="136"/>
        <v>-0.71959584369259277</v>
      </c>
      <c r="C988">
        <f t="shared" ca="1" si="140"/>
        <v>1.3991377834179435</v>
      </c>
      <c r="D988" s="21">
        <f t="shared" ca="1" si="137"/>
        <v>0.30794083077577616</v>
      </c>
      <c r="F988">
        <f t="shared" si="138"/>
        <v>0.98200000000000076</v>
      </c>
      <c r="G988">
        <f t="shared" ca="1" si="139"/>
        <v>2.1961624701579467E-2</v>
      </c>
      <c r="H988">
        <f t="shared" ca="1" si="141"/>
        <v>2.1962051351313877E-2</v>
      </c>
      <c r="I988">
        <f t="shared" ca="1" si="142"/>
        <v>1.1049499325314032E-2</v>
      </c>
      <c r="J988" s="5">
        <f t="shared" ca="1" si="143"/>
        <v>1.0912552025999845E-2</v>
      </c>
    </row>
    <row r="989" spans="1:10" x14ac:dyDescent="0.2">
      <c r="A989">
        <f t="shared" ca="1" si="135"/>
        <v>7.9769943461336479E-2</v>
      </c>
      <c r="B989">
        <f t="shared" ca="1" si="136"/>
        <v>-1.4066207157999899</v>
      </c>
      <c r="C989">
        <f t="shared" ca="1" si="140"/>
        <v>-7.4829323820464477E-3</v>
      </c>
      <c r="D989" s="21">
        <f t="shared" ca="1" si="137"/>
        <v>0.14834280222991875</v>
      </c>
      <c r="F989">
        <f t="shared" si="138"/>
        <v>0.98300000000000076</v>
      </c>
      <c r="G989">
        <f t="shared" ca="1" si="139"/>
        <v>1.9693980061423831E-2</v>
      </c>
      <c r="H989">
        <f t="shared" ca="1" si="141"/>
        <v>1.9694293285319645E-2</v>
      </c>
      <c r="I989">
        <f t="shared" ca="1" si="142"/>
        <v>1.1025431458776177E-2</v>
      </c>
      <c r="J989" s="5">
        <f t="shared" ca="1" si="143"/>
        <v>8.6688618265434673E-3</v>
      </c>
    </row>
    <row r="990" spans="1:10" x14ac:dyDescent="0.2">
      <c r="A990">
        <f t="shared" ca="1" si="135"/>
        <v>0.43483199050692967</v>
      </c>
      <c r="B990">
        <f t="shared" ca="1" si="136"/>
        <v>-0.1640853163258883</v>
      </c>
      <c r="C990">
        <f t="shared" ca="1" si="140"/>
        <v>-0.17156824870793475</v>
      </c>
      <c r="D990" s="21">
        <f t="shared" ca="1" si="137"/>
        <v>0.39360770876395329</v>
      </c>
      <c r="F990">
        <f t="shared" si="138"/>
        <v>0.98400000000000076</v>
      </c>
      <c r="G990">
        <f t="shared" ca="1" si="139"/>
        <v>1.5254107392993384E-2</v>
      </c>
      <c r="H990">
        <f t="shared" ca="1" si="141"/>
        <v>1.5254198590086749E-2</v>
      </c>
      <c r="I990">
        <f t="shared" ca="1" si="142"/>
        <v>1.0977540687415176E-2</v>
      </c>
      <c r="J990" s="5">
        <f t="shared" ca="1" si="143"/>
        <v>4.2766579026715726E-3</v>
      </c>
    </row>
    <row r="991" spans="1:10" x14ac:dyDescent="0.2">
      <c r="A991">
        <f t="shared" ca="1" si="135"/>
        <v>0.37752015416884199</v>
      </c>
      <c r="B991">
        <f t="shared" ca="1" si="136"/>
        <v>-0.31200028289697535</v>
      </c>
      <c r="C991">
        <f t="shared" ca="1" si="140"/>
        <v>-0.48356853160491009</v>
      </c>
      <c r="D991" s="21">
        <f t="shared" ca="1" si="137"/>
        <v>0.3799898939557787</v>
      </c>
      <c r="F991">
        <f t="shared" si="138"/>
        <v>0.98500000000000076</v>
      </c>
      <c r="G991">
        <f t="shared" ca="1" si="139"/>
        <v>1.4743724171445276E-2</v>
      </c>
      <c r="H991">
        <f t="shared" ca="1" si="141"/>
        <v>1.4743789840048722E-2</v>
      </c>
      <c r="I991">
        <f t="shared" ca="1" si="142"/>
        <v>1.0972888476978304E-2</v>
      </c>
      <c r="J991" s="5">
        <f t="shared" ca="1" si="143"/>
        <v>3.7709013630704176E-3</v>
      </c>
    </row>
    <row r="992" spans="1:10" x14ac:dyDescent="0.2">
      <c r="A992">
        <f t="shared" ca="1" si="135"/>
        <v>0.79954466505831978</v>
      </c>
      <c r="B992">
        <f t="shared" ca="1" si="136"/>
        <v>0.83999592757452268</v>
      </c>
      <c r="C992">
        <f t="shared" ca="1" si="140"/>
        <v>0.35642739596961259</v>
      </c>
      <c r="D992" s="21">
        <f t="shared" ca="1" si="137"/>
        <v>0.28034476984952944</v>
      </c>
      <c r="F992">
        <f t="shared" si="138"/>
        <v>0.98600000000000076</v>
      </c>
      <c r="G992">
        <f t="shared" ca="1" si="139"/>
        <v>1.3765667177710479E-2</v>
      </c>
      <c r="H992">
        <f t="shared" ca="1" si="141"/>
        <v>1.3765683936493396E-2</v>
      </c>
      <c r="I992">
        <f t="shared" ca="1" si="142"/>
        <v>1.0963109064160896E-2</v>
      </c>
      <c r="J992" s="5">
        <f t="shared" ca="1" si="143"/>
        <v>2.8025748723325E-3</v>
      </c>
    </row>
    <row r="993" spans="1:10" x14ac:dyDescent="0.2">
      <c r="A993">
        <f t="shared" ca="1" si="135"/>
        <v>0.10997630836579098</v>
      </c>
      <c r="B993">
        <f t="shared" ca="1" si="136"/>
        <v>-1.2266541252677186</v>
      </c>
      <c r="C993">
        <f t="shared" ca="1" si="140"/>
        <v>-0.87022672929810596</v>
      </c>
      <c r="D993" s="21">
        <f t="shared" ca="1" si="137"/>
        <v>0.18800650706132824</v>
      </c>
      <c r="F993">
        <f t="shared" si="138"/>
        <v>0.98700000000000077</v>
      </c>
      <c r="G993">
        <f t="shared" ca="1" si="139"/>
        <v>1.6430457726752643E-2</v>
      </c>
      <c r="H993">
        <f t="shared" ca="1" si="141"/>
        <v>1.6430607724501077E-2</v>
      </c>
      <c r="I993">
        <f t="shared" ca="1" si="142"/>
        <v>1.0993313401585519E-2</v>
      </c>
      <c r="J993" s="5">
        <f t="shared" ca="1" si="143"/>
        <v>5.4372943229155576E-3</v>
      </c>
    </row>
    <row r="994" spans="1:10" x14ac:dyDescent="0.2">
      <c r="A994">
        <f t="shared" ca="1" si="135"/>
        <v>0.66287904642851259</v>
      </c>
      <c r="B994">
        <f t="shared" ca="1" si="136"/>
        <v>0.42033340884356835</v>
      </c>
      <c r="C994">
        <f t="shared" ca="1" si="140"/>
        <v>-0.44989332045453762</v>
      </c>
      <c r="D994" s="21">
        <f t="shared" ca="1" si="137"/>
        <v>0.3652115075462441</v>
      </c>
      <c r="F994">
        <f t="shared" si="138"/>
        <v>0.98800000000000077</v>
      </c>
      <c r="G994">
        <f t="shared" ca="1" si="139"/>
        <v>1.2559987269024606E-2</v>
      </c>
      <c r="H994">
        <f t="shared" ca="1" si="141"/>
        <v>1.2559943726641137E-2</v>
      </c>
      <c r="I994">
        <f t="shared" ca="1" si="142"/>
        <v>1.095179307993265E-2</v>
      </c>
      <c r="J994" s="5">
        <f t="shared" ca="1" si="143"/>
        <v>1.6081506467084863E-3</v>
      </c>
    </row>
    <row r="995" spans="1:10" x14ac:dyDescent="0.2">
      <c r="A995">
        <f t="shared" ca="1" si="135"/>
        <v>0.37027359662634229</v>
      </c>
      <c r="B995">
        <f t="shared" ca="1" si="136"/>
        <v>-0.33112880672378808</v>
      </c>
      <c r="C995">
        <f t="shared" ca="1" si="140"/>
        <v>-0.78102212717832575</v>
      </c>
      <c r="D995" s="21">
        <f t="shared" ca="1" si="137"/>
        <v>0.37765972903013206</v>
      </c>
      <c r="F995">
        <f t="shared" si="138"/>
        <v>0.98900000000000077</v>
      </c>
      <c r="G995">
        <f t="shared" ca="1" si="139"/>
        <v>1.389787532394229E-2</v>
      </c>
      <c r="H995">
        <f t="shared" ca="1" si="141"/>
        <v>1.3897898680876909E-2</v>
      </c>
      <c r="I995">
        <f t="shared" ca="1" si="142"/>
        <v>1.0967401856000496E-2</v>
      </c>
      <c r="J995" s="5">
        <f t="shared" ca="1" si="143"/>
        <v>2.9304968248764132E-3</v>
      </c>
    </row>
    <row r="996" spans="1:10" x14ac:dyDescent="0.2">
      <c r="A996">
        <f t="shared" ca="1" si="135"/>
        <v>0.38441668526646156</v>
      </c>
      <c r="B996">
        <f t="shared" ca="1" si="136"/>
        <v>-0.29390124002138185</v>
      </c>
      <c r="C996">
        <f t="shared" ca="1" si="140"/>
        <v>-1.0749233671997076</v>
      </c>
      <c r="D996" s="21">
        <f t="shared" ca="1" si="137"/>
        <v>0.38207914627002681</v>
      </c>
      <c r="F996">
        <f t="shared" si="138"/>
        <v>0.99000000000000077</v>
      </c>
      <c r="G996">
        <f t="shared" ca="1" si="139"/>
        <v>1.2859416231652775E-2</v>
      </c>
      <c r="H996">
        <f t="shared" ca="1" si="141"/>
        <v>1.2859387662867974E-2</v>
      </c>
      <c r="I996">
        <f t="shared" ca="1" si="142"/>
        <v>1.0956964529464409E-2</v>
      </c>
      <c r="J996" s="5">
        <f t="shared" ca="1" si="143"/>
        <v>1.9024231334035645E-3</v>
      </c>
    </row>
    <row r="997" spans="1:10" x14ac:dyDescent="0.2">
      <c r="A997">
        <f t="shared" ca="1" si="135"/>
        <v>0.56590849187182435</v>
      </c>
      <c r="B997">
        <f t="shared" ca="1" si="136"/>
        <v>0.16596687787082737</v>
      </c>
      <c r="C997">
        <f t="shared" ca="1" si="140"/>
        <v>-0.90895648932888018</v>
      </c>
      <c r="D997" s="21">
        <f t="shared" ca="1" si="137"/>
        <v>0.39348550988306891</v>
      </c>
      <c r="F997">
        <f t="shared" si="138"/>
        <v>0.99100000000000077</v>
      </c>
      <c r="G997">
        <f t="shared" ca="1" si="139"/>
        <v>1.1938778996655935E-2</v>
      </c>
      <c r="H997">
        <f t="shared" ca="1" si="141"/>
        <v>1.1938704398486285E-2</v>
      </c>
      <c r="I997">
        <f t="shared" ca="1" si="142"/>
        <v>1.0947825880726403E-2</v>
      </c>
      <c r="J997" s="5">
        <f t="shared" ca="1" si="143"/>
        <v>9.9087851775988244E-4</v>
      </c>
    </row>
    <row r="998" spans="1:10" x14ac:dyDescent="0.2">
      <c r="A998">
        <f t="shared" ca="1" si="135"/>
        <v>0.51795925424913369</v>
      </c>
      <c r="B998">
        <f t="shared" ca="1" si="136"/>
        <v>4.5032390182123773E-2</v>
      </c>
      <c r="C998">
        <f t="shared" ca="1" si="140"/>
        <v>-0.86392409914675639</v>
      </c>
      <c r="D998" s="21">
        <f t="shared" ca="1" si="137"/>
        <v>0.39853797466084201</v>
      </c>
      <c r="F998">
        <f t="shared" si="138"/>
        <v>0.99200000000000077</v>
      </c>
      <c r="G998">
        <f t="shared" ca="1" si="139"/>
        <v>1.2472391788109497E-2</v>
      </c>
      <c r="H998">
        <f t="shared" ca="1" si="141"/>
        <v>1.2472343878265247E-2</v>
      </c>
      <c r="I998">
        <f t="shared" ca="1" si="142"/>
        <v>1.0954613811795371E-2</v>
      </c>
      <c r="J998" s="5">
        <f t="shared" ca="1" si="143"/>
        <v>1.5177300664698766E-3</v>
      </c>
    </row>
    <row r="999" spans="1:10" x14ac:dyDescent="0.2">
      <c r="A999">
        <f t="shared" ca="1" si="135"/>
        <v>0.28280230296804176</v>
      </c>
      <c r="B999">
        <f t="shared" ca="1" si="136"/>
        <v>-0.57453679929275847</v>
      </c>
      <c r="C999">
        <f t="shared" ca="1" si="140"/>
        <v>-1.4384608984395149</v>
      </c>
      <c r="D999" s="21">
        <f t="shared" ca="1" si="137"/>
        <v>0.33824499794720431</v>
      </c>
      <c r="F999">
        <f t="shared" si="138"/>
        <v>0.99300000000000077</v>
      </c>
      <c r="G999">
        <f t="shared" ca="1" si="139"/>
        <v>1.2623541912814741E-2</v>
      </c>
      <c r="H999">
        <f t="shared" ca="1" si="141"/>
        <v>1.2623501565334337E-2</v>
      </c>
      <c r="I999">
        <f t="shared" ca="1" si="142"/>
        <v>1.0957214799758405E-2</v>
      </c>
      <c r="J999" s="5">
        <f t="shared" ca="1" si="143"/>
        <v>1.666286765575932E-3</v>
      </c>
    </row>
    <row r="1000" spans="1:10" x14ac:dyDescent="0.2">
      <c r="A1000">
        <f t="shared" ca="1" si="135"/>
        <v>0.75807639300847618</v>
      </c>
      <c r="B1000">
        <f t="shared" ca="1" si="136"/>
        <v>0.70012825148047031</v>
      </c>
      <c r="C1000">
        <f t="shared" ca="1" si="140"/>
        <v>-0.73833264695904455</v>
      </c>
      <c r="D1000" s="21">
        <f t="shared" ca="1" si="137"/>
        <v>0.31222589913678511</v>
      </c>
      <c r="F1000">
        <f t="shared" si="138"/>
        <v>0.99400000000000077</v>
      </c>
      <c r="G1000">
        <f t="shared" ca="1" si="139"/>
        <v>1.0815525074866937E-2</v>
      </c>
      <c r="H1000">
        <f t="shared" ca="1" si="141"/>
        <v>1.081539432982967E-2</v>
      </c>
      <c r="I1000">
        <f t="shared" ca="1" si="142"/>
        <v>1.0938364408879565E-2</v>
      </c>
      <c r="J1000" s="5">
        <f t="shared" ca="1" si="143"/>
        <v>1.2297007904989513E-4</v>
      </c>
    </row>
    <row r="1001" spans="1:10" x14ac:dyDescent="0.2">
      <c r="A1001">
        <f t="shared" ca="1" si="135"/>
        <v>0.96182894022847087</v>
      </c>
      <c r="B1001">
        <f t="shared" ca="1" si="136"/>
        <v>1.7723159831039255</v>
      </c>
      <c r="C1001">
        <f t="shared" ca="1" si="140"/>
        <v>1.0339833361448809</v>
      </c>
      <c r="D1001" s="21">
        <f t="shared" ca="1" si="137"/>
        <v>8.2952219535966293E-2</v>
      </c>
      <c r="F1001">
        <f t="shared" si="138"/>
        <v>0.99500000000000077</v>
      </c>
      <c r="G1001">
        <f t="shared" ca="1" si="139"/>
        <v>1.3038332309977233E-2</v>
      </c>
      <c r="H1001">
        <f t="shared" ca="1" si="141"/>
        <v>1.3038312719306127E-2</v>
      </c>
      <c r="I1001">
        <f t="shared" ca="1" si="142"/>
        <v>1.0963650272816813E-2</v>
      </c>
      <c r="J1001" s="5">
        <f t="shared" ca="1" si="143"/>
        <v>2.074662446489314E-3</v>
      </c>
    </row>
    <row r="1002" spans="1:10" x14ac:dyDescent="0.2">
      <c r="A1002">
        <f t="shared" ca="1" si="135"/>
        <v>0.734570973658351</v>
      </c>
      <c r="B1002">
        <f t="shared" ca="1" si="136"/>
        <v>0.62669672249820596</v>
      </c>
      <c r="C1002">
        <f t="shared" ca="1" si="140"/>
        <v>1.660680058643087</v>
      </c>
      <c r="D1002" s="21">
        <f t="shared" ca="1" si="137"/>
        <v>0.32781268232669197</v>
      </c>
      <c r="F1002">
        <f t="shared" si="138"/>
        <v>0.99600000000000077</v>
      </c>
      <c r="G1002">
        <f t="shared" ca="1" si="139"/>
        <v>1.8651303065994933E-2</v>
      </c>
      <c r="H1002">
        <f t="shared" ca="1" si="141"/>
        <v>1.8651564128163097E-2</v>
      </c>
      <c r="I1002">
        <f t="shared" ca="1" si="142"/>
        <v>1.1026316618687616E-2</v>
      </c>
      <c r="J1002" s="5">
        <f t="shared" ca="1" si="143"/>
        <v>7.6252475094754808E-3</v>
      </c>
    </row>
    <row r="1003" spans="1:10" x14ac:dyDescent="0.2">
      <c r="A1003">
        <f t="shared" ca="1" si="135"/>
        <v>0.675111104956857</v>
      </c>
      <c r="B1003">
        <f t="shared" ca="1" si="136"/>
        <v>0.45407090993777144</v>
      </c>
      <c r="C1003">
        <f t="shared" ca="1" si="140"/>
        <v>2.1147509685808585</v>
      </c>
      <c r="D1003" s="21">
        <f t="shared" ca="1" si="137"/>
        <v>0.35986413237787884</v>
      </c>
      <c r="F1003">
        <f t="shared" si="138"/>
        <v>0.99700000000000077</v>
      </c>
      <c r="G1003">
        <f t="shared" ca="1" si="139"/>
        <v>2.0641127488891509E-2</v>
      </c>
      <c r="H1003">
        <f t="shared" ca="1" si="141"/>
        <v>2.06414880170071E-2</v>
      </c>
      <c r="I1003">
        <f t="shared" ca="1" si="142"/>
        <v>1.104923974726294E-2</v>
      </c>
      <c r="J1003" s="5">
        <f t="shared" ca="1" si="143"/>
        <v>9.5922482697441604E-3</v>
      </c>
    </row>
    <row r="1004" spans="1:10" x14ac:dyDescent="0.2">
      <c r="A1004">
        <f t="shared" ca="1" si="135"/>
        <v>0.87701139650116755</v>
      </c>
      <c r="B1004">
        <f t="shared" ca="1" si="136"/>
        <v>1.1601758754260698</v>
      </c>
      <c r="C1004">
        <f t="shared" ca="1" si="140"/>
        <v>3.2749268440069281</v>
      </c>
      <c r="D1004" s="21">
        <f t="shared" ca="1" si="137"/>
        <v>0.20352985766182316</v>
      </c>
      <c r="F1004">
        <f t="shared" si="138"/>
        <v>0.99800000000000078</v>
      </c>
      <c r="G1004">
        <f t="shared" ca="1" si="139"/>
        <v>2.2084889482066619E-2</v>
      </c>
      <c r="H1004">
        <f t="shared" ca="1" si="141"/>
        <v>2.2085322162833942E-2</v>
      </c>
      <c r="I1004">
        <f t="shared" ca="1" si="142"/>
        <v>1.106616796393183E-2</v>
      </c>
      <c r="J1004" s="5">
        <f t="shared" ca="1" si="143"/>
        <v>1.1019154198902112E-2</v>
      </c>
    </row>
    <row r="1005" spans="1:10" x14ac:dyDescent="0.2">
      <c r="A1005">
        <f t="shared" ca="1" si="135"/>
        <v>0.71152904509041881</v>
      </c>
      <c r="B1005">
        <f t="shared" ca="1" si="136"/>
        <v>0.55785718516657334</v>
      </c>
      <c r="C1005">
        <f t="shared" ca="1" si="140"/>
        <v>3.8327840291735016</v>
      </c>
      <c r="D1005" s="21">
        <f t="shared" ca="1" si="137"/>
        <v>0.3414544972161368</v>
      </c>
      <c r="F1005">
        <f t="shared" si="138"/>
        <v>0.99900000000000078</v>
      </c>
      <c r="G1005">
        <f t="shared" ca="1" si="139"/>
        <v>2.576129542401236E-2</v>
      </c>
      <c r="H1005">
        <f t="shared" ca="1" si="141"/>
        <v>2.5761911883343813E-2</v>
      </c>
      <c r="I1005">
        <f t="shared" ca="1" si="142"/>
        <v>1.1107897268658911E-2</v>
      </c>
      <c r="J1005" s="5">
        <f t="shared" ca="1" si="143"/>
        <v>1.4654014614684902E-2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test_area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racheljanedance@googlemail.com</dc:creator>
  <cp:lastModifiedBy>racheljanedance@googlemail.com</cp:lastModifiedBy>
  <dcterms:created xsi:type="dcterms:W3CDTF">2021-06-29T21:05:05Z</dcterms:created>
  <dcterms:modified xsi:type="dcterms:W3CDTF">2021-08-13T08:23:20Z</dcterms:modified>
</cp:coreProperties>
</file>