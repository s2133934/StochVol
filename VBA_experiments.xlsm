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chel/Dropbox/Edinburgh MSc/Lloyds/"/>
    </mc:Choice>
  </mc:AlternateContent>
  <xr:revisionPtr revIDLastSave="0" documentId="13_ncr:1_{632C88D1-4D86-2D40-BD01-DA0DB6E5827C}" xr6:coauthVersionLast="47" xr6:coauthVersionMax="47" xr10:uidLastSave="{00000000-0000-0000-0000-000000000000}"/>
  <bookViews>
    <workbookView xWindow="140" yWindow="500" windowWidth="23640" windowHeight="15120" activeTab="1" xr2:uid="{C065594B-2C7D-4F41-92CB-A560E5138498}"/>
  </bookViews>
  <sheets>
    <sheet name="test_area" sheetId="1" r:id="rId1"/>
    <sheet name="Model" sheetId="3" r:id="rId2"/>
  </sheets>
  <functionGroups builtInGroupCount="19"/>
  <definedNames>
    <definedName name="solver_adj" localSheetId="1" hidden="1">Model!$L$44:$O$44</definedName>
    <definedName name="solver_adj" localSheetId="0" hidden="1">test_area!$B$2:$B$4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Model!$L$44</definedName>
    <definedName name="solver_lhs1" localSheetId="0" hidden="1">test_area!$B$2</definedName>
    <definedName name="solver_lhs2" localSheetId="1" hidden="1">Model!$N$44</definedName>
    <definedName name="solver_lhs2" localSheetId="0" hidden="1">test_area!$B$3</definedName>
    <definedName name="solver_lhs3" localSheetId="1" hidden="1">Model!$O$44</definedName>
    <definedName name="solver_lhs3" localSheetId="0" hidden="1">test_area!$B$4</definedName>
    <definedName name="solver_lhs4" localSheetId="1" hidden="1">Model!$O$38</definedName>
    <definedName name="solver_lhs4" localSheetId="0" hidden="1">test_area!$D$2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4</definedName>
    <definedName name="solver_opt" localSheetId="1" hidden="1">Model!$L$41</definedName>
    <definedName name="solver_opt" localSheetId="0" hidden="1">test_area!$B$8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1</definedName>
    <definedName name="solver_rel2" localSheetId="1" hidden="1">3</definedName>
    <definedName name="solver_rel2" localSheetId="0" hidden="1">1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1</definedName>
    <definedName name="solver_rhs1" localSheetId="1" hidden="1">0</definedName>
    <definedName name="solver_rhs1" localSheetId="0" hidden="1">15</definedName>
    <definedName name="solver_rhs2" localSheetId="1" hidden="1">0</definedName>
    <definedName name="solver_rhs2" localSheetId="0" hidden="1">10</definedName>
    <definedName name="solver_rhs3" localSheetId="1" hidden="1">0</definedName>
    <definedName name="solver_rhs3" localSheetId="0" hidden="1">10</definedName>
    <definedName name="solver_rhs4" localSheetId="1" hidden="1">1</definedName>
    <definedName name="solver_rhs4" localSheetId="0" hidden="1">15</definedName>
    <definedName name="solver_rlx" localSheetId="1" hidden="1">2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3" l="1"/>
  <c r="M6" i="3"/>
  <c r="A1005" i="3"/>
  <c r="B1005" i="3" s="1"/>
  <c r="A1004" i="3"/>
  <c r="B1004" i="3" s="1"/>
  <c r="A1003" i="3"/>
  <c r="B1003" i="3" s="1"/>
  <c r="D1003" i="3" s="1"/>
  <c r="A1002" i="3"/>
  <c r="B1002" i="3" s="1"/>
  <c r="D1002" i="3" s="1"/>
  <c r="A1001" i="3"/>
  <c r="B1001" i="3" s="1"/>
  <c r="A1000" i="3"/>
  <c r="B1000" i="3" s="1"/>
  <c r="A999" i="3"/>
  <c r="B999" i="3" s="1"/>
  <c r="D999" i="3" s="1"/>
  <c r="A998" i="3"/>
  <c r="B998" i="3" s="1"/>
  <c r="D998" i="3" s="1"/>
  <c r="A997" i="3"/>
  <c r="B997" i="3" s="1"/>
  <c r="A996" i="3"/>
  <c r="B996" i="3" s="1"/>
  <c r="A995" i="3"/>
  <c r="B995" i="3" s="1"/>
  <c r="D995" i="3" s="1"/>
  <c r="A994" i="3"/>
  <c r="B994" i="3" s="1"/>
  <c r="D994" i="3" s="1"/>
  <c r="A993" i="3"/>
  <c r="B993" i="3" s="1"/>
  <c r="A992" i="3"/>
  <c r="B992" i="3" s="1"/>
  <c r="A991" i="3"/>
  <c r="B991" i="3" s="1"/>
  <c r="D991" i="3" s="1"/>
  <c r="A990" i="3"/>
  <c r="B990" i="3" s="1"/>
  <c r="D990" i="3" s="1"/>
  <c r="A989" i="3"/>
  <c r="B989" i="3" s="1"/>
  <c r="A988" i="3"/>
  <c r="B988" i="3" s="1"/>
  <c r="A987" i="3"/>
  <c r="B987" i="3" s="1"/>
  <c r="D987" i="3" s="1"/>
  <c r="A986" i="3"/>
  <c r="B986" i="3" s="1"/>
  <c r="D986" i="3" s="1"/>
  <c r="A985" i="3"/>
  <c r="B985" i="3" s="1"/>
  <c r="A984" i="3"/>
  <c r="B984" i="3" s="1"/>
  <c r="A983" i="3"/>
  <c r="B983" i="3" s="1"/>
  <c r="D983" i="3" s="1"/>
  <c r="A982" i="3"/>
  <c r="B982" i="3" s="1"/>
  <c r="D982" i="3" s="1"/>
  <c r="A981" i="3"/>
  <c r="B981" i="3" s="1"/>
  <c r="A980" i="3"/>
  <c r="B980" i="3" s="1"/>
  <c r="A979" i="3"/>
  <c r="B979" i="3" s="1"/>
  <c r="D979" i="3" s="1"/>
  <c r="A978" i="3"/>
  <c r="B978" i="3" s="1"/>
  <c r="D978" i="3" s="1"/>
  <c r="A977" i="3"/>
  <c r="B977" i="3" s="1"/>
  <c r="A976" i="3"/>
  <c r="B976" i="3" s="1"/>
  <c r="A975" i="3"/>
  <c r="B975" i="3" s="1"/>
  <c r="D975" i="3" s="1"/>
  <c r="A974" i="3"/>
  <c r="B974" i="3" s="1"/>
  <c r="D974" i="3" s="1"/>
  <c r="A973" i="3"/>
  <c r="B973" i="3" s="1"/>
  <c r="A972" i="3"/>
  <c r="B972" i="3" s="1"/>
  <c r="A971" i="3"/>
  <c r="B971" i="3" s="1"/>
  <c r="D971" i="3" s="1"/>
  <c r="A970" i="3"/>
  <c r="B970" i="3" s="1"/>
  <c r="D970" i="3" s="1"/>
  <c r="A969" i="3"/>
  <c r="B969" i="3" s="1"/>
  <c r="D969" i="3" s="1"/>
  <c r="A968" i="3"/>
  <c r="B968" i="3" s="1"/>
  <c r="A967" i="3"/>
  <c r="B967" i="3" s="1"/>
  <c r="A966" i="3"/>
  <c r="B966" i="3" s="1"/>
  <c r="D966" i="3" s="1"/>
  <c r="A965" i="3"/>
  <c r="B965" i="3" s="1"/>
  <c r="D965" i="3" s="1"/>
  <c r="A964" i="3"/>
  <c r="B964" i="3" s="1"/>
  <c r="A963" i="3"/>
  <c r="B963" i="3" s="1"/>
  <c r="A962" i="3"/>
  <c r="B962" i="3" s="1"/>
  <c r="D962" i="3" s="1"/>
  <c r="A961" i="3"/>
  <c r="B961" i="3" s="1"/>
  <c r="D961" i="3" s="1"/>
  <c r="A960" i="3"/>
  <c r="B960" i="3" s="1"/>
  <c r="D960" i="3" s="1"/>
  <c r="A959" i="3"/>
  <c r="B959" i="3" s="1"/>
  <c r="A958" i="3"/>
  <c r="B958" i="3" s="1"/>
  <c r="A957" i="3"/>
  <c r="B957" i="3" s="1"/>
  <c r="D957" i="3" s="1"/>
  <c r="A956" i="3"/>
  <c r="B956" i="3" s="1"/>
  <c r="A955" i="3"/>
  <c r="B955" i="3" s="1"/>
  <c r="A954" i="3"/>
  <c r="B954" i="3" s="1"/>
  <c r="D954" i="3" s="1"/>
  <c r="A953" i="3"/>
  <c r="B953" i="3" s="1"/>
  <c r="D953" i="3" s="1"/>
  <c r="A952" i="3"/>
  <c r="B952" i="3" s="1"/>
  <c r="D952" i="3" s="1"/>
  <c r="A951" i="3"/>
  <c r="B951" i="3" s="1"/>
  <c r="A950" i="3"/>
  <c r="B950" i="3" s="1"/>
  <c r="A949" i="3"/>
  <c r="B949" i="3" s="1"/>
  <c r="D949" i="3" s="1"/>
  <c r="A948" i="3"/>
  <c r="B948" i="3" s="1"/>
  <c r="A947" i="3"/>
  <c r="B947" i="3" s="1"/>
  <c r="A946" i="3"/>
  <c r="B946" i="3" s="1"/>
  <c r="D946" i="3" s="1"/>
  <c r="A945" i="3"/>
  <c r="B945" i="3" s="1"/>
  <c r="D945" i="3" s="1"/>
  <c r="A944" i="3"/>
  <c r="B944" i="3" s="1"/>
  <c r="D944" i="3" s="1"/>
  <c r="A943" i="3"/>
  <c r="B943" i="3" s="1"/>
  <c r="A942" i="3"/>
  <c r="B942" i="3" s="1"/>
  <c r="A941" i="3"/>
  <c r="B941" i="3" s="1"/>
  <c r="D941" i="3" s="1"/>
  <c r="A940" i="3"/>
  <c r="B940" i="3" s="1"/>
  <c r="A939" i="3"/>
  <c r="B939" i="3" s="1"/>
  <c r="A938" i="3"/>
  <c r="B938" i="3" s="1"/>
  <c r="D938" i="3" s="1"/>
  <c r="A937" i="3"/>
  <c r="B937" i="3" s="1"/>
  <c r="D937" i="3" s="1"/>
  <c r="A936" i="3"/>
  <c r="B936" i="3" s="1"/>
  <c r="D936" i="3" s="1"/>
  <c r="A935" i="3"/>
  <c r="B935" i="3" s="1"/>
  <c r="A934" i="3"/>
  <c r="B934" i="3" s="1"/>
  <c r="A933" i="3"/>
  <c r="B933" i="3" s="1"/>
  <c r="A932" i="3"/>
  <c r="B932" i="3" s="1"/>
  <c r="D932" i="3" s="1"/>
  <c r="A931" i="3"/>
  <c r="B931" i="3" s="1"/>
  <c r="D931" i="3" s="1"/>
  <c r="A930" i="3"/>
  <c r="B930" i="3" s="1"/>
  <c r="D930" i="3" s="1"/>
  <c r="A929" i="3"/>
  <c r="B929" i="3" s="1"/>
  <c r="D929" i="3" s="1"/>
  <c r="A928" i="3"/>
  <c r="B928" i="3" s="1"/>
  <c r="D928" i="3" s="1"/>
  <c r="A927" i="3"/>
  <c r="B927" i="3" s="1"/>
  <c r="A926" i="3"/>
  <c r="B926" i="3" s="1"/>
  <c r="A925" i="3"/>
  <c r="B925" i="3" s="1"/>
  <c r="A924" i="3"/>
  <c r="B924" i="3" s="1"/>
  <c r="D924" i="3" s="1"/>
  <c r="A923" i="3"/>
  <c r="B923" i="3" s="1"/>
  <c r="D923" i="3" s="1"/>
  <c r="A922" i="3"/>
  <c r="B922" i="3" s="1"/>
  <c r="D922" i="3" s="1"/>
  <c r="A921" i="3"/>
  <c r="B921" i="3" s="1"/>
  <c r="A920" i="3"/>
  <c r="B920" i="3" s="1"/>
  <c r="A919" i="3"/>
  <c r="B919" i="3" s="1"/>
  <c r="D919" i="3" s="1"/>
  <c r="A918" i="3"/>
  <c r="B918" i="3" s="1"/>
  <c r="D918" i="3" s="1"/>
  <c r="A917" i="3"/>
  <c r="B917" i="3" s="1"/>
  <c r="A916" i="3"/>
  <c r="B916" i="3" s="1"/>
  <c r="D916" i="3" s="1"/>
  <c r="A915" i="3"/>
  <c r="B915" i="3" s="1"/>
  <c r="D915" i="3" s="1"/>
  <c r="A914" i="3"/>
  <c r="B914" i="3" s="1"/>
  <c r="D914" i="3" s="1"/>
  <c r="A913" i="3"/>
  <c r="B913" i="3" s="1"/>
  <c r="A912" i="3"/>
  <c r="B912" i="3" s="1"/>
  <c r="A911" i="3"/>
  <c r="B911" i="3" s="1"/>
  <c r="D911" i="3" s="1"/>
  <c r="A910" i="3"/>
  <c r="B910" i="3" s="1"/>
  <c r="D910" i="3" s="1"/>
  <c r="A909" i="3"/>
  <c r="B909" i="3" s="1"/>
  <c r="A908" i="3"/>
  <c r="B908" i="3" s="1"/>
  <c r="D908" i="3" s="1"/>
  <c r="A907" i="3"/>
  <c r="B907" i="3" s="1"/>
  <c r="D907" i="3" s="1"/>
  <c r="A906" i="3"/>
  <c r="B906" i="3" s="1"/>
  <c r="D906" i="3" s="1"/>
  <c r="A905" i="3"/>
  <c r="B905" i="3" s="1"/>
  <c r="D905" i="3" s="1"/>
  <c r="A904" i="3"/>
  <c r="B904" i="3" s="1"/>
  <c r="A903" i="3"/>
  <c r="B903" i="3" s="1"/>
  <c r="D903" i="3" s="1"/>
  <c r="A902" i="3"/>
  <c r="B902" i="3" s="1"/>
  <c r="D902" i="3" s="1"/>
  <c r="A901" i="3"/>
  <c r="B901" i="3" s="1"/>
  <c r="A900" i="3"/>
  <c r="B900" i="3" s="1"/>
  <c r="A899" i="3"/>
  <c r="B899" i="3" s="1"/>
  <c r="D899" i="3" s="1"/>
  <c r="A898" i="3"/>
  <c r="B898" i="3" s="1"/>
  <c r="D898" i="3" s="1"/>
  <c r="A897" i="3"/>
  <c r="B897" i="3" s="1"/>
  <c r="A896" i="3"/>
  <c r="B896" i="3" s="1"/>
  <c r="A895" i="3"/>
  <c r="B895" i="3" s="1"/>
  <c r="D895" i="3" s="1"/>
  <c r="A894" i="3"/>
  <c r="B894" i="3" s="1"/>
  <c r="D894" i="3" s="1"/>
  <c r="A893" i="3"/>
  <c r="B893" i="3" s="1"/>
  <c r="A892" i="3"/>
  <c r="B892" i="3" s="1"/>
  <c r="A891" i="3"/>
  <c r="B891" i="3" s="1"/>
  <c r="D891" i="3" s="1"/>
  <c r="A890" i="3"/>
  <c r="B890" i="3" s="1"/>
  <c r="D890" i="3" s="1"/>
  <c r="A889" i="3"/>
  <c r="B889" i="3" s="1"/>
  <c r="A888" i="3"/>
  <c r="B888" i="3" s="1"/>
  <c r="A887" i="3"/>
  <c r="B887" i="3" s="1"/>
  <c r="D887" i="3" s="1"/>
  <c r="A886" i="3"/>
  <c r="B886" i="3" s="1"/>
  <c r="D886" i="3" s="1"/>
  <c r="A885" i="3"/>
  <c r="B885" i="3" s="1"/>
  <c r="A884" i="3"/>
  <c r="B884" i="3" s="1"/>
  <c r="A883" i="3"/>
  <c r="B883" i="3" s="1"/>
  <c r="D883" i="3" s="1"/>
  <c r="A882" i="3"/>
  <c r="B882" i="3" s="1"/>
  <c r="D882" i="3" s="1"/>
  <c r="A881" i="3"/>
  <c r="B881" i="3" s="1"/>
  <c r="A880" i="3"/>
  <c r="B880" i="3" s="1"/>
  <c r="A879" i="3"/>
  <c r="B879" i="3" s="1"/>
  <c r="D879" i="3" s="1"/>
  <c r="A878" i="3"/>
  <c r="B878" i="3" s="1"/>
  <c r="D878" i="3" s="1"/>
  <c r="A877" i="3"/>
  <c r="B877" i="3" s="1"/>
  <c r="D877" i="3" s="1"/>
  <c r="A876" i="3"/>
  <c r="B876" i="3" s="1"/>
  <c r="D876" i="3" s="1"/>
  <c r="A875" i="3"/>
  <c r="B875" i="3" s="1"/>
  <c r="A874" i="3"/>
  <c r="B874" i="3" s="1"/>
  <c r="A873" i="3"/>
  <c r="B873" i="3" s="1"/>
  <c r="D873" i="3" s="1"/>
  <c r="A872" i="3"/>
  <c r="B872" i="3" s="1"/>
  <c r="D872" i="3" s="1"/>
  <c r="A871" i="3"/>
  <c r="B871" i="3" s="1"/>
  <c r="A870" i="3"/>
  <c r="B870" i="3" s="1"/>
  <c r="A869" i="3"/>
  <c r="B869" i="3" s="1"/>
  <c r="D869" i="3" s="1"/>
  <c r="A868" i="3"/>
  <c r="B868" i="3" s="1"/>
  <c r="D868" i="3" s="1"/>
  <c r="A867" i="3"/>
  <c r="B867" i="3" s="1"/>
  <c r="A866" i="3"/>
  <c r="B866" i="3" s="1"/>
  <c r="A865" i="3"/>
  <c r="B865" i="3" s="1"/>
  <c r="D865" i="3" s="1"/>
  <c r="A864" i="3"/>
  <c r="B864" i="3" s="1"/>
  <c r="D864" i="3" s="1"/>
  <c r="A863" i="3"/>
  <c r="B863" i="3" s="1"/>
  <c r="A862" i="3"/>
  <c r="B862" i="3" s="1"/>
  <c r="A861" i="3"/>
  <c r="B861" i="3" s="1"/>
  <c r="D861" i="3" s="1"/>
  <c r="A860" i="3"/>
  <c r="B860" i="3" s="1"/>
  <c r="D860" i="3" s="1"/>
  <c r="A859" i="3"/>
  <c r="B859" i="3" s="1"/>
  <c r="A858" i="3"/>
  <c r="B858" i="3" s="1"/>
  <c r="A857" i="3"/>
  <c r="B857" i="3" s="1"/>
  <c r="D857" i="3" s="1"/>
  <c r="A856" i="3"/>
  <c r="B856" i="3" s="1"/>
  <c r="D856" i="3" s="1"/>
  <c r="A855" i="3"/>
  <c r="B855" i="3" s="1"/>
  <c r="A854" i="3"/>
  <c r="B854" i="3" s="1"/>
  <c r="A853" i="3"/>
  <c r="B853" i="3" s="1"/>
  <c r="D853" i="3" s="1"/>
  <c r="A852" i="3"/>
  <c r="B852" i="3" s="1"/>
  <c r="D852" i="3" s="1"/>
  <c r="A851" i="3"/>
  <c r="B851" i="3" s="1"/>
  <c r="A850" i="3"/>
  <c r="B850" i="3" s="1"/>
  <c r="A849" i="3"/>
  <c r="B849" i="3" s="1"/>
  <c r="D849" i="3" s="1"/>
  <c r="A848" i="3"/>
  <c r="B848" i="3" s="1"/>
  <c r="D848" i="3" s="1"/>
  <c r="A847" i="3"/>
  <c r="B847" i="3" s="1"/>
  <c r="A846" i="3"/>
  <c r="B846" i="3" s="1"/>
  <c r="A845" i="3"/>
  <c r="B845" i="3" s="1"/>
  <c r="D845" i="3" s="1"/>
  <c r="A844" i="3"/>
  <c r="B844" i="3" s="1"/>
  <c r="D844" i="3" s="1"/>
  <c r="A843" i="3"/>
  <c r="B843" i="3" s="1"/>
  <c r="A842" i="3"/>
  <c r="B842" i="3" s="1"/>
  <c r="A841" i="3"/>
  <c r="B841" i="3" s="1"/>
  <c r="D841" i="3" s="1"/>
  <c r="A840" i="3"/>
  <c r="B840" i="3" s="1"/>
  <c r="D840" i="3" s="1"/>
  <c r="A839" i="3"/>
  <c r="B839" i="3" s="1"/>
  <c r="A838" i="3"/>
  <c r="B838" i="3" s="1"/>
  <c r="A837" i="3"/>
  <c r="B837" i="3" s="1"/>
  <c r="D837" i="3" s="1"/>
  <c r="A836" i="3"/>
  <c r="B836" i="3" s="1"/>
  <c r="D836" i="3" s="1"/>
  <c r="A835" i="3"/>
  <c r="B835" i="3" s="1"/>
  <c r="A834" i="3"/>
  <c r="B834" i="3" s="1"/>
  <c r="A833" i="3"/>
  <c r="B833" i="3" s="1"/>
  <c r="D833" i="3" s="1"/>
  <c r="A832" i="3"/>
  <c r="B832" i="3" s="1"/>
  <c r="D832" i="3" s="1"/>
  <c r="A831" i="3"/>
  <c r="B831" i="3" s="1"/>
  <c r="A830" i="3"/>
  <c r="B830" i="3" s="1"/>
  <c r="A829" i="3"/>
  <c r="B829" i="3" s="1"/>
  <c r="D829" i="3" s="1"/>
  <c r="A828" i="3"/>
  <c r="B828" i="3" s="1"/>
  <c r="D828" i="3" s="1"/>
  <c r="A827" i="3"/>
  <c r="B827" i="3" s="1"/>
  <c r="A826" i="3"/>
  <c r="B826" i="3" s="1"/>
  <c r="A825" i="3"/>
  <c r="B825" i="3" s="1"/>
  <c r="D825" i="3" s="1"/>
  <c r="A824" i="3"/>
  <c r="B824" i="3" s="1"/>
  <c r="D824" i="3" s="1"/>
  <c r="A823" i="3"/>
  <c r="B823" i="3" s="1"/>
  <c r="A822" i="3"/>
  <c r="B822" i="3" s="1"/>
  <c r="A821" i="3"/>
  <c r="B821" i="3" s="1"/>
  <c r="D821" i="3" s="1"/>
  <c r="A820" i="3"/>
  <c r="B820" i="3" s="1"/>
  <c r="D820" i="3" s="1"/>
  <c r="A819" i="3"/>
  <c r="B819" i="3" s="1"/>
  <c r="A818" i="3"/>
  <c r="B818" i="3" s="1"/>
  <c r="A817" i="3"/>
  <c r="B817" i="3" s="1"/>
  <c r="D817" i="3" s="1"/>
  <c r="A816" i="3"/>
  <c r="B816" i="3" s="1"/>
  <c r="D816" i="3" s="1"/>
  <c r="A815" i="3"/>
  <c r="B815" i="3" s="1"/>
  <c r="A814" i="3"/>
  <c r="B814" i="3" s="1"/>
  <c r="A813" i="3"/>
  <c r="B813" i="3" s="1"/>
  <c r="D813" i="3" s="1"/>
  <c r="A812" i="3"/>
  <c r="B812" i="3" s="1"/>
  <c r="D812" i="3" s="1"/>
  <c r="A811" i="3"/>
  <c r="B811" i="3" s="1"/>
  <c r="A810" i="3"/>
  <c r="B810" i="3" s="1"/>
  <c r="A809" i="3"/>
  <c r="B809" i="3" s="1"/>
  <c r="D809" i="3" s="1"/>
  <c r="A808" i="3"/>
  <c r="B808" i="3" s="1"/>
  <c r="D808" i="3" s="1"/>
  <c r="A807" i="3"/>
  <c r="B807" i="3" s="1"/>
  <c r="D807" i="3" s="1"/>
  <c r="A806" i="3"/>
  <c r="B806" i="3" s="1"/>
  <c r="A805" i="3"/>
  <c r="B805" i="3" s="1"/>
  <c r="D805" i="3" s="1"/>
  <c r="A804" i="3"/>
  <c r="B804" i="3" s="1"/>
  <c r="D804" i="3" s="1"/>
  <c r="A803" i="3"/>
  <c r="B803" i="3" s="1"/>
  <c r="D803" i="3" s="1"/>
  <c r="A802" i="3"/>
  <c r="B802" i="3" s="1"/>
  <c r="D802" i="3" s="1"/>
  <c r="A801" i="3"/>
  <c r="B801" i="3" s="1"/>
  <c r="A800" i="3"/>
  <c r="B800" i="3" s="1"/>
  <c r="D800" i="3" s="1"/>
  <c r="A799" i="3"/>
  <c r="B799" i="3" s="1"/>
  <c r="D799" i="3" s="1"/>
  <c r="A798" i="3"/>
  <c r="B798" i="3" s="1"/>
  <c r="A797" i="3"/>
  <c r="B797" i="3" s="1"/>
  <c r="D797" i="3" s="1"/>
  <c r="A796" i="3"/>
  <c r="B796" i="3" s="1"/>
  <c r="D796" i="3" s="1"/>
  <c r="A795" i="3"/>
  <c r="B795" i="3" s="1"/>
  <c r="D795" i="3" s="1"/>
  <c r="A794" i="3"/>
  <c r="B794" i="3" s="1"/>
  <c r="D794" i="3" s="1"/>
  <c r="A793" i="3"/>
  <c r="B793" i="3" s="1"/>
  <c r="D793" i="3" s="1"/>
  <c r="A792" i="3"/>
  <c r="B792" i="3" s="1"/>
  <c r="A791" i="3"/>
  <c r="B791" i="3" s="1"/>
  <c r="A790" i="3"/>
  <c r="B790" i="3" s="1"/>
  <c r="D790" i="3" s="1"/>
  <c r="A789" i="3"/>
  <c r="B789" i="3" s="1"/>
  <c r="D789" i="3" s="1"/>
  <c r="A788" i="3"/>
  <c r="B788" i="3" s="1"/>
  <c r="A787" i="3"/>
  <c r="B787" i="3" s="1"/>
  <c r="A786" i="3"/>
  <c r="B786" i="3" s="1"/>
  <c r="D786" i="3" s="1"/>
  <c r="A785" i="3"/>
  <c r="B785" i="3" s="1"/>
  <c r="D785" i="3" s="1"/>
  <c r="A784" i="3"/>
  <c r="B784" i="3" s="1"/>
  <c r="A783" i="3"/>
  <c r="B783" i="3" s="1"/>
  <c r="A782" i="3"/>
  <c r="B782" i="3" s="1"/>
  <c r="D782" i="3" s="1"/>
  <c r="A781" i="3"/>
  <c r="B781" i="3" s="1"/>
  <c r="D781" i="3" s="1"/>
  <c r="A780" i="3"/>
  <c r="B780" i="3" s="1"/>
  <c r="A779" i="3"/>
  <c r="B779" i="3" s="1"/>
  <c r="A778" i="3"/>
  <c r="B778" i="3" s="1"/>
  <c r="D778" i="3" s="1"/>
  <c r="A777" i="3"/>
  <c r="B777" i="3" s="1"/>
  <c r="D777" i="3" s="1"/>
  <c r="A776" i="3"/>
  <c r="B776" i="3" s="1"/>
  <c r="A775" i="3"/>
  <c r="B775" i="3" s="1"/>
  <c r="A774" i="3"/>
  <c r="B774" i="3" s="1"/>
  <c r="D774" i="3" s="1"/>
  <c r="A773" i="3"/>
  <c r="B773" i="3" s="1"/>
  <c r="D773" i="3" s="1"/>
  <c r="A772" i="3"/>
  <c r="B772" i="3" s="1"/>
  <c r="D772" i="3" s="1"/>
  <c r="A771" i="3"/>
  <c r="B771" i="3" s="1"/>
  <c r="A770" i="3"/>
  <c r="B770" i="3" s="1"/>
  <c r="D770" i="3" s="1"/>
  <c r="A769" i="3"/>
  <c r="B769" i="3" s="1"/>
  <c r="D769" i="3" s="1"/>
  <c r="A768" i="3"/>
  <c r="B768" i="3" s="1"/>
  <c r="A767" i="3"/>
  <c r="B767" i="3" s="1"/>
  <c r="A766" i="3"/>
  <c r="B766" i="3" s="1"/>
  <c r="D766" i="3" s="1"/>
  <c r="A765" i="3"/>
  <c r="B765" i="3" s="1"/>
  <c r="D765" i="3" s="1"/>
  <c r="A764" i="3"/>
  <c r="B764" i="3" s="1"/>
  <c r="D764" i="3" s="1"/>
  <c r="A763" i="3"/>
  <c r="B763" i="3" s="1"/>
  <c r="A762" i="3"/>
  <c r="B762" i="3" s="1"/>
  <c r="D762" i="3" s="1"/>
  <c r="A761" i="3"/>
  <c r="B761" i="3" s="1"/>
  <c r="D761" i="3" s="1"/>
  <c r="A760" i="3"/>
  <c r="B760" i="3" s="1"/>
  <c r="A759" i="3"/>
  <c r="B759" i="3" s="1"/>
  <c r="A758" i="3"/>
  <c r="B758" i="3" s="1"/>
  <c r="A757" i="3"/>
  <c r="B757" i="3" s="1"/>
  <c r="D757" i="3" s="1"/>
  <c r="A756" i="3"/>
  <c r="B756" i="3" s="1"/>
  <c r="D756" i="3" s="1"/>
  <c r="A755" i="3"/>
  <c r="B755" i="3" s="1"/>
  <c r="A754" i="3"/>
  <c r="B754" i="3" s="1"/>
  <c r="D754" i="3" s="1"/>
  <c r="A753" i="3"/>
  <c r="B753" i="3" s="1"/>
  <c r="D753" i="3" s="1"/>
  <c r="A752" i="3"/>
  <c r="B752" i="3" s="1"/>
  <c r="A751" i="3"/>
  <c r="B751" i="3" s="1"/>
  <c r="A750" i="3"/>
  <c r="B750" i="3" s="1"/>
  <c r="D750" i="3" s="1"/>
  <c r="A749" i="3"/>
  <c r="B749" i="3" s="1"/>
  <c r="D749" i="3" s="1"/>
  <c r="A748" i="3"/>
  <c r="B748" i="3" s="1"/>
  <c r="D748" i="3" s="1"/>
  <c r="A747" i="3"/>
  <c r="B747" i="3" s="1"/>
  <c r="A746" i="3"/>
  <c r="B746" i="3" s="1"/>
  <c r="D746" i="3" s="1"/>
  <c r="A745" i="3"/>
  <c r="B745" i="3" s="1"/>
  <c r="D745" i="3" s="1"/>
  <c r="A744" i="3"/>
  <c r="B744" i="3" s="1"/>
  <c r="A743" i="3"/>
  <c r="B743" i="3" s="1"/>
  <c r="A742" i="3"/>
  <c r="B742" i="3" s="1"/>
  <c r="A741" i="3"/>
  <c r="B741" i="3" s="1"/>
  <c r="D741" i="3" s="1"/>
  <c r="A740" i="3"/>
  <c r="B740" i="3" s="1"/>
  <c r="D740" i="3" s="1"/>
  <c r="A739" i="3"/>
  <c r="B739" i="3" s="1"/>
  <c r="A738" i="3"/>
  <c r="B738" i="3" s="1"/>
  <c r="D738" i="3" s="1"/>
  <c r="A737" i="3"/>
  <c r="B737" i="3" s="1"/>
  <c r="D737" i="3" s="1"/>
  <c r="A736" i="3"/>
  <c r="B736" i="3" s="1"/>
  <c r="A735" i="3"/>
  <c r="B735" i="3" s="1"/>
  <c r="A734" i="3"/>
  <c r="B734" i="3" s="1"/>
  <c r="D734" i="3" s="1"/>
  <c r="A733" i="3"/>
  <c r="B733" i="3" s="1"/>
  <c r="D733" i="3" s="1"/>
  <c r="A732" i="3"/>
  <c r="B732" i="3" s="1"/>
  <c r="D732" i="3" s="1"/>
  <c r="A731" i="3"/>
  <c r="B731" i="3" s="1"/>
  <c r="A730" i="3"/>
  <c r="B730" i="3" s="1"/>
  <c r="D730" i="3" s="1"/>
  <c r="A729" i="3"/>
  <c r="B729" i="3" s="1"/>
  <c r="D729" i="3" s="1"/>
  <c r="A728" i="3"/>
  <c r="B728" i="3" s="1"/>
  <c r="D728" i="3" s="1"/>
  <c r="A727" i="3"/>
  <c r="B727" i="3" s="1"/>
  <c r="A726" i="3"/>
  <c r="B726" i="3" s="1"/>
  <c r="A725" i="3"/>
  <c r="B725" i="3" s="1"/>
  <c r="A724" i="3"/>
  <c r="B724" i="3" s="1"/>
  <c r="A723" i="3"/>
  <c r="B723" i="3" s="1"/>
  <c r="A722" i="3"/>
  <c r="B722" i="3" s="1"/>
  <c r="D722" i="3" s="1"/>
  <c r="A721" i="3"/>
  <c r="B721" i="3" s="1"/>
  <c r="D721" i="3" s="1"/>
  <c r="A720" i="3"/>
  <c r="B720" i="3" s="1"/>
  <c r="D720" i="3" s="1"/>
  <c r="A719" i="3"/>
  <c r="B719" i="3" s="1"/>
  <c r="A718" i="3"/>
  <c r="B718" i="3" s="1"/>
  <c r="A717" i="3"/>
  <c r="B717" i="3" s="1"/>
  <c r="D717" i="3" s="1"/>
  <c r="A716" i="3"/>
  <c r="B716" i="3" s="1"/>
  <c r="D716" i="3" s="1"/>
  <c r="A715" i="3"/>
  <c r="B715" i="3" s="1"/>
  <c r="A714" i="3"/>
  <c r="B714" i="3" s="1"/>
  <c r="A713" i="3"/>
  <c r="B713" i="3" s="1"/>
  <c r="D713" i="3" s="1"/>
  <c r="A712" i="3"/>
  <c r="B712" i="3" s="1"/>
  <c r="D712" i="3" s="1"/>
  <c r="A711" i="3"/>
  <c r="B711" i="3" s="1"/>
  <c r="A710" i="3"/>
  <c r="B710" i="3" s="1"/>
  <c r="A709" i="3"/>
  <c r="B709" i="3" s="1"/>
  <c r="D709" i="3" s="1"/>
  <c r="A708" i="3"/>
  <c r="B708" i="3" s="1"/>
  <c r="D708" i="3" s="1"/>
  <c r="A707" i="3"/>
  <c r="B707" i="3" s="1"/>
  <c r="A706" i="3"/>
  <c r="B706" i="3" s="1"/>
  <c r="A705" i="3"/>
  <c r="B705" i="3" s="1"/>
  <c r="D705" i="3" s="1"/>
  <c r="A704" i="3"/>
  <c r="B704" i="3" s="1"/>
  <c r="D704" i="3" s="1"/>
  <c r="A703" i="3"/>
  <c r="B703" i="3" s="1"/>
  <c r="A702" i="3"/>
  <c r="B702" i="3" s="1"/>
  <c r="A701" i="3"/>
  <c r="B701" i="3" s="1"/>
  <c r="D701" i="3" s="1"/>
  <c r="A700" i="3"/>
  <c r="B700" i="3" s="1"/>
  <c r="D700" i="3" s="1"/>
  <c r="A699" i="3"/>
  <c r="B699" i="3" s="1"/>
  <c r="A698" i="3"/>
  <c r="B698" i="3" s="1"/>
  <c r="A697" i="3"/>
  <c r="B697" i="3" s="1"/>
  <c r="D697" i="3" s="1"/>
  <c r="A696" i="3"/>
  <c r="B696" i="3" s="1"/>
  <c r="D696" i="3" s="1"/>
  <c r="A695" i="3"/>
  <c r="B695" i="3" s="1"/>
  <c r="A694" i="3"/>
  <c r="B694" i="3" s="1"/>
  <c r="A693" i="3"/>
  <c r="B693" i="3" s="1"/>
  <c r="D693" i="3" s="1"/>
  <c r="A692" i="3"/>
  <c r="B692" i="3" s="1"/>
  <c r="D692" i="3" s="1"/>
  <c r="A691" i="3"/>
  <c r="B691" i="3" s="1"/>
  <c r="A690" i="3"/>
  <c r="B690" i="3" s="1"/>
  <c r="A689" i="3"/>
  <c r="B689" i="3" s="1"/>
  <c r="D689" i="3" s="1"/>
  <c r="A688" i="3"/>
  <c r="B688" i="3" s="1"/>
  <c r="D688" i="3" s="1"/>
  <c r="A687" i="3"/>
  <c r="B687" i="3" s="1"/>
  <c r="A686" i="3"/>
  <c r="B686" i="3" s="1"/>
  <c r="A685" i="3"/>
  <c r="B685" i="3" s="1"/>
  <c r="D685" i="3" s="1"/>
  <c r="A684" i="3"/>
  <c r="B684" i="3" s="1"/>
  <c r="D684" i="3" s="1"/>
  <c r="A683" i="3"/>
  <c r="B683" i="3" s="1"/>
  <c r="A682" i="3"/>
  <c r="B682" i="3" s="1"/>
  <c r="A681" i="3"/>
  <c r="B681" i="3" s="1"/>
  <c r="D681" i="3" s="1"/>
  <c r="A680" i="3"/>
  <c r="B680" i="3" s="1"/>
  <c r="D680" i="3" s="1"/>
  <c r="A679" i="3"/>
  <c r="B679" i="3" s="1"/>
  <c r="A678" i="3"/>
  <c r="B678" i="3" s="1"/>
  <c r="A677" i="3"/>
  <c r="B677" i="3" s="1"/>
  <c r="D677" i="3" s="1"/>
  <c r="A676" i="3"/>
  <c r="B676" i="3" s="1"/>
  <c r="D676" i="3" s="1"/>
  <c r="A675" i="3"/>
  <c r="B675" i="3" s="1"/>
  <c r="A674" i="3"/>
  <c r="B674" i="3" s="1"/>
  <c r="A673" i="3"/>
  <c r="B673" i="3" s="1"/>
  <c r="D673" i="3" s="1"/>
  <c r="A672" i="3"/>
  <c r="B672" i="3" s="1"/>
  <c r="D672" i="3" s="1"/>
  <c r="A671" i="3"/>
  <c r="B671" i="3" s="1"/>
  <c r="A670" i="3"/>
  <c r="B670" i="3" s="1"/>
  <c r="A669" i="3"/>
  <c r="B669" i="3" s="1"/>
  <c r="D669" i="3" s="1"/>
  <c r="A668" i="3"/>
  <c r="B668" i="3" s="1"/>
  <c r="D668" i="3" s="1"/>
  <c r="A667" i="3"/>
  <c r="B667" i="3" s="1"/>
  <c r="A666" i="3"/>
  <c r="B666" i="3" s="1"/>
  <c r="A665" i="3"/>
  <c r="B665" i="3" s="1"/>
  <c r="D665" i="3" s="1"/>
  <c r="A664" i="3"/>
  <c r="B664" i="3" s="1"/>
  <c r="D664" i="3" s="1"/>
  <c r="A663" i="3"/>
  <c r="B663" i="3" s="1"/>
  <c r="A662" i="3"/>
  <c r="B662" i="3" s="1"/>
  <c r="A661" i="3"/>
  <c r="B661" i="3" s="1"/>
  <c r="D661" i="3" s="1"/>
  <c r="A660" i="3"/>
  <c r="B660" i="3" s="1"/>
  <c r="D660" i="3" s="1"/>
  <c r="A659" i="3"/>
  <c r="B659" i="3" s="1"/>
  <c r="A658" i="3"/>
  <c r="B658" i="3" s="1"/>
  <c r="D658" i="3" s="1"/>
  <c r="A657" i="3"/>
  <c r="B657" i="3" s="1"/>
  <c r="D657" i="3" s="1"/>
  <c r="A656" i="3"/>
  <c r="B656" i="3" s="1"/>
  <c r="D656" i="3" s="1"/>
  <c r="A655" i="3"/>
  <c r="B655" i="3" s="1"/>
  <c r="D655" i="3" s="1"/>
  <c r="A654" i="3"/>
  <c r="B654" i="3" s="1"/>
  <c r="A653" i="3"/>
  <c r="B653" i="3" s="1"/>
  <c r="A652" i="3"/>
  <c r="B652" i="3" s="1"/>
  <c r="D652" i="3" s="1"/>
  <c r="A651" i="3"/>
  <c r="B651" i="3" s="1"/>
  <c r="D651" i="3" s="1"/>
  <c r="A650" i="3"/>
  <c r="B650" i="3" s="1"/>
  <c r="D650" i="3" s="1"/>
  <c r="A649" i="3"/>
  <c r="B649" i="3" s="1"/>
  <c r="A648" i="3"/>
  <c r="B648" i="3" s="1"/>
  <c r="D648" i="3" s="1"/>
  <c r="A647" i="3"/>
  <c r="B647" i="3" s="1"/>
  <c r="D647" i="3" s="1"/>
  <c r="A646" i="3"/>
  <c r="B646" i="3" s="1"/>
  <c r="A645" i="3"/>
  <c r="B645" i="3" s="1"/>
  <c r="A644" i="3"/>
  <c r="B644" i="3" s="1"/>
  <c r="A643" i="3"/>
  <c r="B643" i="3" s="1"/>
  <c r="D643" i="3" s="1"/>
  <c r="A642" i="3"/>
  <c r="B642" i="3" s="1"/>
  <c r="D642" i="3" s="1"/>
  <c r="A641" i="3"/>
  <c r="B641" i="3" s="1"/>
  <c r="A640" i="3"/>
  <c r="B640" i="3" s="1"/>
  <c r="D640" i="3" s="1"/>
  <c r="A639" i="3"/>
  <c r="B639" i="3" s="1"/>
  <c r="D639" i="3" s="1"/>
  <c r="A638" i="3"/>
  <c r="B638" i="3" s="1"/>
  <c r="A637" i="3"/>
  <c r="B637" i="3" s="1"/>
  <c r="A636" i="3"/>
  <c r="B636" i="3" s="1"/>
  <c r="D636" i="3" s="1"/>
  <c r="A635" i="3"/>
  <c r="B635" i="3" s="1"/>
  <c r="D635" i="3" s="1"/>
  <c r="A634" i="3"/>
  <c r="B634" i="3" s="1"/>
  <c r="D634" i="3" s="1"/>
  <c r="A633" i="3"/>
  <c r="B633" i="3" s="1"/>
  <c r="A632" i="3"/>
  <c r="B632" i="3" s="1"/>
  <c r="D632" i="3" s="1"/>
  <c r="A631" i="3"/>
  <c r="B631" i="3" s="1"/>
  <c r="A630" i="3"/>
  <c r="B630" i="3" s="1"/>
  <c r="D630" i="3" s="1"/>
  <c r="A629" i="3"/>
  <c r="B629" i="3" s="1"/>
  <c r="A628" i="3"/>
  <c r="B628" i="3" s="1"/>
  <c r="D628" i="3" s="1"/>
  <c r="A627" i="3"/>
  <c r="B627" i="3" s="1"/>
  <c r="D627" i="3" s="1"/>
  <c r="A626" i="3"/>
  <c r="B626" i="3" s="1"/>
  <c r="D626" i="3" s="1"/>
  <c r="A625" i="3"/>
  <c r="B625" i="3" s="1"/>
  <c r="A624" i="3"/>
  <c r="B624" i="3" s="1"/>
  <c r="D624" i="3" s="1"/>
  <c r="A623" i="3"/>
  <c r="B623" i="3" s="1"/>
  <c r="A622" i="3"/>
  <c r="B622" i="3" s="1"/>
  <c r="D622" i="3" s="1"/>
  <c r="A621" i="3"/>
  <c r="B621" i="3" s="1"/>
  <c r="A620" i="3"/>
  <c r="B620" i="3" s="1"/>
  <c r="D620" i="3" s="1"/>
  <c r="A619" i="3"/>
  <c r="B619" i="3" s="1"/>
  <c r="D619" i="3" s="1"/>
  <c r="A618" i="3"/>
  <c r="B618" i="3" s="1"/>
  <c r="D618" i="3" s="1"/>
  <c r="A617" i="3"/>
  <c r="B617" i="3" s="1"/>
  <c r="A616" i="3"/>
  <c r="B616" i="3" s="1"/>
  <c r="D616" i="3" s="1"/>
  <c r="A615" i="3"/>
  <c r="B615" i="3" s="1"/>
  <c r="D615" i="3" s="1"/>
  <c r="A614" i="3"/>
  <c r="B614" i="3" s="1"/>
  <c r="A613" i="3"/>
  <c r="B613" i="3" s="1"/>
  <c r="A612" i="3"/>
  <c r="B612" i="3" s="1"/>
  <c r="A611" i="3"/>
  <c r="B611" i="3" s="1"/>
  <c r="D611" i="3" s="1"/>
  <c r="A610" i="3"/>
  <c r="B610" i="3" s="1"/>
  <c r="D610" i="3" s="1"/>
  <c r="A609" i="3"/>
  <c r="B609" i="3" s="1"/>
  <c r="A608" i="3"/>
  <c r="B608" i="3" s="1"/>
  <c r="D608" i="3" s="1"/>
  <c r="A607" i="3"/>
  <c r="B607" i="3" s="1"/>
  <c r="D607" i="3" s="1"/>
  <c r="A606" i="3"/>
  <c r="B606" i="3" s="1"/>
  <c r="A605" i="3"/>
  <c r="B605" i="3" s="1"/>
  <c r="A604" i="3"/>
  <c r="B604" i="3" s="1"/>
  <c r="D604" i="3" s="1"/>
  <c r="A603" i="3"/>
  <c r="B603" i="3" s="1"/>
  <c r="D603" i="3" s="1"/>
  <c r="A602" i="3"/>
  <c r="B602" i="3" s="1"/>
  <c r="A601" i="3"/>
  <c r="B601" i="3" s="1"/>
  <c r="A600" i="3"/>
  <c r="B600" i="3" s="1"/>
  <c r="A599" i="3"/>
  <c r="B599" i="3" s="1"/>
  <c r="D599" i="3" s="1"/>
  <c r="A598" i="3"/>
  <c r="B598" i="3" s="1"/>
  <c r="A597" i="3"/>
  <c r="B597" i="3" s="1"/>
  <c r="A596" i="3"/>
  <c r="B596" i="3" s="1"/>
  <c r="D596" i="3" s="1"/>
  <c r="A595" i="3"/>
  <c r="B595" i="3" s="1"/>
  <c r="D595" i="3" s="1"/>
  <c r="A594" i="3"/>
  <c r="B594" i="3" s="1"/>
  <c r="A593" i="3"/>
  <c r="B593" i="3" s="1"/>
  <c r="A592" i="3"/>
  <c r="B592" i="3" s="1"/>
  <c r="A591" i="3"/>
  <c r="B591" i="3" s="1"/>
  <c r="D591" i="3" s="1"/>
  <c r="A590" i="3"/>
  <c r="B590" i="3" s="1"/>
  <c r="D590" i="3" s="1"/>
  <c r="A589" i="3"/>
  <c r="B589" i="3" s="1"/>
  <c r="D589" i="3" s="1"/>
  <c r="A588" i="3"/>
  <c r="B588" i="3" s="1"/>
  <c r="D588" i="3" s="1"/>
  <c r="A587" i="3"/>
  <c r="B587" i="3" s="1"/>
  <c r="A586" i="3"/>
  <c r="B586" i="3" s="1"/>
  <c r="A585" i="3"/>
  <c r="B585" i="3" s="1"/>
  <c r="D585" i="3" s="1"/>
  <c r="A584" i="3"/>
  <c r="B584" i="3" s="1"/>
  <c r="D584" i="3" s="1"/>
  <c r="A583" i="3"/>
  <c r="B583" i="3" s="1"/>
  <c r="A582" i="3"/>
  <c r="B582" i="3" s="1"/>
  <c r="A581" i="3"/>
  <c r="B581" i="3" s="1"/>
  <c r="D581" i="3" s="1"/>
  <c r="A580" i="3"/>
  <c r="B580" i="3" s="1"/>
  <c r="D580" i="3" s="1"/>
  <c r="A579" i="3"/>
  <c r="B579" i="3" s="1"/>
  <c r="A578" i="3"/>
  <c r="B578" i="3" s="1"/>
  <c r="A577" i="3"/>
  <c r="B577" i="3" s="1"/>
  <c r="D577" i="3" s="1"/>
  <c r="A576" i="3"/>
  <c r="B576" i="3" s="1"/>
  <c r="D576" i="3" s="1"/>
  <c r="A575" i="3"/>
  <c r="B575" i="3" s="1"/>
  <c r="A574" i="3"/>
  <c r="B574" i="3" s="1"/>
  <c r="A573" i="3"/>
  <c r="B573" i="3" s="1"/>
  <c r="D573" i="3" s="1"/>
  <c r="A572" i="3"/>
  <c r="B572" i="3" s="1"/>
  <c r="D572" i="3" s="1"/>
  <c r="A571" i="3"/>
  <c r="B571" i="3" s="1"/>
  <c r="A570" i="3"/>
  <c r="B570" i="3" s="1"/>
  <c r="A569" i="3"/>
  <c r="B569" i="3" s="1"/>
  <c r="D569" i="3" s="1"/>
  <c r="A568" i="3"/>
  <c r="B568" i="3" s="1"/>
  <c r="D568" i="3" s="1"/>
  <c r="A567" i="3"/>
  <c r="B567" i="3" s="1"/>
  <c r="A566" i="3"/>
  <c r="B566" i="3" s="1"/>
  <c r="A565" i="3"/>
  <c r="B565" i="3" s="1"/>
  <c r="D565" i="3" s="1"/>
  <c r="A564" i="3"/>
  <c r="B564" i="3" s="1"/>
  <c r="D564" i="3" s="1"/>
  <c r="A563" i="3"/>
  <c r="B563" i="3" s="1"/>
  <c r="A562" i="3"/>
  <c r="B562" i="3" s="1"/>
  <c r="A561" i="3"/>
  <c r="B561" i="3" s="1"/>
  <c r="D561" i="3" s="1"/>
  <c r="A560" i="3"/>
  <c r="B560" i="3" s="1"/>
  <c r="D560" i="3" s="1"/>
  <c r="A559" i="3"/>
  <c r="B559" i="3" s="1"/>
  <c r="A558" i="3"/>
  <c r="B558" i="3" s="1"/>
  <c r="A557" i="3"/>
  <c r="B557" i="3" s="1"/>
  <c r="D557" i="3" s="1"/>
  <c r="A556" i="3"/>
  <c r="B556" i="3" s="1"/>
  <c r="D556" i="3" s="1"/>
  <c r="A555" i="3"/>
  <c r="B555" i="3" s="1"/>
  <c r="A554" i="3"/>
  <c r="B554" i="3" s="1"/>
  <c r="A553" i="3"/>
  <c r="B553" i="3" s="1"/>
  <c r="D553" i="3" s="1"/>
  <c r="A552" i="3"/>
  <c r="B552" i="3" s="1"/>
  <c r="D552" i="3" s="1"/>
  <c r="A551" i="3"/>
  <c r="B551" i="3" s="1"/>
  <c r="A550" i="3"/>
  <c r="B550" i="3" s="1"/>
  <c r="A549" i="3"/>
  <c r="B549" i="3" s="1"/>
  <c r="D549" i="3" s="1"/>
  <c r="A548" i="3"/>
  <c r="B548" i="3" s="1"/>
  <c r="D548" i="3" s="1"/>
  <c r="A547" i="3"/>
  <c r="B547" i="3" s="1"/>
  <c r="A546" i="3"/>
  <c r="B546" i="3" s="1"/>
  <c r="A545" i="3"/>
  <c r="B545" i="3" s="1"/>
  <c r="D545" i="3" s="1"/>
  <c r="A544" i="3"/>
  <c r="B544" i="3" s="1"/>
  <c r="D544" i="3" s="1"/>
  <c r="A543" i="3"/>
  <c r="B543" i="3" s="1"/>
  <c r="A542" i="3"/>
  <c r="B542" i="3" s="1"/>
  <c r="A541" i="3"/>
  <c r="B541" i="3" s="1"/>
  <c r="D541" i="3" s="1"/>
  <c r="A540" i="3"/>
  <c r="B540" i="3" s="1"/>
  <c r="D540" i="3" s="1"/>
  <c r="A539" i="3"/>
  <c r="B539" i="3" s="1"/>
  <c r="A538" i="3"/>
  <c r="B538" i="3" s="1"/>
  <c r="A537" i="3"/>
  <c r="B537" i="3" s="1"/>
  <c r="D537" i="3" s="1"/>
  <c r="A536" i="3"/>
  <c r="B536" i="3" s="1"/>
  <c r="D536" i="3" s="1"/>
  <c r="A535" i="3"/>
  <c r="B535" i="3" s="1"/>
  <c r="A534" i="3"/>
  <c r="B534" i="3" s="1"/>
  <c r="A533" i="3"/>
  <c r="B533" i="3" s="1"/>
  <c r="D533" i="3" s="1"/>
  <c r="A532" i="3"/>
  <c r="B532" i="3" s="1"/>
  <c r="D532" i="3" s="1"/>
  <c r="A531" i="3"/>
  <c r="B531" i="3" s="1"/>
  <c r="A530" i="3"/>
  <c r="B530" i="3" s="1"/>
  <c r="A529" i="3"/>
  <c r="B529" i="3" s="1"/>
  <c r="D529" i="3" s="1"/>
  <c r="A528" i="3"/>
  <c r="B528" i="3" s="1"/>
  <c r="D528" i="3" s="1"/>
  <c r="A527" i="3"/>
  <c r="B527" i="3" s="1"/>
  <c r="A526" i="3"/>
  <c r="B526" i="3" s="1"/>
  <c r="A525" i="3"/>
  <c r="B525" i="3" s="1"/>
  <c r="D525" i="3" s="1"/>
  <c r="A524" i="3"/>
  <c r="B524" i="3" s="1"/>
  <c r="D524" i="3" s="1"/>
  <c r="A523" i="3"/>
  <c r="B523" i="3" s="1"/>
  <c r="A522" i="3"/>
  <c r="B522" i="3" s="1"/>
  <c r="A521" i="3"/>
  <c r="B521" i="3" s="1"/>
  <c r="D521" i="3" s="1"/>
  <c r="A520" i="3"/>
  <c r="B520" i="3" s="1"/>
  <c r="D520" i="3" s="1"/>
  <c r="A519" i="3"/>
  <c r="B519" i="3" s="1"/>
  <c r="A518" i="3"/>
  <c r="B518" i="3" s="1"/>
  <c r="A517" i="3"/>
  <c r="B517" i="3" s="1"/>
  <c r="D517" i="3" s="1"/>
  <c r="A516" i="3"/>
  <c r="B516" i="3" s="1"/>
  <c r="D516" i="3" s="1"/>
  <c r="A515" i="3"/>
  <c r="B515" i="3" s="1"/>
  <c r="A514" i="3"/>
  <c r="B514" i="3" s="1"/>
  <c r="A513" i="3"/>
  <c r="B513" i="3" s="1"/>
  <c r="D513" i="3" s="1"/>
  <c r="A512" i="3"/>
  <c r="B512" i="3" s="1"/>
  <c r="D512" i="3" s="1"/>
  <c r="A511" i="3"/>
  <c r="B511" i="3" s="1"/>
  <c r="A510" i="3"/>
  <c r="B510" i="3" s="1"/>
  <c r="A509" i="3"/>
  <c r="B509" i="3" s="1"/>
  <c r="D509" i="3" s="1"/>
  <c r="A508" i="3"/>
  <c r="B508" i="3" s="1"/>
  <c r="D508" i="3" s="1"/>
  <c r="A507" i="3"/>
  <c r="B507" i="3" s="1"/>
  <c r="A506" i="3"/>
  <c r="B506" i="3" s="1"/>
  <c r="A505" i="3"/>
  <c r="B505" i="3" s="1"/>
  <c r="D505" i="3" s="1"/>
  <c r="A504" i="3"/>
  <c r="B504" i="3" s="1"/>
  <c r="D504" i="3" s="1"/>
  <c r="A503" i="3"/>
  <c r="B503" i="3" s="1"/>
  <c r="A502" i="3"/>
  <c r="B502" i="3" s="1"/>
  <c r="A501" i="3"/>
  <c r="B501" i="3" s="1"/>
  <c r="D501" i="3" s="1"/>
  <c r="A500" i="3"/>
  <c r="B500" i="3" s="1"/>
  <c r="D500" i="3" s="1"/>
  <c r="A499" i="3"/>
  <c r="B499" i="3" s="1"/>
  <c r="A498" i="3"/>
  <c r="B498" i="3" s="1"/>
  <c r="A497" i="3"/>
  <c r="B497" i="3" s="1"/>
  <c r="D497" i="3" s="1"/>
  <c r="A496" i="3"/>
  <c r="B496" i="3" s="1"/>
  <c r="D496" i="3" s="1"/>
  <c r="A495" i="3"/>
  <c r="B495" i="3" s="1"/>
  <c r="A494" i="3"/>
  <c r="B494" i="3" s="1"/>
  <c r="A493" i="3"/>
  <c r="B493" i="3" s="1"/>
  <c r="D493" i="3" s="1"/>
  <c r="A492" i="3"/>
  <c r="B492" i="3" s="1"/>
  <c r="D492" i="3" s="1"/>
  <c r="A491" i="3"/>
  <c r="B491" i="3" s="1"/>
  <c r="A490" i="3"/>
  <c r="B490" i="3" s="1"/>
  <c r="A489" i="3"/>
  <c r="B489" i="3" s="1"/>
  <c r="D489" i="3" s="1"/>
  <c r="A488" i="3"/>
  <c r="B488" i="3" s="1"/>
  <c r="D488" i="3" s="1"/>
  <c r="A487" i="3"/>
  <c r="B487" i="3" s="1"/>
  <c r="A486" i="3"/>
  <c r="B486" i="3" s="1"/>
  <c r="A485" i="3"/>
  <c r="B485" i="3" s="1"/>
  <c r="D485" i="3" s="1"/>
  <c r="A484" i="3"/>
  <c r="B484" i="3" s="1"/>
  <c r="D484" i="3" s="1"/>
  <c r="A483" i="3"/>
  <c r="B483" i="3" s="1"/>
  <c r="A482" i="3"/>
  <c r="B482" i="3" s="1"/>
  <c r="A481" i="3"/>
  <c r="B481" i="3" s="1"/>
  <c r="D481" i="3" s="1"/>
  <c r="A480" i="3"/>
  <c r="B480" i="3" s="1"/>
  <c r="D480" i="3" s="1"/>
  <c r="A479" i="3"/>
  <c r="B479" i="3" s="1"/>
  <c r="A478" i="3"/>
  <c r="B478" i="3" s="1"/>
  <c r="A477" i="3"/>
  <c r="B477" i="3" s="1"/>
  <c r="D477" i="3" s="1"/>
  <c r="A476" i="3"/>
  <c r="B476" i="3" s="1"/>
  <c r="D476" i="3" s="1"/>
  <c r="A475" i="3"/>
  <c r="B475" i="3" s="1"/>
  <c r="A474" i="3"/>
  <c r="B474" i="3" s="1"/>
  <c r="A473" i="3"/>
  <c r="B473" i="3" s="1"/>
  <c r="D473" i="3" s="1"/>
  <c r="A472" i="3"/>
  <c r="B472" i="3" s="1"/>
  <c r="D472" i="3" s="1"/>
  <c r="A471" i="3"/>
  <c r="B471" i="3" s="1"/>
  <c r="A470" i="3"/>
  <c r="B470" i="3" s="1"/>
  <c r="A469" i="3"/>
  <c r="B469" i="3" s="1"/>
  <c r="D469" i="3" s="1"/>
  <c r="A468" i="3"/>
  <c r="B468" i="3" s="1"/>
  <c r="D468" i="3" s="1"/>
  <c r="A467" i="3"/>
  <c r="B467" i="3" s="1"/>
  <c r="A466" i="3"/>
  <c r="B466" i="3" s="1"/>
  <c r="A465" i="3"/>
  <c r="B465" i="3" s="1"/>
  <c r="D465" i="3" s="1"/>
  <c r="A464" i="3"/>
  <c r="B464" i="3" s="1"/>
  <c r="D464" i="3" s="1"/>
  <c r="A463" i="3"/>
  <c r="B463" i="3" s="1"/>
  <c r="A462" i="3"/>
  <c r="B462" i="3" s="1"/>
  <c r="A461" i="3"/>
  <c r="B461" i="3" s="1"/>
  <c r="D461" i="3" s="1"/>
  <c r="A460" i="3"/>
  <c r="B460" i="3" s="1"/>
  <c r="D460" i="3" s="1"/>
  <c r="A459" i="3"/>
  <c r="B459" i="3" s="1"/>
  <c r="A458" i="3"/>
  <c r="B458" i="3" s="1"/>
  <c r="A457" i="3"/>
  <c r="B457" i="3" s="1"/>
  <c r="D457" i="3" s="1"/>
  <c r="A456" i="3"/>
  <c r="B456" i="3" s="1"/>
  <c r="D456" i="3" s="1"/>
  <c r="A455" i="3"/>
  <c r="B455" i="3" s="1"/>
  <c r="A454" i="3"/>
  <c r="B454" i="3" s="1"/>
  <c r="A453" i="3"/>
  <c r="B453" i="3" s="1"/>
  <c r="D453" i="3" s="1"/>
  <c r="A452" i="3"/>
  <c r="B452" i="3" s="1"/>
  <c r="D452" i="3" s="1"/>
  <c r="A451" i="3"/>
  <c r="B451" i="3" s="1"/>
  <c r="A450" i="3"/>
  <c r="B450" i="3" s="1"/>
  <c r="A449" i="3"/>
  <c r="B449" i="3" s="1"/>
  <c r="D449" i="3" s="1"/>
  <c r="A448" i="3"/>
  <c r="B448" i="3" s="1"/>
  <c r="D448" i="3" s="1"/>
  <c r="A447" i="3"/>
  <c r="B447" i="3" s="1"/>
  <c r="A446" i="3"/>
  <c r="B446" i="3" s="1"/>
  <c r="A445" i="3"/>
  <c r="B445" i="3" s="1"/>
  <c r="D445" i="3" s="1"/>
  <c r="A444" i="3"/>
  <c r="B444" i="3" s="1"/>
  <c r="A443" i="3"/>
  <c r="B443" i="3" s="1"/>
  <c r="A442" i="3"/>
  <c r="B442" i="3" s="1"/>
  <c r="A441" i="3"/>
  <c r="B441" i="3" s="1"/>
  <c r="D441" i="3" s="1"/>
  <c r="A440" i="3"/>
  <c r="B440" i="3" s="1"/>
  <c r="D440" i="3" s="1"/>
  <c r="A439" i="3"/>
  <c r="B439" i="3" s="1"/>
  <c r="A438" i="3"/>
  <c r="B438" i="3" s="1"/>
  <c r="A437" i="3"/>
  <c r="B437" i="3" s="1"/>
  <c r="A436" i="3"/>
  <c r="B436" i="3" s="1"/>
  <c r="A435" i="3"/>
  <c r="B435" i="3" s="1"/>
  <c r="A434" i="3"/>
  <c r="B434" i="3" s="1"/>
  <c r="A433" i="3"/>
  <c r="B433" i="3" s="1"/>
  <c r="A432" i="3"/>
  <c r="B432" i="3" s="1"/>
  <c r="A431" i="3"/>
  <c r="B431" i="3" s="1"/>
  <c r="A430" i="3"/>
  <c r="B430" i="3" s="1"/>
  <c r="A429" i="3"/>
  <c r="B429" i="3" s="1"/>
  <c r="A428" i="3"/>
  <c r="B428" i="3" s="1"/>
  <c r="A427" i="3"/>
  <c r="B427" i="3" s="1"/>
  <c r="A426" i="3"/>
  <c r="B426" i="3" s="1"/>
  <c r="A425" i="3"/>
  <c r="B425" i="3" s="1"/>
  <c r="A424" i="3"/>
  <c r="B424" i="3" s="1"/>
  <c r="A423" i="3"/>
  <c r="B423" i="3" s="1"/>
  <c r="A422" i="3"/>
  <c r="B422" i="3" s="1"/>
  <c r="A421" i="3"/>
  <c r="B421" i="3" s="1"/>
  <c r="A420" i="3"/>
  <c r="B420" i="3" s="1"/>
  <c r="A419" i="3"/>
  <c r="B419" i="3" s="1"/>
  <c r="A418" i="3"/>
  <c r="B418" i="3" s="1"/>
  <c r="A417" i="3"/>
  <c r="B417" i="3" s="1"/>
  <c r="A416" i="3"/>
  <c r="B416" i="3" s="1"/>
  <c r="A415" i="3"/>
  <c r="B415" i="3" s="1"/>
  <c r="A414" i="3"/>
  <c r="B414" i="3" s="1"/>
  <c r="A413" i="3"/>
  <c r="B413" i="3" s="1"/>
  <c r="A412" i="3"/>
  <c r="B412" i="3" s="1"/>
  <c r="A411" i="3"/>
  <c r="B411" i="3" s="1"/>
  <c r="A410" i="3"/>
  <c r="B410" i="3" s="1"/>
  <c r="A409" i="3"/>
  <c r="B409" i="3" s="1"/>
  <c r="A408" i="3"/>
  <c r="B408" i="3" s="1"/>
  <c r="A407" i="3"/>
  <c r="B407" i="3" s="1"/>
  <c r="A406" i="3"/>
  <c r="B406" i="3" s="1"/>
  <c r="A405" i="3"/>
  <c r="B405" i="3" s="1"/>
  <c r="A404" i="3"/>
  <c r="B404" i="3" s="1"/>
  <c r="A403" i="3"/>
  <c r="B403" i="3" s="1"/>
  <c r="A402" i="3"/>
  <c r="B402" i="3" s="1"/>
  <c r="A401" i="3"/>
  <c r="B401" i="3" s="1"/>
  <c r="A400" i="3"/>
  <c r="B400" i="3" s="1"/>
  <c r="A399" i="3"/>
  <c r="B399" i="3" s="1"/>
  <c r="A398" i="3"/>
  <c r="B398" i="3" s="1"/>
  <c r="A397" i="3"/>
  <c r="B397" i="3" s="1"/>
  <c r="A396" i="3"/>
  <c r="B396" i="3" s="1"/>
  <c r="A395" i="3"/>
  <c r="B395" i="3" s="1"/>
  <c r="A394" i="3"/>
  <c r="B394" i="3" s="1"/>
  <c r="A393" i="3"/>
  <c r="B393" i="3" s="1"/>
  <c r="A392" i="3"/>
  <c r="B392" i="3" s="1"/>
  <c r="A391" i="3"/>
  <c r="B391" i="3" s="1"/>
  <c r="A390" i="3"/>
  <c r="B390" i="3" s="1"/>
  <c r="A389" i="3"/>
  <c r="B389" i="3" s="1"/>
  <c r="D389" i="3" s="1"/>
  <c r="A388" i="3"/>
  <c r="B388" i="3" s="1"/>
  <c r="D388" i="3" s="1"/>
  <c r="A387" i="3"/>
  <c r="B387" i="3" s="1"/>
  <c r="A386" i="3"/>
  <c r="B386" i="3" s="1"/>
  <c r="A385" i="3"/>
  <c r="B385" i="3" s="1"/>
  <c r="D385" i="3" s="1"/>
  <c r="A384" i="3"/>
  <c r="B384" i="3" s="1"/>
  <c r="A383" i="3"/>
  <c r="B383" i="3" s="1"/>
  <c r="A382" i="3"/>
  <c r="B382" i="3" s="1"/>
  <c r="A381" i="3"/>
  <c r="B381" i="3" s="1"/>
  <c r="D381" i="3" s="1"/>
  <c r="A380" i="3"/>
  <c r="B380" i="3" s="1"/>
  <c r="A379" i="3"/>
  <c r="B379" i="3" s="1"/>
  <c r="A378" i="3"/>
  <c r="B378" i="3" s="1"/>
  <c r="A377" i="3"/>
  <c r="B377" i="3" s="1"/>
  <c r="D377" i="3" s="1"/>
  <c r="A376" i="3"/>
  <c r="B376" i="3" s="1"/>
  <c r="A375" i="3"/>
  <c r="B375" i="3" s="1"/>
  <c r="A374" i="3"/>
  <c r="B374" i="3" s="1"/>
  <c r="A373" i="3"/>
  <c r="B373" i="3" s="1"/>
  <c r="D373" i="3" s="1"/>
  <c r="A372" i="3"/>
  <c r="B372" i="3" s="1"/>
  <c r="D372" i="3" s="1"/>
  <c r="A371" i="3"/>
  <c r="B371" i="3" s="1"/>
  <c r="A370" i="3"/>
  <c r="B370" i="3" s="1"/>
  <c r="A369" i="3"/>
  <c r="B369" i="3" s="1"/>
  <c r="D369" i="3" s="1"/>
  <c r="A368" i="3"/>
  <c r="B368" i="3" s="1"/>
  <c r="A367" i="3"/>
  <c r="B367" i="3" s="1"/>
  <c r="A366" i="3"/>
  <c r="B366" i="3" s="1"/>
  <c r="A365" i="3"/>
  <c r="B365" i="3" s="1"/>
  <c r="D365" i="3" s="1"/>
  <c r="A364" i="3"/>
  <c r="B364" i="3" s="1"/>
  <c r="A363" i="3"/>
  <c r="B363" i="3" s="1"/>
  <c r="A362" i="3"/>
  <c r="B362" i="3" s="1"/>
  <c r="A361" i="3"/>
  <c r="B361" i="3" s="1"/>
  <c r="D361" i="3" s="1"/>
  <c r="A360" i="3"/>
  <c r="B360" i="3" s="1"/>
  <c r="D360" i="3" s="1"/>
  <c r="A359" i="3"/>
  <c r="B359" i="3" s="1"/>
  <c r="A358" i="3"/>
  <c r="B358" i="3" s="1"/>
  <c r="A357" i="3"/>
  <c r="B357" i="3" s="1"/>
  <c r="D357" i="3" s="1"/>
  <c r="A356" i="3"/>
  <c r="B356" i="3" s="1"/>
  <c r="D356" i="3" s="1"/>
  <c r="A355" i="3"/>
  <c r="B355" i="3" s="1"/>
  <c r="A354" i="3"/>
  <c r="B354" i="3" s="1"/>
  <c r="A353" i="3"/>
  <c r="B353" i="3" s="1"/>
  <c r="D353" i="3" s="1"/>
  <c r="A352" i="3"/>
  <c r="B352" i="3" s="1"/>
  <c r="A351" i="3"/>
  <c r="B351" i="3" s="1"/>
  <c r="A350" i="3"/>
  <c r="B350" i="3" s="1"/>
  <c r="A349" i="3"/>
  <c r="B349" i="3" s="1"/>
  <c r="D349" i="3" s="1"/>
  <c r="A348" i="3"/>
  <c r="B348" i="3" s="1"/>
  <c r="A347" i="3"/>
  <c r="B347" i="3" s="1"/>
  <c r="A346" i="3"/>
  <c r="B346" i="3" s="1"/>
  <c r="A345" i="3"/>
  <c r="B345" i="3" s="1"/>
  <c r="D345" i="3" s="1"/>
  <c r="A344" i="3"/>
  <c r="B344" i="3" s="1"/>
  <c r="D344" i="3" s="1"/>
  <c r="A343" i="3"/>
  <c r="B343" i="3" s="1"/>
  <c r="A342" i="3"/>
  <c r="B342" i="3" s="1"/>
  <c r="A341" i="3"/>
  <c r="B341" i="3" s="1"/>
  <c r="D341" i="3" s="1"/>
  <c r="A340" i="3"/>
  <c r="B340" i="3" s="1"/>
  <c r="D340" i="3" s="1"/>
  <c r="A339" i="3"/>
  <c r="B339" i="3" s="1"/>
  <c r="A338" i="3"/>
  <c r="B338" i="3" s="1"/>
  <c r="A337" i="3"/>
  <c r="B337" i="3" s="1"/>
  <c r="D337" i="3" s="1"/>
  <c r="A336" i="3"/>
  <c r="B336" i="3" s="1"/>
  <c r="A335" i="3"/>
  <c r="B335" i="3" s="1"/>
  <c r="A334" i="3"/>
  <c r="B334" i="3" s="1"/>
  <c r="A333" i="3"/>
  <c r="B333" i="3" s="1"/>
  <c r="D333" i="3" s="1"/>
  <c r="A332" i="3"/>
  <c r="B332" i="3" s="1"/>
  <c r="A331" i="3"/>
  <c r="B331" i="3" s="1"/>
  <c r="A330" i="3"/>
  <c r="B330" i="3" s="1"/>
  <c r="A329" i="3"/>
  <c r="B329" i="3" s="1"/>
  <c r="D329" i="3" s="1"/>
  <c r="A328" i="3"/>
  <c r="B328" i="3" s="1"/>
  <c r="D328" i="3" s="1"/>
  <c r="A327" i="3"/>
  <c r="B327" i="3" s="1"/>
  <c r="A326" i="3"/>
  <c r="B326" i="3" s="1"/>
  <c r="A325" i="3"/>
  <c r="B325" i="3" s="1"/>
  <c r="D325" i="3" s="1"/>
  <c r="A324" i="3"/>
  <c r="B324" i="3" s="1"/>
  <c r="D324" i="3" s="1"/>
  <c r="A323" i="3"/>
  <c r="B323" i="3" s="1"/>
  <c r="A322" i="3"/>
  <c r="B322" i="3" s="1"/>
  <c r="A321" i="3"/>
  <c r="B321" i="3" s="1"/>
  <c r="D321" i="3" s="1"/>
  <c r="A320" i="3"/>
  <c r="B320" i="3" s="1"/>
  <c r="A319" i="3"/>
  <c r="B319" i="3" s="1"/>
  <c r="A318" i="3"/>
  <c r="B318" i="3" s="1"/>
  <c r="D318" i="3" s="1"/>
  <c r="A317" i="3"/>
  <c r="B317" i="3" s="1"/>
  <c r="D317" i="3" s="1"/>
  <c r="A316" i="3"/>
  <c r="B316" i="3" s="1"/>
  <c r="A315" i="3"/>
  <c r="B315" i="3" s="1"/>
  <c r="A314" i="3"/>
  <c r="B314" i="3" s="1"/>
  <c r="D314" i="3" s="1"/>
  <c r="A313" i="3"/>
  <c r="B313" i="3" s="1"/>
  <c r="D313" i="3" s="1"/>
  <c r="A312" i="3"/>
  <c r="B312" i="3" s="1"/>
  <c r="D312" i="3" s="1"/>
  <c r="A311" i="3"/>
  <c r="B311" i="3" s="1"/>
  <c r="A310" i="3"/>
  <c r="B310" i="3" s="1"/>
  <c r="D310" i="3" s="1"/>
  <c r="A309" i="3"/>
  <c r="B309" i="3" s="1"/>
  <c r="D309" i="3" s="1"/>
  <c r="A308" i="3"/>
  <c r="B308" i="3" s="1"/>
  <c r="A307" i="3"/>
  <c r="B307" i="3" s="1"/>
  <c r="A306" i="3"/>
  <c r="B306" i="3" s="1"/>
  <c r="D306" i="3" s="1"/>
  <c r="A305" i="3"/>
  <c r="B305" i="3" s="1"/>
  <c r="D305" i="3" s="1"/>
  <c r="A304" i="3"/>
  <c r="B304" i="3" s="1"/>
  <c r="A303" i="3"/>
  <c r="B303" i="3" s="1"/>
  <c r="A302" i="3"/>
  <c r="B302" i="3" s="1"/>
  <c r="D302" i="3" s="1"/>
  <c r="A301" i="3"/>
  <c r="B301" i="3" s="1"/>
  <c r="D301" i="3" s="1"/>
  <c r="A300" i="3"/>
  <c r="B300" i="3" s="1"/>
  <c r="D300" i="3" s="1"/>
  <c r="A299" i="3"/>
  <c r="B299" i="3" s="1"/>
  <c r="A298" i="3"/>
  <c r="B298" i="3" s="1"/>
  <c r="D298" i="3" s="1"/>
  <c r="A297" i="3"/>
  <c r="B297" i="3" s="1"/>
  <c r="D297" i="3" s="1"/>
  <c r="A296" i="3"/>
  <c r="B296" i="3" s="1"/>
  <c r="D296" i="3" s="1"/>
  <c r="A295" i="3"/>
  <c r="B295" i="3" s="1"/>
  <c r="A294" i="3"/>
  <c r="B294" i="3" s="1"/>
  <c r="D294" i="3" s="1"/>
  <c r="A293" i="3"/>
  <c r="B293" i="3" s="1"/>
  <c r="D293" i="3" s="1"/>
  <c r="A292" i="3"/>
  <c r="B292" i="3" s="1"/>
  <c r="A291" i="3"/>
  <c r="B291" i="3" s="1"/>
  <c r="A290" i="3"/>
  <c r="B290" i="3" s="1"/>
  <c r="D290" i="3" s="1"/>
  <c r="A289" i="3"/>
  <c r="B289" i="3" s="1"/>
  <c r="D289" i="3" s="1"/>
  <c r="A288" i="3"/>
  <c r="B288" i="3" s="1"/>
  <c r="A287" i="3"/>
  <c r="B287" i="3" s="1"/>
  <c r="A286" i="3"/>
  <c r="B286" i="3" s="1"/>
  <c r="D286" i="3" s="1"/>
  <c r="A285" i="3"/>
  <c r="B285" i="3" s="1"/>
  <c r="D285" i="3" s="1"/>
  <c r="A284" i="3"/>
  <c r="B284" i="3" s="1"/>
  <c r="D284" i="3" s="1"/>
  <c r="A283" i="3"/>
  <c r="B283" i="3" s="1"/>
  <c r="A282" i="3"/>
  <c r="B282" i="3" s="1"/>
  <c r="D282" i="3" s="1"/>
  <c r="A281" i="3"/>
  <c r="B281" i="3" s="1"/>
  <c r="D281" i="3" s="1"/>
  <c r="A280" i="3"/>
  <c r="B280" i="3" s="1"/>
  <c r="D280" i="3" s="1"/>
  <c r="A279" i="3"/>
  <c r="B279" i="3" s="1"/>
  <c r="A278" i="3"/>
  <c r="B278" i="3" s="1"/>
  <c r="D278" i="3" s="1"/>
  <c r="A277" i="3"/>
  <c r="B277" i="3" s="1"/>
  <c r="D277" i="3" s="1"/>
  <c r="A276" i="3"/>
  <c r="B276" i="3" s="1"/>
  <c r="D276" i="3" s="1"/>
  <c r="A275" i="3"/>
  <c r="B275" i="3" s="1"/>
  <c r="A274" i="3"/>
  <c r="B274" i="3" s="1"/>
  <c r="A273" i="3"/>
  <c r="B273" i="3" s="1"/>
  <c r="D273" i="3" s="1"/>
  <c r="A272" i="3"/>
  <c r="B272" i="3" s="1"/>
  <c r="D272" i="3" s="1"/>
  <c r="A271" i="3"/>
  <c r="B271" i="3" s="1"/>
  <c r="A270" i="3"/>
  <c r="B270" i="3" s="1"/>
  <c r="A269" i="3"/>
  <c r="B269" i="3" s="1"/>
  <c r="D269" i="3" s="1"/>
  <c r="A268" i="3"/>
  <c r="B268" i="3" s="1"/>
  <c r="D268" i="3" s="1"/>
  <c r="A267" i="3"/>
  <c r="B267" i="3" s="1"/>
  <c r="A266" i="3"/>
  <c r="B266" i="3" s="1"/>
  <c r="A265" i="3"/>
  <c r="B265" i="3" s="1"/>
  <c r="D265" i="3" s="1"/>
  <c r="A264" i="3"/>
  <c r="B264" i="3" s="1"/>
  <c r="D264" i="3" s="1"/>
  <c r="A263" i="3"/>
  <c r="B263" i="3" s="1"/>
  <c r="A262" i="3"/>
  <c r="B262" i="3" s="1"/>
  <c r="A261" i="3"/>
  <c r="B261" i="3" s="1"/>
  <c r="D261" i="3" s="1"/>
  <c r="A260" i="3"/>
  <c r="B260" i="3" s="1"/>
  <c r="D260" i="3" s="1"/>
  <c r="A259" i="3"/>
  <c r="B259" i="3" s="1"/>
  <c r="A258" i="3"/>
  <c r="B258" i="3" s="1"/>
  <c r="A257" i="3"/>
  <c r="B257" i="3" s="1"/>
  <c r="D257" i="3" s="1"/>
  <c r="A256" i="3"/>
  <c r="B256" i="3" s="1"/>
  <c r="D256" i="3" s="1"/>
  <c r="A255" i="3"/>
  <c r="B255" i="3" s="1"/>
  <c r="A254" i="3"/>
  <c r="B254" i="3" s="1"/>
  <c r="A253" i="3"/>
  <c r="B253" i="3" s="1"/>
  <c r="D253" i="3" s="1"/>
  <c r="A252" i="3"/>
  <c r="B252" i="3" s="1"/>
  <c r="D252" i="3" s="1"/>
  <c r="A251" i="3"/>
  <c r="B251" i="3" s="1"/>
  <c r="A250" i="3"/>
  <c r="B250" i="3" s="1"/>
  <c r="A249" i="3"/>
  <c r="B249" i="3" s="1"/>
  <c r="D249" i="3" s="1"/>
  <c r="A248" i="3"/>
  <c r="B248" i="3" s="1"/>
  <c r="D248" i="3" s="1"/>
  <c r="A247" i="3"/>
  <c r="B247" i="3" s="1"/>
  <c r="A246" i="3"/>
  <c r="B246" i="3" s="1"/>
  <c r="A245" i="3"/>
  <c r="B245" i="3" s="1"/>
  <c r="D245" i="3" s="1"/>
  <c r="A244" i="3"/>
  <c r="B244" i="3" s="1"/>
  <c r="D244" i="3" s="1"/>
  <c r="A243" i="3"/>
  <c r="B243" i="3" s="1"/>
  <c r="A242" i="3"/>
  <c r="B242" i="3" s="1"/>
  <c r="A241" i="3"/>
  <c r="B241" i="3" s="1"/>
  <c r="D241" i="3" s="1"/>
  <c r="A240" i="3"/>
  <c r="B240" i="3" s="1"/>
  <c r="D240" i="3" s="1"/>
  <c r="A239" i="3"/>
  <c r="B239" i="3" s="1"/>
  <c r="A238" i="3"/>
  <c r="B238" i="3" s="1"/>
  <c r="A237" i="3"/>
  <c r="B237" i="3" s="1"/>
  <c r="D237" i="3" s="1"/>
  <c r="A236" i="3"/>
  <c r="B236" i="3" s="1"/>
  <c r="D236" i="3" s="1"/>
  <c r="A235" i="3"/>
  <c r="B235" i="3" s="1"/>
  <c r="A234" i="3"/>
  <c r="B234" i="3" s="1"/>
  <c r="A233" i="3"/>
  <c r="B233" i="3" s="1"/>
  <c r="D233" i="3" s="1"/>
  <c r="A232" i="3"/>
  <c r="B232" i="3" s="1"/>
  <c r="D232" i="3" s="1"/>
  <c r="A231" i="3"/>
  <c r="B231" i="3" s="1"/>
  <c r="A230" i="3"/>
  <c r="B230" i="3" s="1"/>
  <c r="A229" i="3"/>
  <c r="B229" i="3" s="1"/>
  <c r="D229" i="3" s="1"/>
  <c r="A228" i="3"/>
  <c r="B228" i="3" s="1"/>
  <c r="D228" i="3" s="1"/>
  <c r="A227" i="3"/>
  <c r="B227" i="3" s="1"/>
  <c r="A226" i="3"/>
  <c r="B226" i="3" s="1"/>
  <c r="A225" i="3"/>
  <c r="B225" i="3" s="1"/>
  <c r="D225" i="3" s="1"/>
  <c r="A224" i="3"/>
  <c r="B224" i="3" s="1"/>
  <c r="A223" i="3"/>
  <c r="B223" i="3" s="1"/>
  <c r="A222" i="3"/>
  <c r="B222" i="3" s="1"/>
  <c r="A221" i="3"/>
  <c r="B221" i="3" s="1"/>
  <c r="D221" i="3" s="1"/>
  <c r="A220" i="3"/>
  <c r="B220" i="3" s="1"/>
  <c r="A219" i="3"/>
  <c r="B219" i="3" s="1"/>
  <c r="A218" i="3"/>
  <c r="B218" i="3" s="1"/>
  <c r="A217" i="3"/>
  <c r="B217" i="3" s="1"/>
  <c r="D217" i="3" s="1"/>
  <c r="A216" i="3"/>
  <c r="B216" i="3" s="1"/>
  <c r="A215" i="3"/>
  <c r="B215" i="3" s="1"/>
  <c r="A214" i="3"/>
  <c r="B214" i="3" s="1"/>
  <c r="A213" i="3"/>
  <c r="B213" i="3" s="1"/>
  <c r="D213" i="3" s="1"/>
  <c r="A212" i="3"/>
  <c r="B212" i="3" s="1"/>
  <c r="A211" i="3"/>
  <c r="B211" i="3" s="1"/>
  <c r="A210" i="3"/>
  <c r="B210" i="3" s="1"/>
  <c r="A209" i="3"/>
  <c r="B209" i="3" s="1"/>
  <c r="D209" i="3" s="1"/>
  <c r="A208" i="3"/>
  <c r="B208" i="3" s="1"/>
  <c r="D208" i="3" s="1"/>
  <c r="A207" i="3"/>
  <c r="B207" i="3" s="1"/>
  <c r="A206" i="3"/>
  <c r="B206" i="3" s="1"/>
  <c r="A205" i="3"/>
  <c r="B205" i="3" s="1"/>
  <c r="D205" i="3" s="1"/>
  <c r="A204" i="3"/>
  <c r="B204" i="3" s="1"/>
  <c r="A203" i="3"/>
  <c r="B203" i="3" s="1"/>
  <c r="A202" i="3"/>
  <c r="B202" i="3" s="1"/>
  <c r="A201" i="3"/>
  <c r="B201" i="3" s="1"/>
  <c r="D201" i="3" s="1"/>
  <c r="A200" i="3"/>
  <c r="B200" i="3" s="1"/>
  <c r="A199" i="3"/>
  <c r="B199" i="3" s="1"/>
  <c r="A198" i="3"/>
  <c r="B198" i="3" s="1"/>
  <c r="A197" i="3"/>
  <c r="B197" i="3" s="1"/>
  <c r="D197" i="3" s="1"/>
  <c r="A196" i="3"/>
  <c r="B196" i="3" s="1"/>
  <c r="D196" i="3" s="1"/>
  <c r="A195" i="3"/>
  <c r="B195" i="3" s="1"/>
  <c r="A194" i="3"/>
  <c r="B194" i="3" s="1"/>
  <c r="A193" i="3"/>
  <c r="B193" i="3" s="1"/>
  <c r="D193" i="3" s="1"/>
  <c r="A192" i="3"/>
  <c r="B192" i="3" s="1"/>
  <c r="D192" i="3" s="1"/>
  <c r="A191" i="3"/>
  <c r="B191" i="3" s="1"/>
  <c r="A190" i="3"/>
  <c r="B190" i="3" s="1"/>
  <c r="A189" i="3"/>
  <c r="B189" i="3" s="1"/>
  <c r="D189" i="3" s="1"/>
  <c r="A188" i="3"/>
  <c r="B188" i="3" s="1"/>
  <c r="A187" i="3"/>
  <c r="B187" i="3" s="1"/>
  <c r="A186" i="3"/>
  <c r="B186" i="3" s="1"/>
  <c r="A185" i="3"/>
  <c r="B185" i="3" s="1"/>
  <c r="D185" i="3" s="1"/>
  <c r="A184" i="3"/>
  <c r="B184" i="3" s="1"/>
  <c r="A183" i="3"/>
  <c r="B183" i="3" s="1"/>
  <c r="A182" i="3"/>
  <c r="B182" i="3" s="1"/>
  <c r="A181" i="3"/>
  <c r="B181" i="3" s="1"/>
  <c r="D181" i="3" s="1"/>
  <c r="A180" i="3"/>
  <c r="B180" i="3" s="1"/>
  <c r="A179" i="3"/>
  <c r="B179" i="3" s="1"/>
  <c r="A178" i="3"/>
  <c r="B178" i="3" s="1"/>
  <c r="A177" i="3"/>
  <c r="B177" i="3" s="1"/>
  <c r="D177" i="3" s="1"/>
  <c r="A176" i="3"/>
  <c r="B176" i="3" s="1"/>
  <c r="A175" i="3"/>
  <c r="B175" i="3" s="1"/>
  <c r="A174" i="3"/>
  <c r="B174" i="3" s="1"/>
  <c r="A173" i="3"/>
  <c r="B173" i="3" s="1"/>
  <c r="D173" i="3" s="1"/>
  <c r="A172" i="3"/>
  <c r="B172" i="3" s="1"/>
  <c r="D172" i="3" s="1"/>
  <c r="A171" i="3"/>
  <c r="B171" i="3" s="1"/>
  <c r="D171" i="3" s="1"/>
  <c r="A170" i="3"/>
  <c r="B170" i="3" s="1"/>
  <c r="A169" i="3"/>
  <c r="B169" i="3" s="1"/>
  <c r="A168" i="3"/>
  <c r="B168" i="3" s="1"/>
  <c r="D168" i="3" s="1"/>
  <c r="A167" i="3"/>
  <c r="B167" i="3" s="1"/>
  <c r="A166" i="3"/>
  <c r="B166" i="3" s="1"/>
  <c r="A165" i="3"/>
  <c r="B165" i="3" s="1"/>
  <c r="A164" i="3"/>
  <c r="B164" i="3" s="1"/>
  <c r="D164" i="3" s="1"/>
  <c r="A163" i="3"/>
  <c r="B163" i="3" s="1"/>
  <c r="D163" i="3" s="1"/>
  <c r="A162" i="3"/>
  <c r="B162" i="3" s="1"/>
  <c r="A161" i="3"/>
  <c r="B161" i="3" s="1"/>
  <c r="A160" i="3"/>
  <c r="B160" i="3" s="1"/>
  <c r="D160" i="3" s="1"/>
  <c r="A159" i="3"/>
  <c r="B159" i="3" s="1"/>
  <c r="A158" i="3"/>
  <c r="B158" i="3" s="1"/>
  <c r="A157" i="3"/>
  <c r="B157" i="3" s="1"/>
  <c r="A156" i="3"/>
  <c r="B156" i="3" s="1"/>
  <c r="D156" i="3" s="1"/>
  <c r="A155" i="3"/>
  <c r="B155" i="3" s="1"/>
  <c r="D155" i="3" s="1"/>
  <c r="A154" i="3"/>
  <c r="B154" i="3" s="1"/>
  <c r="A153" i="3"/>
  <c r="B153" i="3" s="1"/>
  <c r="A152" i="3"/>
  <c r="B152" i="3" s="1"/>
  <c r="D152" i="3" s="1"/>
  <c r="A151" i="3"/>
  <c r="B151" i="3" s="1"/>
  <c r="A150" i="3"/>
  <c r="B150" i="3" s="1"/>
  <c r="A149" i="3"/>
  <c r="B149" i="3" s="1"/>
  <c r="D149" i="3" s="1"/>
  <c r="A148" i="3"/>
  <c r="B148" i="3" s="1"/>
  <c r="D148" i="3" s="1"/>
  <c r="A147" i="3"/>
  <c r="B147" i="3" s="1"/>
  <c r="D147" i="3" s="1"/>
  <c r="A146" i="3"/>
  <c r="B146" i="3" s="1"/>
  <c r="A145" i="3"/>
  <c r="B145" i="3" s="1"/>
  <c r="D145" i="3" s="1"/>
  <c r="A144" i="3"/>
  <c r="B144" i="3" s="1"/>
  <c r="D144" i="3" s="1"/>
  <c r="A143" i="3"/>
  <c r="B143" i="3" s="1"/>
  <c r="D143" i="3" s="1"/>
  <c r="A142" i="3"/>
  <c r="B142" i="3" s="1"/>
  <c r="A141" i="3"/>
  <c r="B141" i="3" s="1"/>
  <c r="D141" i="3" s="1"/>
  <c r="A140" i="3"/>
  <c r="B140" i="3" s="1"/>
  <c r="D140" i="3" s="1"/>
  <c r="A139" i="3"/>
  <c r="B139" i="3" s="1"/>
  <c r="A138" i="3"/>
  <c r="B138" i="3" s="1"/>
  <c r="A137" i="3"/>
  <c r="B137" i="3" s="1"/>
  <c r="D137" i="3" s="1"/>
  <c r="A136" i="3"/>
  <c r="B136" i="3" s="1"/>
  <c r="D136" i="3" s="1"/>
  <c r="A135" i="3"/>
  <c r="B135" i="3" s="1"/>
  <c r="D135" i="3" s="1"/>
  <c r="A134" i="3"/>
  <c r="B134" i="3" s="1"/>
  <c r="A133" i="3"/>
  <c r="B133" i="3" s="1"/>
  <c r="D133" i="3" s="1"/>
  <c r="A132" i="3"/>
  <c r="B132" i="3" s="1"/>
  <c r="D132" i="3" s="1"/>
  <c r="A131" i="3"/>
  <c r="B131" i="3" s="1"/>
  <c r="A130" i="3"/>
  <c r="B130" i="3" s="1"/>
  <c r="A129" i="3"/>
  <c r="B129" i="3" s="1"/>
  <c r="D129" i="3" s="1"/>
  <c r="A128" i="3"/>
  <c r="B128" i="3" s="1"/>
  <c r="D128" i="3" s="1"/>
  <c r="A127" i="3"/>
  <c r="B127" i="3" s="1"/>
  <c r="A126" i="3"/>
  <c r="B126" i="3" s="1"/>
  <c r="A125" i="3"/>
  <c r="B125" i="3" s="1"/>
  <c r="D125" i="3" s="1"/>
  <c r="A124" i="3"/>
  <c r="B124" i="3" s="1"/>
  <c r="D124" i="3" s="1"/>
  <c r="A123" i="3"/>
  <c r="B123" i="3" s="1"/>
  <c r="D123" i="3" s="1"/>
  <c r="A122" i="3"/>
  <c r="B122" i="3" s="1"/>
  <c r="D122" i="3" s="1"/>
  <c r="A121" i="3"/>
  <c r="B121" i="3" s="1"/>
  <c r="D121" i="3" s="1"/>
  <c r="A120" i="3"/>
  <c r="B120" i="3" s="1"/>
  <c r="A119" i="3"/>
  <c r="B119" i="3" s="1"/>
  <c r="A118" i="3"/>
  <c r="B118" i="3" s="1"/>
  <c r="D118" i="3" s="1"/>
  <c r="A117" i="3"/>
  <c r="B117" i="3" s="1"/>
  <c r="D117" i="3" s="1"/>
  <c r="A116" i="3"/>
  <c r="B116" i="3" s="1"/>
  <c r="A115" i="3"/>
  <c r="B115" i="3" s="1"/>
  <c r="A114" i="3"/>
  <c r="B114" i="3" s="1"/>
  <c r="D114" i="3" s="1"/>
  <c r="A113" i="3"/>
  <c r="B113" i="3" s="1"/>
  <c r="D113" i="3" s="1"/>
  <c r="A112" i="3"/>
  <c r="B112" i="3" s="1"/>
  <c r="A111" i="3"/>
  <c r="B111" i="3" s="1"/>
  <c r="A110" i="3"/>
  <c r="B110" i="3" s="1"/>
  <c r="D110" i="3" s="1"/>
  <c r="A109" i="3"/>
  <c r="B109" i="3" s="1"/>
  <c r="D109" i="3" s="1"/>
  <c r="A108" i="3"/>
  <c r="B108" i="3" s="1"/>
  <c r="A107" i="3"/>
  <c r="B107" i="3" s="1"/>
  <c r="A106" i="3"/>
  <c r="B106" i="3" s="1"/>
  <c r="D106" i="3" s="1"/>
  <c r="A105" i="3"/>
  <c r="B105" i="3" s="1"/>
  <c r="D105" i="3" s="1"/>
  <c r="A104" i="3"/>
  <c r="B104" i="3" s="1"/>
  <c r="A103" i="3"/>
  <c r="B103" i="3" s="1"/>
  <c r="A102" i="3"/>
  <c r="B102" i="3" s="1"/>
  <c r="D102" i="3" s="1"/>
  <c r="A101" i="3"/>
  <c r="B101" i="3" s="1"/>
  <c r="D101" i="3" s="1"/>
  <c r="A100" i="3"/>
  <c r="B100" i="3" s="1"/>
  <c r="A99" i="3"/>
  <c r="B99" i="3" s="1"/>
  <c r="A98" i="3"/>
  <c r="B98" i="3" s="1"/>
  <c r="D98" i="3" s="1"/>
  <c r="A97" i="3"/>
  <c r="B97" i="3" s="1"/>
  <c r="D97" i="3" s="1"/>
  <c r="A96" i="3"/>
  <c r="B96" i="3" s="1"/>
  <c r="D96" i="3" s="1"/>
  <c r="A95" i="3"/>
  <c r="B95" i="3" s="1"/>
  <c r="A94" i="3"/>
  <c r="B94" i="3" s="1"/>
  <c r="D94" i="3" s="1"/>
  <c r="A93" i="3"/>
  <c r="B93" i="3" s="1"/>
  <c r="D93" i="3" s="1"/>
  <c r="A92" i="3"/>
  <c r="B92" i="3" s="1"/>
  <c r="D92" i="3" s="1"/>
  <c r="A91" i="3"/>
  <c r="B91" i="3" s="1"/>
  <c r="A90" i="3"/>
  <c r="B90" i="3" s="1"/>
  <c r="D90" i="3" s="1"/>
  <c r="A89" i="3"/>
  <c r="B89" i="3" s="1"/>
  <c r="D89" i="3" s="1"/>
  <c r="A88" i="3"/>
  <c r="B88" i="3" s="1"/>
  <c r="D88" i="3" s="1"/>
  <c r="A87" i="3"/>
  <c r="B87" i="3" s="1"/>
  <c r="A86" i="3"/>
  <c r="B86" i="3" s="1"/>
  <c r="D86" i="3" s="1"/>
  <c r="A85" i="3"/>
  <c r="B85" i="3" s="1"/>
  <c r="D85" i="3" s="1"/>
  <c r="A84" i="3"/>
  <c r="B84" i="3" s="1"/>
  <c r="D84" i="3" s="1"/>
  <c r="A83" i="3"/>
  <c r="B83" i="3" s="1"/>
  <c r="A82" i="3"/>
  <c r="B82" i="3" s="1"/>
  <c r="D82" i="3" s="1"/>
  <c r="A81" i="3"/>
  <c r="B81" i="3" s="1"/>
  <c r="D81" i="3" s="1"/>
  <c r="A80" i="3"/>
  <c r="B80" i="3" s="1"/>
  <c r="D80" i="3" s="1"/>
  <c r="A79" i="3"/>
  <c r="B79" i="3" s="1"/>
  <c r="A78" i="3"/>
  <c r="B78" i="3" s="1"/>
  <c r="D78" i="3" s="1"/>
  <c r="A77" i="3"/>
  <c r="B77" i="3" s="1"/>
  <c r="D77" i="3" s="1"/>
  <c r="A76" i="3"/>
  <c r="B76" i="3" s="1"/>
  <c r="D76" i="3" s="1"/>
  <c r="A75" i="3"/>
  <c r="B75" i="3" s="1"/>
  <c r="A74" i="3"/>
  <c r="B74" i="3" s="1"/>
  <c r="D74" i="3" s="1"/>
  <c r="A73" i="3"/>
  <c r="B73" i="3" s="1"/>
  <c r="D73" i="3" s="1"/>
  <c r="A72" i="3"/>
  <c r="B72" i="3" s="1"/>
  <c r="D72" i="3" s="1"/>
  <c r="A71" i="3"/>
  <c r="B71" i="3" s="1"/>
  <c r="A70" i="3"/>
  <c r="B70" i="3" s="1"/>
  <c r="D70" i="3" s="1"/>
  <c r="A69" i="3"/>
  <c r="B69" i="3" s="1"/>
  <c r="D69" i="3" s="1"/>
  <c r="A68" i="3"/>
  <c r="B68" i="3" s="1"/>
  <c r="D68" i="3" s="1"/>
  <c r="A67" i="3"/>
  <c r="B67" i="3" s="1"/>
  <c r="A66" i="3"/>
  <c r="B66" i="3" s="1"/>
  <c r="D66" i="3" s="1"/>
  <c r="A65" i="3"/>
  <c r="B65" i="3" s="1"/>
  <c r="D65" i="3" s="1"/>
  <c r="A64" i="3"/>
  <c r="B64" i="3" s="1"/>
  <c r="D64" i="3" s="1"/>
  <c r="A63" i="3"/>
  <c r="B63" i="3" s="1"/>
  <c r="A62" i="3"/>
  <c r="B62" i="3" s="1"/>
  <c r="D62" i="3" s="1"/>
  <c r="A61" i="3"/>
  <c r="B61" i="3" s="1"/>
  <c r="D61" i="3" s="1"/>
  <c r="A60" i="3"/>
  <c r="B60" i="3" s="1"/>
  <c r="D60" i="3" s="1"/>
  <c r="A59" i="3"/>
  <c r="B59" i="3" s="1"/>
  <c r="A58" i="3"/>
  <c r="B58" i="3" s="1"/>
  <c r="D58" i="3" s="1"/>
  <c r="A57" i="3"/>
  <c r="B57" i="3" s="1"/>
  <c r="D57" i="3" s="1"/>
  <c r="A56" i="3"/>
  <c r="B56" i="3" s="1"/>
  <c r="D56" i="3" s="1"/>
  <c r="A55" i="3"/>
  <c r="B55" i="3" s="1"/>
  <c r="A54" i="3"/>
  <c r="B54" i="3" s="1"/>
  <c r="D54" i="3" s="1"/>
  <c r="A53" i="3"/>
  <c r="B53" i="3" s="1"/>
  <c r="D53" i="3" s="1"/>
  <c r="A52" i="3"/>
  <c r="B52" i="3" s="1"/>
  <c r="D52" i="3" s="1"/>
  <c r="A51" i="3"/>
  <c r="B51" i="3" s="1"/>
  <c r="A50" i="3"/>
  <c r="B50" i="3" s="1"/>
  <c r="D50" i="3" s="1"/>
  <c r="A49" i="3"/>
  <c r="B49" i="3" s="1"/>
  <c r="D49" i="3" s="1"/>
  <c r="A48" i="3"/>
  <c r="B48" i="3" s="1"/>
  <c r="D48" i="3" s="1"/>
  <c r="A47" i="3"/>
  <c r="B47" i="3" s="1"/>
  <c r="A46" i="3"/>
  <c r="B46" i="3" s="1"/>
  <c r="D46" i="3" s="1"/>
  <c r="A45" i="3"/>
  <c r="B45" i="3" s="1"/>
  <c r="D45" i="3" s="1"/>
  <c r="A44" i="3"/>
  <c r="B44" i="3" s="1"/>
  <c r="D44" i="3" s="1"/>
  <c r="A43" i="3"/>
  <c r="B43" i="3" s="1"/>
  <c r="A42" i="3"/>
  <c r="B42" i="3" s="1"/>
  <c r="D42" i="3" s="1"/>
  <c r="A41" i="3"/>
  <c r="B41" i="3" s="1"/>
  <c r="D41" i="3" s="1"/>
  <c r="A40" i="3"/>
  <c r="B40" i="3" s="1"/>
  <c r="D40" i="3" s="1"/>
  <c r="A39" i="3"/>
  <c r="B39" i="3" s="1"/>
  <c r="A38" i="3"/>
  <c r="B38" i="3" s="1"/>
  <c r="D38" i="3" s="1"/>
  <c r="A37" i="3"/>
  <c r="B37" i="3" s="1"/>
  <c r="D37" i="3" s="1"/>
  <c r="A36" i="3"/>
  <c r="B36" i="3" s="1"/>
  <c r="A35" i="3"/>
  <c r="B35" i="3" s="1"/>
  <c r="D35" i="3" s="1"/>
  <c r="A34" i="3"/>
  <c r="B34" i="3" s="1"/>
  <c r="D34" i="3" s="1"/>
  <c r="A33" i="3"/>
  <c r="B33" i="3" s="1"/>
  <c r="D33" i="3" s="1"/>
  <c r="A32" i="3"/>
  <c r="B32" i="3" s="1"/>
  <c r="A31" i="3"/>
  <c r="B31" i="3" s="1"/>
  <c r="D31" i="3" s="1"/>
  <c r="A30" i="3"/>
  <c r="B30" i="3" s="1"/>
  <c r="D30" i="3" s="1"/>
  <c r="A29" i="3"/>
  <c r="B29" i="3" s="1"/>
  <c r="D29" i="3" s="1"/>
  <c r="A28" i="3"/>
  <c r="B28" i="3" s="1"/>
  <c r="A27" i="3"/>
  <c r="B27" i="3" s="1"/>
  <c r="D27" i="3" s="1"/>
  <c r="A26" i="3"/>
  <c r="B26" i="3" s="1"/>
  <c r="D26" i="3" s="1"/>
  <c r="A25" i="3"/>
  <c r="B25" i="3" s="1"/>
  <c r="D25" i="3" s="1"/>
  <c r="A24" i="3"/>
  <c r="B24" i="3" s="1"/>
  <c r="A23" i="3"/>
  <c r="B23" i="3" s="1"/>
  <c r="D23" i="3" s="1"/>
  <c r="A22" i="3"/>
  <c r="B22" i="3" s="1"/>
  <c r="D22" i="3" s="1"/>
  <c r="A21" i="3"/>
  <c r="B21" i="3" s="1"/>
  <c r="D21" i="3" s="1"/>
  <c r="A20" i="3"/>
  <c r="B20" i="3" s="1"/>
  <c r="A19" i="3"/>
  <c r="B19" i="3" s="1"/>
  <c r="D19" i="3" s="1"/>
  <c r="A18" i="3"/>
  <c r="B18" i="3" s="1"/>
  <c r="D18" i="3" s="1"/>
  <c r="A17" i="3"/>
  <c r="B17" i="3" s="1"/>
  <c r="D17" i="3" s="1"/>
  <c r="A16" i="3"/>
  <c r="B16" i="3" s="1"/>
  <c r="A15" i="3"/>
  <c r="B15" i="3" s="1"/>
  <c r="D15" i="3" s="1"/>
  <c r="A14" i="3"/>
  <c r="B14" i="3" s="1"/>
  <c r="D14" i="3" s="1"/>
  <c r="A13" i="3"/>
  <c r="B13" i="3" s="1"/>
  <c r="D13" i="3" s="1"/>
  <c r="A12" i="3"/>
  <c r="B12" i="3" s="1"/>
  <c r="A11" i="3"/>
  <c r="B11" i="3" s="1"/>
  <c r="A10" i="3"/>
  <c r="B10" i="3" s="1"/>
  <c r="D10" i="3" s="1"/>
  <c r="A9" i="3"/>
  <c r="B9" i="3" s="1"/>
  <c r="D9" i="3" s="1"/>
  <c r="N8" i="3"/>
  <c r="A8" i="3"/>
  <c r="B8" i="3" s="1"/>
  <c r="D8" i="3" s="1"/>
  <c r="F7" i="3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F580" i="3" s="1"/>
  <c r="F581" i="3" s="1"/>
  <c r="F582" i="3" s="1"/>
  <c r="F583" i="3" s="1"/>
  <c r="F584" i="3" s="1"/>
  <c r="F585" i="3" s="1"/>
  <c r="F586" i="3" s="1"/>
  <c r="F587" i="3" s="1"/>
  <c r="F588" i="3" s="1"/>
  <c r="F589" i="3" s="1"/>
  <c r="F590" i="3" s="1"/>
  <c r="F591" i="3" s="1"/>
  <c r="F592" i="3" s="1"/>
  <c r="F593" i="3" s="1"/>
  <c r="F594" i="3" s="1"/>
  <c r="F595" i="3" s="1"/>
  <c r="F596" i="3" s="1"/>
  <c r="F597" i="3" s="1"/>
  <c r="F598" i="3" s="1"/>
  <c r="F599" i="3" s="1"/>
  <c r="F600" i="3" s="1"/>
  <c r="F601" i="3" s="1"/>
  <c r="F602" i="3" s="1"/>
  <c r="F603" i="3" s="1"/>
  <c r="F604" i="3" s="1"/>
  <c r="F605" i="3" s="1"/>
  <c r="F606" i="3" s="1"/>
  <c r="F607" i="3" s="1"/>
  <c r="F608" i="3" s="1"/>
  <c r="F609" i="3" s="1"/>
  <c r="F610" i="3" s="1"/>
  <c r="F611" i="3" s="1"/>
  <c r="F612" i="3" s="1"/>
  <c r="F613" i="3" s="1"/>
  <c r="F614" i="3" s="1"/>
  <c r="F615" i="3" s="1"/>
  <c r="F616" i="3" s="1"/>
  <c r="F617" i="3" s="1"/>
  <c r="F618" i="3" s="1"/>
  <c r="F619" i="3" s="1"/>
  <c r="F620" i="3" s="1"/>
  <c r="F621" i="3" s="1"/>
  <c r="F622" i="3" s="1"/>
  <c r="F623" i="3" s="1"/>
  <c r="F624" i="3" s="1"/>
  <c r="F625" i="3" s="1"/>
  <c r="F626" i="3" s="1"/>
  <c r="F627" i="3" s="1"/>
  <c r="F628" i="3" s="1"/>
  <c r="F629" i="3" s="1"/>
  <c r="F630" i="3" s="1"/>
  <c r="F631" i="3" s="1"/>
  <c r="F632" i="3" s="1"/>
  <c r="F633" i="3" s="1"/>
  <c r="F634" i="3" s="1"/>
  <c r="F635" i="3" s="1"/>
  <c r="F636" i="3" s="1"/>
  <c r="F637" i="3" s="1"/>
  <c r="F638" i="3" s="1"/>
  <c r="F639" i="3" s="1"/>
  <c r="F640" i="3" s="1"/>
  <c r="F641" i="3" s="1"/>
  <c r="F642" i="3" s="1"/>
  <c r="F643" i="3" s="1"/>
  <c r="F644" i="3" s="1"/>
  <c r="F645" i="3" s="1"/>
  <c r="F646" i="3" s="1"/>
  <c r="F647" i="3" s="1"/>
  <c r="F648" i="3" s="1"/>
  <c r="F649" i="3" s="1"/>
  <c r="F650" i="3" s="1"/>
  <c r="F651" i="3" s="1"/>
  <c r="F652" i="3" s="1"/>
  <c r="F653" i="3" s="1"/>
  <c r="F654" i="3" s="1"/>
  <c r="F655" i="3" s="1"/>
  <c r="F656" i="3" s="1"/>
  <c r="F657" i="3" s="1"/>
  <c r="F658" i="3" s="1"/>
  <c r="F659" i="3" s="1"/>
  <c r="F660" i="3" s="1"/>
  <c r="F661" i="3" s="1"/>
  <c r="F662" i="3" s="1"/>
  <c r="F663" i="3" s="1"/>
  <c r="F664" i="3" s="1"/>
  <c r="F665" i="3" s="1"/>
  <c r="F666" i="3" s="1"/>
  <c r="F667" i="3" s="1"/>
  <c r="F668" i="3" s="1"/>
  <c r="F669" i="3" s="1"/>
  <c r="F670" i="3" s="1"/>
  <c r="F671" i="3" s="1"/>
  <c r="F672" i="3" s="1"/>
  <c r="F673" i="3" s="1"/>
  <c r="F674" i="3" s="1"/>
  <c r="F675" i="3" s="1"/>
  <c r="F676" i="3" s="1"/>
  <c r="F677" i="3" s="1"/>
  <c r="F678" i="3" s="1"/>
  <c r="F679" i="3" s="1"/>
  <c r="F680" i="3" s="1"/>
  <c r="F681" i="3" s="1"/>
  <c r="F682" i="3" s="1"/>
  <c r="F683" i="3" s="1"/>
  <c r="F684" i="3" s="1"/>
  <c r="F685" i="3" s="1"/>
  <c r="F686" i="3" s="1"/>
  <c r="F687" i="3" s="1"/>
  <c r="F688" i="3" s="1"/>
  <c r="F689" i="3" s="1"/>
  <c r="F690" i="3" s="1"/>
  <c r="F691" i="3" s="1"/>
  <c r="F692" i="3" s="1"/>
  <c r="F693" i="3" s="1"/>
  <c r="F694" i="3" s="1"/>
  <c r="F695" i="3" s="1"/>
  <c r="F696" i="3" s="1"/>
  <c r="F697" i="3" s="1"/>
  <c r="F698" i="3" s="1"/>
  <c r="F699" i="3" s="1"/>
  <c r="F700" i="3" s="1"/>
  <c r="F701" i="3" s="1"/>
  <c r="F702" i="3" s="1"/>
  <c r="F703" i="3" s="1"/>
  <c r="F704" i="3" s="1"/>
  <c r="F705" i="3" s="1"/>
  <c r="F706" i="3" s="1"/>
  <c r="F707" i="3" s="1"/>
  <c r="F708" i="3" s="1"/>
  <c r="F709" i="3" s="1"/>
  <c r="F710" i="3" s="1"/>
  <c r="F711" i="3" s="1"/>
  <c r="F712" i="3" s="1"/>
  <c r="F713" i="3" s="1"/>
  <c r="F714" i="3" s="1"/>
  <c r="F715" i="3" s="1"/>
  <c r="F716" i="3" s="1"/>
  <c r="F717" i="3" s="1"/>
  <c r="F718" i="3" s="1"/>
  <c r="F719" i="3" s="1"/>
  <c r="F720" i="3" s="1"/>
  <c r="F721" i="3" s="1"/>
  <c r="F722" i="3" s="1"/>
  <c r="F723" i="3" s="1"/>
  <c r="F724" i="3" s="1"/>
  <c r="F725" i="3" s="1"/>
  <c r="F726" i="3" s="1"/>
  <c r="F727" i="3" s="1"/>
  <c r="F728" i="3" s="1"/>
  <c r="F729" i="3" s="1"/>
  <c r="F730" i="3" s="1"/>
  <c r="F731" i="3" s="1"/>
  <c r="F732" i="3" s="1"/>
  <c r="F733" i="3" s="1"/>
  <c r="F734" i="3" s="1"/>
  <c r="F735" i="3" s="1"/>
  <c r="F736" i="3" s="1"/>
  <c r="F737" i="3" s="1"/>
  <c r="F738" i="3" s="1"/>
  <c r="F739" i="3" s="1"/>
  <c r="F740" i="3" s="1"/>
  <c r="F741" i="3" s="1"/>
  <c r="F742" i="3" s="1"/>
  <c r="F743" i="3" s="1"/>
  <c r="F744" i="3" s="1"/>
  <c r="F745" i="3" s="1"/>
  <c r="F746" i="3" s="1"/>
  <c r="F747" i="3" s="1"/>
  <c r="F748" i="3" s="1"/>
  <c r="F749" i="3" s="1"/>
  <c r="F750" i="3" s="1"/>
  <c r="F751" i="3" s="1"/>
  <c r="F752" i="3" s="1"/>
  <c r="F753" i="3" s="1"/>
  <c r="F754" i="3" s="1"/>
  <c r="F755" i="3" s="1"/>
  <c r="F756" i="3" s="1"/>
  <c r="F757" i="3" s="1"/>
  <c r="F758" i="3" s="1"/>
  <c r="F759" i="3" s="1"/>
  <c r="F760" i="3" s="1"/>
  <c r="F761" i="3" s="1"/>
  <c r="F762" i="3" s="1"/>
  <c r="F763" i="3" s="1"/>
  <c r="F764" i="3" s="1"/>
  <c r="F765" i="3" s="1"/>
  <c r="F766" i="3" s="1"/>
  <c r="F767" i="3" s="1"/>
  <c r="F768" i="3" s="1"/>
  <c r="F769" i="3" s="1"/>
  <c r="F770" i="3" s="1"/>
  <c r="F771" i="3" s="1"/>
  <c r="F772" i="3" s="1"/>
  <c r="F773" i="3" s="1"/>
  <c r="F774" i="3" s="1"/>
  <c r="F775" i="3" s="1"/>
  <c r="F776" i="3" s="1"/>
  <c r="F777" i="3" s="1"/>
  <c r="F778" i="3" s="1"/>
  <c r="F779" i="3" s="1"/>
  <c r="F780" i="3" s="1"/>
  <c r="F781" i="3" s="1"/>
  <c r="F782" i="3" s="1"/>
  <c r="F783" i="3" s="1"/>
  <c r="F784" i="3" s="1"/>
  <c r="F785" i="3" s="1"/>
  <c r="F786" i="3" s="1"/>
  <c r="F787" i="3" s="1"/>
  <c r="F788" i="3" s="1"/>
  <c r="F789" i="3" s="1"/>
  <c r="F790" i="3" s="1"/>
  <c r="F791" i="3" s="1"/>
  <c r="F792" i="3" s="1"/>
  <c r="F793" i="3" s="1"/>
  <c r="F794" i="3" s="1"/>
  <c r="F795" i="3" s="1"/>
  <c r="F796" i="3" s="1"/>
  <c r="F797" i="3" s="1"/>
  <c r="F798" i="3" s="1"/>
  <c r="F799" i="3" s="1"/>
  <c r="F800" i="3" s="1"/>
  <c r="F801" i="3" s="1"/>
  <c r="F802" i="3" s="1"/>
  <c r="F803" i="3" s="1"/>
  <c r="F804" i="3" s="1"/>
  <c r="F805" i="3" s="1"/>
  <c r="F806" i="3" s="1"/>
  <c r="F807" i="3" s="1"/>
  <c r="F808" i="3" s="1"/>
  <c r="F809" i="3" s="1"/>
  <c r="F810" i="3" s="1"/>
  <c r="F811" i="3" s="1"/>
  <c r="F812" i="3" s="1"/>
  <c r="F813" i="3" s="1"/>
  <c r="F814" i="3" s="1"/>
  <c r="F815" i="3" s="1"/>
  <c r="F816" i="3" s="1"/>
  <c r="F817" i="3" s="1"/>
  <c r="F818" i="3" s="1"/>
  <c r="F819" i="3" s="1"/>
  <c r="F820" i="3" s="1"/>
  <c r="F821" i="3" s="1"/>
  <c r="F822" i="3" s="1"/>
  <c r="F823" i="3" s="1"/>
  <c r="F824" i="3" s="1"/>
  <c r="F825" i="3" s="1"/>
  <c r="F826" i="3" s="1"/>
  <c r="F827" i="3" s="1"/>
  <c r="F828" i="3" s="1"/>
  <c r="F829" i="3" s="1"/>
  <c r="F830" i="3" s="1"/>
  <c r="F831" i="3" s="1"/>
  <c r="F832" i="3" s="1"/>
  <c r="F833" i="3" s="1"/>
  <c r="F834" i="3" s="1"/>
  <c r="F835" i="3" s="1"/>
  <c r="F836" i="3" s="1"/>
  <c r="F837" i="3" s="1"/>
  <c r="F838" i="3" s="1"/>
  <c r="F839" i="3" s="1"/>
  <c r="F840" i="3" s="1"/>
  <c r="F841" i="3" s="1"/>
  <c r="F842" i="3" s="1"/>
  <c r="F843" i="3" s="1"/>
  <c r="F844" i="3" s="1"/>
  <c r="F845" i="3" s="1"/>
  <c r="F846" i="3" s="1"/>
  <c r="F847" i="3" s="1"/>
  <c r="F848" i="3" s="1"/>
  <c r="F849" i="3" s="1"/>
  <c r="F850" i="3" s="1"/>
  <c r="F851" i="3" s="1"/>
  <c r="F852" i="3" s="1"/>
  <c r="F853" i="3" s="1"/>
  <c r="F854" i="3" s="1"/>
  <c r="F855" i="3" s="1"/>
  <c r="F856" i="3" s="1"/>
  <c r="F857" i="3" s="1"/>
  <c r="F858" i="3" s="1"/>
  <c r="F859" i="3" s="1"/>
  <c r="F860" i="3" s="1"/>
  <c r="F861" i="3" s="1"/>
  <c r="F862" i="3" s="1"/>
  <c r="F863" i="3" s="1"/>
  <c r="F864" i="3" s="1"/>
  <c r="F865" i="3" s="1"/>
  <c r="F866" i="3" s="1"/>
  <c r="F867" i="3" s="1"/>
  <c r="F868" i="3" s="1"/>
  <c r="F869" i="3" s="1"/>
  <c r="F870" i="3" s="1"/>
  <c r="F871" i="3" s="1"/>
  <c r="F872" i="3" s="1"/>
  <c r="F873" i="3" s="1"/>
  <c r="F874" i="3" s="1"/>
  <c r="F875" i="3" s="1"/>
  <c r="F876" i="3" s="1"/>
  <c r="F877" i="3" s="1"/>
  <c r="F878" i="3" s="1"/>
  <c r="F879" i="3" s="1"/>
  <c r="F880" i="3" s="1"/>
  <c r="F881" i="3" s="1"/>
  <c r="F882" i="3" s="1"/>
  <c r="F883" i="3" s="1"/>
  <c r="F884" i="3" s="1"/>
  <c r="F885" i="3" s="1"/>
  <c r="F886" i="3" s="1"/>
  <c r="F887" i="3" s="1"/>
  <c r="F888" i="3" s="1"/>
  <c r="F889" i="3" s="1"/>
  <c r="F890" i="3" s="1"/>
  <c r="F891" i="3" s="1"/>
  <c r="F892" i="3" s="1"/>
  <c r="F893" i="3" s="1"/>
  <c r="F894" i="3" s="1"/>
  <c r="F895" i="3" s="1"/>
  <c r="F896" i="3" s="1"/>
  <c r="F897" i="3" s="1"/>
  <c r="F898" i="3" s="1"/>
  <c r="F899" i="3" s="1"/>
  <c r="F900" i="3" s="1"/>
  <c r="F901" i="3" s="1"/>
  <c r="F902" i="3" s="1"/>
  <c r="F903" i="3" s="1"/>
  <c r="F904" i="3" s="1"/>
  <c r="F905" i="3" s="1"/>
  <c r="F906" i="3" s="1"/>
  <c r="F907" i="3" s="1"/>
  <c r="F908" i="3" s="1"/>
  <c r="F909" i="3" s="1"/>
  <c r="F910" i="3" s="1"/>
  <c r="F911" i="3" s="1"/>
  <c r="F912" i="3" s="1"/>
  <c r="F913" i="3" s="1"/>
  <c r="F914" i="3" s="1"/>
  <c r="F915" i="3" s="1"/>
  <c r="F916" i="3" s="1"/>
  <c r="F917" i="3" s="1"/>
  <c r="F918" i="3" s="1"/>
  <c r="F919" i="3" s="1"/>
  <c r="F920" i="3" s="1"/>
  <c r="F921" i="3" s="1"/>
  <c r="F922" i="3" s="1"/>
  <c r="F923" i="3" s="1"/>
  <c r="F924" i="3" s="1"/>
  <c r="F925" i="3" s="1"/>
  <c r="F926" i="3" s="1"/>
  <c r="F927" i="3" s="1"/>
  <c r="F928" i="3" s="1"/>
  <c r="F929" i="3" s="1"/>
  <c r="F930" i="3" s="1"/>
  <c r="F931" i="3" s="1"/>
  <c r="F932" i="3" s="1"/>
  <c r="F933" i="3" s="1"/>
  <c r="F934" i="3" s="1"/>
  <c r="F935" i="3" s="1"/>
  <c r="F936" i="3" s="1"/>
  <c r="F937" i="3" s="1"/>
  <c r="F938" i="3" s="1"/>
  <c r="F939" i="3" s="1"/>
  <c r="F940" i="3" s="1"/>
  <c r="F941" i="3" s="1"/>
  <c r="F942" i="3" s="1"/>
  <c r="F943" i="3" s="1"/>
  <c r="F944" i="3" s="1"/>
  <c r="F945" i="3" s="1"/>
  <c r="F946" i="3" s="1"/>
  <c r="F947" i="3" s="1"/>
  <c r="F948" i="3" s="1"/>
  <c r="F949" i="3" s="1"/>
  <c r="F950" i="3" s="1"/>
  <c r="F951" i="3" s="1"/>
  <c r="F952" i="3" s="1"/>
  <c r="F953" i="3" s="1"/>
  <c r="F954" i="3" s="1"/>
  <c r="F955" i="3" s="1"/>
  <c r="F956" i="3" s="1"/>
  <c r="F957" i="3" s="1"/>
  <c r="F958" i="3" s="1"/>
  <c r="F959" i="3" s="1"/>
  <c r="F960" i="3" s="1"/>
  <c r="F961" i="3" s="1"/>
  <c r="F962" i="3" s="1"/>
  <c r="F963" i="3" s="1"/>
  <c r="F964" i="3" s="1"/>
  <c r="F965" i="3" s="1"/>
  <c r="F966" i="3" s="1"/>
  <c r="F967" i="3" s="1"/>
  <c r="F968" i="3" s="1"/>
  <c r="F969" i="3" s="1"/>
  <c r="F970" i="3" s="1"/>
  <c r="F971" i="3" s="1"/>
  <c r="F972" i="3" s="1"/>
  <c r="F973" i="3" s="1"/>
  <c r="F974" i="3" s="1"/>
  <c r="F975" i="3" s="1"/>
  <c r="F976" i="3" s="1"/>
  <c r="F977" i="3" s="1"/>
  <c r="F978" i="3" s="1"/>
  <c r="F979" i="3" s="1"/>
  <c r="F980" i="3" s="1"/>
  <c r="F981" i="3" s="1"/>
  <c r="F982" i="3" s="1"/>
  <c r="F983" i="3" s="1"/>
  <c r="F984" i="3" s="1"/>
  <c r="F985" i="3" s="1"/>
  <c r="F986" i="3" s="1"/>
  <c r="F987" i="3" s="1"/>
  <c r="F988" i="3" s="1"/>
  <c r="F989" i="3" s="1"/>
  <c r="F990" i="3" s="1"/>
  <c r="F991" i="3" s="1"/>
  <c r="F992" i="3" s="1"/>
  <c r="F993" i="3" s="1"/>
  <c r="F994" i="3" s="1"/>
  <c r="F995" i="3" s="1"/>
  <c r="F996" i="3" s="1"/>
  <c r="F997" i="3" s="1"/>
  <c r="F998" i="3" s="1"/>
  <c r="F999" i="3" s="1"/>
  <c r="F1000" i="3" s="1"/>
  <c r="F1001" i="3" s="1"/>
  <c r="F1002" i="3" s="1"/>
  <c r="F1003" i="3" s="1"/>
  <c r="F1004" i="3" s="1"/>
  <c r="F1005" i="3" s="1"/>
  <c r="A7" i="3"/>
  <c r="B7" i="3" s="1"/>
  <c r="D7" i="3" s="1"/>
  <c r="J6" i="3"/>
  <c r="A6" i="3"/>
  <c r="B6" i="3" s="1"/>
  <c r="H7" i="3" s="1"/>
  <c r="N4" i="3"/>
  <c r="O2" i="3"/>
  <c r="G135" i="1"/>
  <c r="G134" i="1"/>
  <c r="G133" i="1"/>
  <c r="G132" i="1"/>
  <c r="F132" i="1"/>
  <c r="G131" i="1"/>
  <c r="G130" i="1"/>
  <c r="G129" i="1"/>
  <c r="G128" i="1"/>
  <c r="F128" i="1"/>
  <c r="G127" i="1"/>
  <c r="G126" i="1"/>
  <c r="G125" i="1"/>
  <c r="G124" i="1"/>
  <c r="F124" i="1"/>
  <c r="G123" i="1"/>
  <c r="G122" i="1"/>
  <c r="G121" i="1"/>
  <c r="G120" i="1"/>
  <c r="F120" i="1"/>
  <c r="G119" i="1"/>
  <c r="G118" i="1"/>
  <c r="G117" i="1"/>
  <c r="G116" i="1"/>
  <c r="F116" i="1"/>
  <c r="G115" i="1"/>
  <c r="G114" i="1"/>
  <c r="G113" i="1"/>
  <c r="G112" i="1"/>
  <c r="F112" i="1"/>
  <c r="G111" i="1"/>
  <c r="G110" i="1"/>
  <c r="G109" i="1"/>
  <c r="G108" i="1"/>
  <c r="F108" i="1"/>
  <c r="G107" i="1"/>
  <c r="G106" i="1"/>
  <c r="G105" i="1"/>
  <c r="G104" i="1"/>
  <c r="F104" i="1"/>
  <c r="G103" i="1"/>
  <c r="G102" i="1"/>
  <c r="G101" i="1"/>
  <c r="G100" i="1"/>
  <c r="F100" i="1"/>
  <c r="G99" i="1"/>
  <c r="G98" i="1"/>
  <c r="G97" i="1"/>
  <c r="G96" i="1"/>
  <c r="F96" i="1"/>
  <c r="G95" i="1"/>
  <c r="G94" i="1"/>
  <c r="G93" i="1"/>
  <c r="G92" i="1"/>
  <c r="F92" i="1"/>
  <c r="G91" i="1"/>
  <c r="G90" i="1"/>
  <c r="G89" i="1"/>
  <c r="G88" i="1"/>
  <c r="F88" i="1"/>
  <c r="G87" i="1"/>
  <c r="G86" i="1"/>
  <c r="G85" i="1"/>
  <c r="G84" i="1"/>
  <c r="F84" i="1"/>
  <c r="G83" i="1"/>
  <c r="G82" i="1"/>
  <c r="G81" i="1"/>
  <c r="G80" i="1"/>
  <c r="F80" i="1"/>
  <c r="G79" i="1"/>
  <c r="G78" i="1"/>
  <c r="G77" i="1"/>
  <c r="G76" i="1"/>
  <c r="F76" i="1"/>
  <c r="G75" i="1"/>
  <c r="G74" i="1"/>
  <c r="G73" i="1"/>
  <c r="G72" i="1"/>
  <c r="F72" i="1"/>
  <c r="G71" i="1"/>
  <c r="G70" i="1"/>
  <c r="G69" i="1"/>
  <c r="G68" i="1"/>
  <c r="F68" i="1"/>
  <c r="G67" i="1"/>
  <c r="G66" i="1"/>
  <c r="G65" i="1"/>
  <c r="G64" i="1"/>
  <c r="F64" i="1"/>
  <c r="G63" i="1"/>
  <c r="G62" i="1"/>
  <c r="G61" i="1"/>
  <c r="G60" i="1"/>
  <c r="F60" i="1"/>
  <c r="G59" i="1"/>
  <c r="G58" i="1"/>
  <c r="G57" i="1"/>
  <c r="G56" i="1"/>
  <c r="F56" i="1"/>
  <c r="G55" i="1"/>
  <c r="G54" i="1"/>
  <c r="G53" i="1"/>
  <c r="G52" i="1"/>
  <c r="F52" i="1"/>
  <c r="G51" i="1"/>
  <c r="G50" i="1"/>
  <c r="G49" i="1"/>
  <c r="G48" i="1"/>
  <c r="F48" i="1"/>
  <c r="G47" i="1"/>
  <c r="G46" i="1"/>
  <c r="G45" i="1"/>
  <c r="G44" i="1"/>
  <c r="F44" i="1"/>
  <c r="G43" i="1"/>
  <c r="G42" i="1"/>
  <c r="G41" i="1"/>
  <c r="G40" i="1"/>
  <c r="F40" i="1"/>
  <c r="G39" i="1"/>
  <c r="G38" i="1"/>
  <c r="G37" i="1"/>
  <c r="G36" i="1"/>
  <c r="F36" i="1"/>
  <c r="G35" i="1"/>
  <c r="G34" i="1"/>
  <c r="G33" i="1"/>
  <c r="G32" i="1"/>
  <c r="F32" i="1"/>
  <c r="G31" i="1"/>
  <c r="G30" i="1"/>
  <c r="G29" i="1"/>
  <c r="G28" i="1"/>
  <c r="F28" i="1"/>
  <c r="G27" i="1"/>
  <c r="G26" i="1"/>
  <c r="G25" i="1"/>
  <c r="G24" i="1"/>
  <c r="F24" i="1"/>
  <c r="G23" i="1"/>
  <c r="G22" i="1"/>
  <c r="G21" i="1"/>
  <c r="G20" i="1"/>
  <c r="F20" i="1"/>
  <c r="G19" i="1"/>
  <c r="G18" i="1"/>
  <c r="G17" i="1"/>
  <c r="G16" i="1"/>
  <c r="F16" i="1"/>
  <c r="G15" i="1"/>
  <c r="G14" i="1"/>
  <c r="G13" i="1"/>
  <c r="G12" i="1"/>
  <c r="F12" i="1"/>
  <c r="G11" i="1"/>
  <c r="G10" i="1"/>
  <c r="G9" i="1"/>
  <c r="G8" i="1"/>
  <c r="F8" i="1"/>
  <c r="G7" i="1"/>
  <c r="G6" i="1"/>
  <c r="G5" i="1"/>
  <c r="G4" i="1"/>
  <c r="F4" i="1"/>
  <c r="G3" i="1"/>
  <c r="D2" i="1"/>
  <c r="B6" i="1" a="1"/>
  <c r="B8" i="1" a="1"/>
  <c r="B8" i="1" l="1"/>
  <c r="B6" i="1"/>
  <c r="H8" i="3"/>
  <c r="D20" i="3"/>
  <c r="D138" i="3"/>
  <c r="G7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C863" i="3" s="1"/>
  <c r="C864" i="3" s="1"/>
  <c r="C865" i="3" s="1"/>
  <c r="C866" i="3" s="1"/>
  <c r="C867" i="3" s="1"/>
  <c r="C868" i="3" s="1"/>
  <c r="C869" i="3" s="1"/>
  <c r="C870" i="3" s="1"/>
  <c r="C871" i="3" s="1"/>
  <c r="C872" i="3" s="1"/>
  <c r="C873" i="3" s="1"/>
  <c r="C874" i="3" s="1"/>
  <c r="C875" i="3" s="1"/>
  <c r="C876" i="3" s="1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C920" i="3" s="1"/>
  <c r="C921" i="3" s="1"/>
  <c r="C922" i="3" s="1"/>
  <c r="C923" i="3" s="1"/>
  <c r="C924" i="3" s="1"/>
  <c r="C925" i="3" s="1"/>
  <c r="C926" i="3" s="1"/>
  <c r="C927" i="3" s="1"/>
  <c r="C928" i="3" s="1"/>
  <c r="C929" i="3" s="1"/>
  <c r="C930" i="3" s="1"/>
  <c r="C931" i="3" s="1"/>
  <c r="C932" i="3" s="1"/>
  <c r="C933" i="3" s="1"/>
  <c r="C934" i="3" s="1"/>
  <c r="C935" i="3" s="1"/>
  <c r="C936" i="3" s="1"/>
  <c r="C937" i="3" s="1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C980" i="3" s="1"/>
  <c r="C981" i="3" s="1"/>
  <c r="C982" i="3" s="1"/>
  <c r="C983" i="3" s="1"/>
  <c r="C984" i="3" s="1"/>
  <c r="C985" i="3" s="1"/>
  <c r="C986" i="3" s="1"/>
  <c r="C987" i="3" s="1"/>
  <c r="C988" i="3" s="1"/>
  <c r="C989" i="3" s="1"/>
  <c r="C990" i="3" s="1"/>
  <c r="C991" i="3" s="1"/>
  <c r="C992" i="3" s="1"/>
  <c r="C993" i="3" s="1"/>
  <c r="C994" i="3" s="1"/>
  <c r="C995" i="3" s="1"/>
  <c r="C996" i="3" s="1"/>
  <c r="C997" i="3" s="1"/>
  <c r="C998" i="3" s="1"/>
  <c r="C999" i="3" s="1"/>
  <c r="C1000" i="3" s="1"/>
  <c r="C1001" i="3" s="1"/>
  <c r="C1002" i="3" s="1"/>
  <c r="C1003" i="3" s="1"/>
  <c r="C1004" i="3" s="1"/>
  <c r="C1005" i="3" s="1"/>
  <c r="D6" i="3"/>
  <c r="D12" i="3"/>
  <c r="D28" i="3"/>
  <c r="I7" i="3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I263" i="3" s="1"/>
  <c r="I264" i="3" s="1"/>
  <c r="I265" i="3" s="1"/>
  <c r="I266" i="3" s="1"/>
  <c r="I267" i="3" s="1"/>
  <c r="I268" i="3" s="1"/>
  <c r="I269" i="3" s="1"/>
  <c r="I270" i="3" s="1"/>
  <c r="I271" i="3" s="1"/>
  <c r="I272" i="3" s="1"/>
  <c r="I273" i="3" s="1"/>
  <c r="I274" i="3" s="1"/>
  <c r="I275" i="3" s="1"/>
  <c r="I276" i="3" s="1"/>
  <c r="I277" i="3" s="1"/>
  <c r="I278" i="3" s="1"/>
  <c r="I279" i="3" s="1"/>
  <c r="I280" i="3" s="1"/>
  <c r="I281" i="3" s="1"/>
  <c r="I282" i="3" s="1"/>
  <c r="I283" i="3" s="1"/>
  <c r="I284" i="3" s="1"/>
  <c r="I285" i="3" s="1"/>
  <c r="I286" i="3" s="1"/>
  <c r="I287" i="3" s="1"/>
  <c r="I288" i="3" s="1"/>
  <c r="I289" i="3" s="1"/>
  <c r="I290" i="3" s="1"/>
  <c r="I291" i="3" s="1"/>
  <c r="I292" i="3" s="1"/>
  <c r="I293" i="3" s="1"/>
  <c r="I294" i="3" s="1"/>
  <c r="I295" i="3" s="1"/>
  <c r="I296" i="3" s="1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I314" i="3" s="1"/>
  <c r="I315" i="3" s="1"/>
  <c r="I316" i="3" s="1"/>
  <c r="I317" i="3" s="1"/>
  <c r="I318" i="3" s="1"/>
  <c r="I319" i="3" s="1"/>
  <c r="I320" i="3" s="1"/>
  <c r="I321" i="3" s="1"/>
  <c r="I322" i="3" s="1"/>
  <c r="I323" i="3" s="1"/>
  <c r="I324" i="3" s="1"/>
  <c r="I325" i="3" s="1"/>
  <c r="I326" i="3" s="1"/>
  <c r="I327" i="3" s="1"/>
  <c r="I328" i="3" s="1"/>
  <c r="I329" i="3" s="1"/>
  <c r="I330" i="3" s="1"/>
  <c r="I331" i="3" s="1"/>
  <c r="I332" i="3" s="1"/>
  <c r="I333" i="3" s="1"/>
  <c r="I334" i="3" s="1"/>
  <c r="I335" i="3" s="1"/>
  <c r="I336" i="3" s="1"/>
  <c r="I337" i="3" s="1"/>
  <c r="I338" i="3" s="1"/>
  <c r="I339" i="3" s="1"/>
  <c r="I340" i="3" s="1"/>
  <c r="I341" i="3" s="1"/>
  <c r="I342" i="3" s="1"/>
  <c r="I343" i="3" s="1"/>
  <c r="I344" i="3" s="1"/>
  <c r="I345" i="3" s="1"/>
  <c r="I346" i="3" s="1"/>
  <c r="I347" i="3" s="1"/>
  <c r="I348" i="3" s="1"/>
  <c r="I349" i="3" s="1"/>
  <c r="I350" i="3" s="1"/>
  <c r="I351" i="3" s="1"/>
  <c r="I352" i="3" s="1"/>
  <c r="I353" i="3" s="1"/>
  <c r="I354" i="3" s="1"/>
  <c r="I355" i="3" s="1"/>
  <c r="I356" i="3" s="1"/>
  <c r="I357" i="3" s="1"/>
  <c r="I358" i="3" s="1"/>
  <c r="I359" i="3" s="1"/>
  <c r="I360" i="3" s="1"/>
  <c r="I361" i="3" s="1"/>
  <c r="I362" i="3" s="1"/>
  <c r="I363" i="3" s="1"/>
  <c r="I364" i="3" s="1"/>
  <c r="I365" i="3" s="1"/>
  <c r="I366" i="3" s="1"/>
  <c r="I367" i="3" s="1"/>
  <c r="I368" i="3" s="1"/>
  <c r="I369" i="3" s="1"/>
  <c r="I370" i="3" s="1"/>
  <c r="I371" i="3" s="1"/>
  <c r="I372" i="3" s="1"/>
  <c r="I373" i="3" s="1"/>
  <c r="I374" i="3" s="1"/>
  <c r="I375" i="3" s="1"/>
  <c r="I376" i="3" s="1"/>
  <c r="I377" i="3" s="1"/>
  <c r="I378" i="3" s="1"/>
  <c r="I379" i="3" s="1"/>
  <c r="I380" i="3" s="1"/>
  <c r="I381" i="3" s="1"/>
  <c r="I382" i="3" s="1"/>
  <c r="I383" i="3" s="1"/>
  <c r="I384" i="3" s="1"/>
  <c r="I385" i="3" s="1"/>
  <c r="I386" i="3" s="1"/>
  <c r="I387" i="3" s="1"/>
  <c r="I388" i="3" s="1"/>
  <c r="I389" i="3" s="1"/>
  <c r="I390" i="3" s="1"/>
  <c r="I391" i="3" s="1"/>
  <c r="I392" i="3" s="1"/>
  <c r="I393" i="3" s="1"/>
  <c r="I394" i="3" s="1"/>
  <c r="I395" i="3" s="1"/>
  <c r="I396" i="3" s="1"/>
  <c r="I397" i="3" s="1"/>
  <c r="I398" i="3" s="1"/>
  <c r="I399" i="3" s="1"/>
  <c r="I400" i="3" s="1"/>
  <c r="I401" i="3" s="1"/>
  <c r="I402" i="3" s="1"/>
  <c r="I403" i="3" s="1"/>
  <c r="I404" i="3" s="1"/>
  <c r="I405" i="3" s="1"/>
  <c r="I406" i="3" s="1"/>
  <c r="I407" i="3" s="1"/>
  <c r="I408" i="3" s="1"/>
  <c r="I409" i="3" s="1"/>
  <c r="I410" i="3" s="1"/>
  <c r="I411" i="3" s="1"/>
  <c r="I412" i="3" s="1"/>
  <c r="I413" i="3" s="1"/>
  <c r="I414" i="3" s="1"/>
  <c r="I415" i="3" s="1"/>
  <c r="I416" i="3" s="1"/>
  <c r="I417" i="3" s="1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I433" i="3" s="1"/>
  <c r="I434" i="3" s="1"/>
  <c r="I435" i="3" s="1"/>
  <c r="I436" i="3" s="1"/>
  <c r="I437" i="3" s="1"/>
  <c r="I438" i="3" s="1"/>
  <c r="I439" i="3" s="1"/>
  <c r="I440" i="3" s="1"/>
  <c r="I441" i="3" s="1"/>
  <c r="I442" i="3" s="1"/>
  <c r="I443" i="3" s="1"/>
  <c r="I444" i="3" s="1"/>
  <c r="I445" i="3" s="1"/>
  <c r="I446" i="3" s="1"/>
  <c r="I447" i="3" s="1"/>
  <c r="I448" i="3" s="1"/>
  <c r="I449" i="3" s="1"/>
  <c r="I450" i="3" s="1"/>
  <c r="I451" i="3" s="1"/>
  <c r="I452" i="3" s="1"/>
  <c r="I453" i="3" s="1"/>
  <c r="I454" i="3" s="1"/>
  <c r="I455" i="3" s="1"/>
  <c r="I456" i="3" s="1"/>
  <c r="I457" i="3" s="1"/>
  <c r="I458" i="3" s="1"/>
  <c r="I459" i="3" s="1"/>
  <c r="I460" i="3" s="1"/>
  <c r="I461" i="3" s="1"/>
  <c r="I462" i="3" s="1"/>
  <c r="I463" i="3" s="1"/>
  <c r="I464" i="3" s="1"/>
  <c r="I465" i="3" s="1"/>
  <c r="I466" i="3" s="1"/>
  <c r="I467" i="3" s="1"/>
  <c r="I468" i="3" s="1"/>
  <c r="I469" i="3" s="1"/>
  <c r="I470" i="3" s="1"/>
  <c r="I471" i="3" s="1"/>
  <c r="I472" i="3" s="1"/>
  <c r="I473" i="3" s="1"/>
  <c r="I474" i="3" s="1"/>
  <c r="I475" i="3" s="1"/>
  <c r="I476" i="3" s="1"/>
  <c r="I477" i="3" s="1"/>
  <c r="I478" i="3" s="1"/>
  <c r="I479" i="3" s="1"/>
  <c r="I480" i="3" s="1"/>
  <c r="I481" i="3" s="1"/>
  <c r="I482" i="3" s="1"/>
  <c r="I483" i="3" s="1"/>
  <c r="I484" i="3" s="1"/>
  <c r="I485" i="3" s="1"/>
  <c r="I486" i="3" s="1"/>
  <c r="I487" i="3" s="1"/>
  <c r="I488" i="3" s="1"/>
  <c r="I489" i="3" s="1"/>
  <c r="I490" i="3" s="1"/>
  <c r="I491" i="3" s="1"/>
  <c r="I492" i="3" s="1"/>
  <c r="I493" i="3" s="1"/>
  <c r="I494" i="3" s="1"/>
  <c r="I495" i="3" s="1"/>
  <c r="I496" i="3" s="1"/>
  <c r="I497" i="3" s="1"/>
  <c r="I498" i="3" s="1"/>
  <c r="I499" i="3" s="1"/>
  <c r="I500" i="3" s="1"/>
  <c r="I501" i="3" s="1"/>
  <c r="I502" i="3" s="1"/>
  <c r="I503" i="3" s="1"/>
  <c r="I504" i="3" s="1"/>
  <c r="I505" i="3" s="1"/>
  <c r="I506" i="3" s="1"/>
  <c r="I507" i="3" s="1"/>
  <c r="I508" i="3" s="1"/>
  <c r="I509" i="3" s="1"/>
  <c r="I510" i="3" s="1"/>
  <c r="I511" i="3" s="1"/>
  <c r="I512" i="3" s="1"/>
  <c r="I513" i="3" s="1"/>
  <c r="I514" i="3" s="1"/>
  <c r="I515" i="3" s="1"/>
  <c r="I516" i="3" s="1"/>
  <c r="I517" i="3" s="1"/>
  <c r="I518" i="3" s="1"/>
  <c r="I519" i="3" s="1"/>
  <c r="I520" i="3" s="1"/>
  <c r="I521" i="3" s="1"/>
  <c r="I522" i="3" s="1"/>
  <c r="I523" i="3" s="1"/>
  <c r="I524" i="3" s="1"/>
  <c r="I525" i="3" s="1"/>
  <c r="I526" i="3" s="1"/>
  <c r="I527" i="3" s="1"/>
  <c r="I528" i="3" s="1"/>
  <c r="I529" i="3" s="1"/>
  <c r="I530" i="3" s="1"/>
  <c r="I531" i="3" s="1"/>
  <c r="I532" i="3" s="1"/>
  <c r="I533" i="3" s="1"/>
  <c r="I534" i="3" s="1"/>
  <c r="I535" i="3" s="1"/>
  <c r="I536" i="3" s="1"/>
  <c r="I537" i="3" s="1"/>
  <c r="I538" i="3" s="1"/>
  <c r="I539" i="3" s="1"/>
  <c r="I540" i="3" s="1"/>
  <c r="I541" i="3" s="1"/>
  <c r="I542" i="3" s="1"/>
  <c r="I543" i="3" s="1"/>
  <c r="I544" i="3" s="1"/>
  <c r="I545" i="3" s="1"/>
  <c r="I546" i="3" s="1"/>
  <c r="I547" i="3" s="1"/>
  <c r="I548" i="3" s="1"/>
  <c r="I549" i="3" s="1"/>
  <c r="I550" i="3" s="1"/>
  <c r="I551" i="3" s="1"/>
  <c r="I552" i="3" s="1"/>
  <c r="I553" i="3" s="1"/>
  <c r="I554" i="3" s="1"/>
  <c r="I555" i="3" s="1"/>
  <c r="I556" i="3" s="1"/>
  <c r="I557" i="3" s="1"/>
  <c r="I558" i="3" s="1"/>
  <c r="I559" i="3" s="1"/>
  <c r="I560" i="3" s="1"/>
  <c r="I561" i="3" s="1"/>
  <c r="I562" i="3" s="1"/>
  <c r="I563" i="3" s="1"/>
  <c r="I564" i="3" s="1"/>
  <c r="I565" i="3" s="1"/>
  <c r="I566" i="3" s="1"/>
  <c r="I567" i="3" s="1"/>
  <c r="I568" i="3" s="1"/>
  <c r="I569" i="3" s="1"/>
  <c r="I570" i="3" s="1"/>
  <c r="I571" i="3" s="1"/>
  <c r="I572" i="3" s="1"/>
  <c r="I573" i="3" s="1"/>
  <c r="I574" i="3" s="1"/>
  <c r="I575" i="3" s="1"/>
  <c r="I576" i="3" s="1"/>
  <c r="I577" i="3" s="1"/>
  <c r="I578" i="3" s="1"/>
  <c r="I579" i="3" s="1"/>
  <c r="I580" i="3" s="1"/>
  <c r="I581" i="3" s="1"/>
  <c r="I582" i="3" s="1"/>
  <c r="I583" i="3" s="1"/>
  <c r="I584" i="3" s="1"/>
  <c r="I585" i="3" s="1"/>
  <c r="I586" i="3" s="1"/>
  <c r="I587" i="3" s="1"/>
  <c r="I588" i="3" s="1"/>
  <c r="I589" i="3" s="1"/>
  <c r="I590" i="3" s="1"/>
  <c r="I591" i="3" s="1"/>
  <c r="I592" i="3" s="1"/>
  <c r="I593" i="3" s="1"/>
  <c r="I594" i="3" s="1"/>
  <c r="I595" i="3" s="1"/>
  <c r="I596" i="3" s="1"/>
  <c r="I597" i="3" s="1"/>
  <c r="I598" i="3" s="1"/>
  <c r="I599" i="3" s="1"/>
  <c r="I600" i="3" s="1"/>
  <c r="I601" i="3" s="1"/>
  <c r="I602" i="3" s="1"/>
  <c r="I603" i="3" s="1"/>
  <c r="I604" i="3" s="1"/>
  <c r="I605" i="3" s="1"/>
  <c r="I606" i="3" s="1"/>
  <c r="I607" i="3" s="1"/>
  <c r="I608" i="3" s="1"/>
  <c r="I609" i="3" s="1"/>
  <c r="I610" i="3" s="1"/>
  <c r="I611" i="3" s="1"/>
  <c r="I612" i="3" s="1"/>
  <c r="I613" i="3" s="1"/>
  <c r="I614" i="3" s="1"/>
  <c r="I615" i="3" s="1"/>
  <c r="I616" i="3" s="1"/>
  <c r="I617" i="3" s="1"/>
  <c r="I618" i="3" s="1"/>
  <c r="I619" i="3" s="1"/>
  <c r="I620" i="3" s="1"/>
  <c r="I621" i="3" s="1"/>
  <c r="I622" i="3" s="1"/>
  <c r="I623" i="3" s="1"/>
  <c r="I624" i="3" s="1"/>
  <c r="I625" i="3" s="1"/>
  <c r="I626" i="3" s="1"/>
  <c r="I627" i="3" s="1"/>
  <c r="I628" i="3" s="1"/>
  <c r="I629" i="3" s="1"/>
  <c r="I630" i="3" s="1"/>
  <c r="I631" i="3" s="1"/>
  <c r="I632" i="3" s="1"/>
  <c r="I633" i="3" s="1"/>
  <c r="I634" i="3" s="1"/>
  <c r="I635" i="3" s="1"/>
  <c r="I636" i="3" s="1"/>
  <c r="I637" i="3" s="1"/>
  <c r="I638" i="3" s="1"/>
  <c r="I639" i="3" s="1"/>
  <c r="I640" i="3" s="1"/>
  <c r="I641" i="3" s="1"/>
  <c r="I642" i="3" s="1"/>
  <c r="I643" i="3" s="1"/>
  <c r="I644" i="3" s="1"/>
  <c r="I645" i="3" s="1"/>
  <c r="I646" i="3" s="1"/>
  <c r="I647" i="3" s="1"/>
  <c r="I648" i="3" s="1"/>
  <c r="I649" i="3" s="1"/>
  <c r="I650" i="3" s="1"/>
  <c r="I651" i="3" s="1"/>
  <c r="I652" i="3" s="1"/>
  <c r="I653" i="3" s="1"/>
  <c r="I654" i="3" s="1"/>
  <c r="I655" i="3" s="1"/>
  <c r="I656" i="3" s="1"/>
  <c r="I657" i="3" s="1"/>
  <c r="I658" i="3" s="1"/>
  <c r="I659" i="3" s="1"/>
  <c r="I660" i="3" s="1"/>
  <c r="I661" i="3" s="1"/>
  <c r="I662" i="3" s="1"/>
  <c r="I663" i="3" s="1"/>
  <c r="I664" i="3" s="1"/>
  <c r="I665" i="3" s="1"/>
  <c r="I666" i="3" s="1"/>
  <c r="I667" i="3" s="1"/>
  <c r="I668" i="3" s="1"/>
  <c r="I669" i="3" s="1"/>
  <c r="I670" i="3" s="1"/>
  <c r="I671" i="3" s="1"/>
  <c r="I672" i="3" s="1"/>
  <c r="I673" i="3" s="1"/>
  <c r="I674" i="3" s="1"/>
  <c r="I675" i="3" s="1"/>
  <c r="I676" i="3" s="1"/>
  <c r="I677" i="3" s="1"/>
  <c r="I678" i="3" s="1"/>
  <c r="I679" i="3" s="1"/>
  <c r="I680" i="3" s="1"/>
  <c r="I681" i="3" s="1"/>
  <c r="I682" i="3" s="1"/>
  <c r="I683" i="3" s="1"/>
  <c r="I684" i="3" s="1"/>
  <c r="I685" i="3" s="1"/>
  <c r="I686" i="3" s="1"/>
  <c r="I687" i="3" s="1"/>
  <c r="I688" i="3" s="1"/>
  <c r="I689" i="3" s="1"/>
  <c r="I690" i="3" s="1"/>
  <c r="I691" i="3" s="1"/>
  <c r="I692" i="3" s="1"/>
  <c r="I693" i="3" s="1"/>
  <c r="I694" i="3" s="1"/>
  <c r="I695" i="3" s="1"/>
  <c r="I696" i="3" s="1"/>
  <c r="I697" i="3" s="1"/>
  <c r="I698" i="3" s="1"/>
  <c r="I699" i="3" s="1"/>
  <c r="I700" i="3" s="1"/>
  <c r="I701" i="3" s="1"/>
  <c r="I702" i="3" s="1"/>
  <c r="I703" i="3" s="1"/>
  <c r="I704" i="3" s="1"/>
  <c r="I705" i="3" s="1"/>
  <c r="I706" i="3" s="1"/>
  <c r="I707" i="3" s="1"/>
  <c r="I708" i="3" s="1"/>
  <c r="I709" i="3" s="1"/>
  <c r="I710" i="3" s="1"/>
  <c r="I711" i="3" s="1"/>
  <c r="I712" i="3" s="1"/>
  <c r="I713" i="3" s="1"/>
  <c r="I714" i="3" s="1"/>
  <c r="I715" i="3" s="1"/>
  <c r="I716" i="3" s="1"/>
  <c r="I717" i="3" s="1"/>
  <c r="I718" i="3" s="1"/>
  <c r="I719" i="3" s="1"/>
  <c r="I720" i="3" s="1"/>
  <c r="I721" i="3" s="1"/>
  <c r="I722" i="3" s="1"/>
  <c r="I723" i="3" s="1"/>
  <c r="I724" i="3" s="1"/>
  <c r="I725" i="3" s="1"/>
  <c r="I726" i="3" s="1"/>
  <c r="I727" i="3" s="1"/>
  <c r="I728" i="3" s="1"/>
  <c r="I729" i="3" s="1"/>
  <c r="I730" i="3" s="1"/>
  <c r="I731" i="3" s="1"/>
  <c r="I732" i="3" s="1"/>
  <c r="I733" i="3" s="1"/>
  <c r="I734" i="3" s="1"/>
  <c r="I735" i="3" s="1"/>
  <c r="I736" i="3" s="1"/>
  <c r="I737" i="3" s="1"/>
  <c r="I738" i="3" s="1"/>
  <c r="I739" i="3" s="1"/>
  <c r="I740" i="3" s="1"/>
  <c r="I741" i="3" s="1"/>
  <c r="I742" i="3" s="1"/>
  <c r="I743" i="3" s="1"/>
  <c r="I744" i="3" s="1"/>
  <c r="I745" i="3" s="1"/>
  <c r="I746" i="3" s="1"/>
  <c r="I747" i="3" s="1"/>
  <c r="I748" i="3" s="1"/>
  <c r="I749" i="3" s="1"/>
  <c r="I750" i="3" s="1"/>
  <c r="I751" i="3" s="1"/>
  <c r="I752" i="3" s="1"/>
  <c r="I753" i="3" s="1"/>
  <c r="I754" i="3" s="1"/>
  <c r="I755" i="3" s="1"/>
  <c r="I756" i="3" s="1"/>
  <c r="I757" i="3" s="1"/>
  <c r="I758" i="3" s="1"/>
  <c r="I759" i="3" s="1"/>
  <c r="I760" i="3" s="1"/>
  <c r="I761" i="3" s="1"/>
  <c r="I762" i="3" s="1"/>
  <c r="I763" i="3" s="1"/>
  <c r="I764" i="3" s="1"/>
  <c r="I765" i="3" s="1"/>
  <c r="I766" i="3" s="1"/>
  <c r="I767" i="3" s="1"/>
  <c r="I768" i="3" s="1"/>
  <c r="I769" i="3" s="1"/>
  <c r="I770" i="3" s="1"/>
  <c r="I771" i="3" s="1"/>
  <c r="I772" i="3" s="1"/>
  <c r="I773" i="3" s="1"/>
  <c r="I774" i="3" s="1"/>
  <c r="I775" i="3" s="1"/>
  <c r="I776" i="3" s="1"/>
  <c r="I777" i="3" s="1"/>
  <c r="I778" i="3" s="1"/>
  <c r="I779" i="3" s="1"/>
  <c r="I780" i="3" s="1"/>
  <c r="I781" i="3" s="1"/>
  <c r="I782" i="3" s="1"/>
  <c r="I783" i="3" s="1"/>
  <c r="I784" i="3" s="1"/>
  <c r="I785" i="3" s="1"/>
  <c r="I786" i="3" s="1"/>
  <c r="I787" i="3" s="1"/>
  <c r="I788" i="3" s="1"/>
  <c r="I789" i="3" s="1"/>
  <c r="I790" i="3" s="1"/>
  <c r="I791" i="3" s="1"/>
  <c r="I792" i="3" s="1"/>
  <c r="I793" i="3" s="1"/>
  <c r="I794" i="3" s="1"/>
  <c r="I795" i="3" s="1"/>
  <c r="I796" i="3" s="1"/>
  <c r="I797" i="3" s="1"/>
  <c r="I798" i="3" s="1"/>
  <c r="I799" i="3" s="1"/>
  <c r="I800" i="3" s="1"/>
  <c r="I801" i="3" s="1"/>
  <c r="I802" i="3" s="1"/>
  <c r="I803" i="3" s="1"/>
  <c r="I804" i="3" s="1"/>
  <c r="I805" i="3" s="1"/>
  <c r="I806" i="3" s="1"/>
  <c r="I807" i="3" s="1"/>
  <c r="I808" i="3" s="1"/>
  <c r="I809" i="3" s="1"/>
  <c r="I810" i="3" s="1"/>
  <c r="I811" i="3" s="1"/>
  <c r="I812" i="3" s="1"/>
  <c r="I813" i="3" s="1"/>
  <c r="I814" i="3" s="1"/>
  <c r="I815" i="3" s="1"/>
  <c r="I816" i="3" s="1"/>
  <c r="I817" i="3" s="1"/>
  <c r="I818" i="3" s="1"/>
  <c r="I819" i="3" s="1"/>
  <c r="I820" i="3" s="1"/>
  <c r="I821" i="3" s="1"/>
  <c r="I822" i="3" s="1"/>
  <c r="I823" i="3" s="1"/>
  <c r="I824" i="3" s="1"/>
  <c r="I825" i="3" s="1"/>
  <c r="I826" i="3" s="1"/>
  <c r="I827" i="3" s="1"/>
  <c r="I828" i="3" s="1"/>
  <c r="I829" i="3" s="1"/>
  <c r="I830" i="3" s="1"/>
  <c r="I831" i="3" s="1"/>
  <c r="I832" i="3" s="1"/>
  <c r="I833" i="3" s="1"/>
  <c r="I834" i="3" s="1"/>
  <c r="I835" i="3" s="1"/>
  <c r="I836" i="3" s="1"/>
  <c r="I837" i="3" s="1"/>
  <c r="I838" i="3" s="1"/>
  <c r="I839" i="3" s="1"/>
  <c r="I840" i="3" s="1"/>
  <c r="I841" i="3" s="1"/>
  <c r="I842" i="3" s="1"/>
  <c r="I843" i="3" s="1"/>
  <c r="I844" i="3" s="1"/>
  <c r="I845" i="3" s="1"/>
  <c r="I846" i="3" s="1"/>
  <c r="I847" i="3" s="1"/>
  <c r="I848" i="3" s="1"/>
  <c r="I849" i="3" s="1"/>
  <c r="I850" i="3" s="1"/>
  <c r="I851" i="3" s="1"/>
  <c r="I852" i="3" s="1"/>
  <c r="I853" i="3" s="1"/>
  <c r="I854" i="3" s="1"/>
  <c r="I855" i="3" s="1"/>
  <c r="I856" i="3" s="1"/>
  <c r="I857" i="3" s="1"/>
  <c r="I858" i="3" s="1"/>
  <c r="I859" i="3" s="1"/>
  <c r="I860" i="3" s="1"/>
  <c r="I861" i="3" s="1"/>
  <c r="I862" i="3" s="1"/>
  <c r="I863" i="3" s="1"/>
  <c r="I864" i="3" s="1"/>
  <c r="I865" i="3" s="1"/>
  <c r="I866" i="3" s="1"/>
  <c r="I867" i="3" s="1"/>
  <c r="I868" i="3" s="1"/>
  <c r="I869" i="3" s="1"/>
  <c r="I870" i="3" s="1"/>
  <c r="I871" i="3" s="1"/>
  <c r="I872" i="3" s="1"/>
  <c r="I873" i="3" s="1"/>
  <c r="I874" i="3" s="1"/>
  <c r="I875" i="3" s="1"/>
  <c r="I876" i="3" s="1"/>
  <c r="I877" i="3" s="1"/>
  <c r="I878" i="3" s="1"/>
  <c r="I879" i="3" s="1"/>
  <c r="I880" i="3" s="1"/>
  <c r="I881" i="3" s="1"/>
  <c r="I882" i="3" s="1"/>
  <c r="I883" i="3" s="1"/>
  <c r="I884" i="3" s="1"/>
  <c r="I885" i="3" s="1"/>
  <c r="I886" i="3" s="1"/>
  <c r="I887" i="3" s="1"/>
  <c r="I888" i="3" s="1"/>
  <c r="I889" i="3" s="1"/>
  <c r="I890" i="3" s="1"/>
  <c r="I891" i="3" s="1"/>
  <c r="I892" i="3" s="1"/>
  <c r="I893" i="3" s="1"/>
  <c r="I894" i="3" s="1"/>
  <c r="I895" i="3" s="1"/>
  <c r="I896" i="3" s="1"/>
  <c r="I897" i="3" s="1"/>
  <c r="I898" i="3" s="1"/>
  <c r="I899" i="3" s="1"/>
  <c r="I900" i="3" s="1"/>
  <c r="I901" i="3" s="1"/>
  <c r="I902" i="3" s="1"/>
  <c r="I903" i="3" s="1"/>
  <c r="I904" i="3" s="1"/>
  <c r="I905" i="3" s="1"/>
  <c r="I906" i="3" s="1"/>
  <c r="I907" i="3" s="1"/>
  <c r="I908" i="3" s="1"/>
  <c r="I909" i="3" s="1"/>
  <c r="I910" i="3" s="1"/>
  <c r="I911" i="3" s="1"/>
  <c r="I912" i="3" s="1"/>
  <c r="I913" i="3" s="1"/>
  <c r="I914" i="3" s="1"/>
  <c r="I915" i="3" s="1"/>
  <c r="I916" i="3" s="1"/>
  <c r="I917" i="3" s="1"/>
  <c r="I918" i="3" s="1"/>
  <c r="I919" i="3" s="1"/>
  <c r="I920" i="3" s="1"/>
  <c r="I921" i="3" s="1"/>
  <c r="I922" i="3" s="1"/>
  <c r="I923" i="3" s="1"/>
  <c r="I924" i="3" s="1"/>
  <c r="I925" i="3" s="1"/>
  <c r="I926" i="3" s="1"/>
  <c r="I927" i="3" s="1"/>
  <c r="I928" i="3" s="1"/>
  <c r="I929" i="3" s="1"/>
  <c r="I930" i="3" s="1"/>
  <c r="I931" i="3" s="1"/>
  <c r="I932" i="3" s="1"/>
  <c r="I933" i="3" s="1"/>
  <c r="I934" i="3" s="1"/>
  <c r="I935" i="3" s="1"/>
  <c r="I936" i="3" s="1"/>
  <c r="I937" i="3" s="1"/>
  <c r="I938" i="3" s="1"/>
  <c r="I939" i="3" s="1"/>
  <c r="I940" i="3" s="1"/>
  <c r="I941" i="3" s="1"/>
  <c r="I942" i="3" s="1"/>
  <c r="I943" i="3" s="1"/>
  <c r="I944" i="3" s="1"/>
  <c r="I945" i="3" s="1"/>
  <c r="I946" i="3" s="1"/>
  <c r="I947" i="3" s="1"/>
  <c r="I948" i="3" s="1"/>
  <c r="I949" i="3" s="1"/>
  <c r="I950" i="3" s="1"/>
  <c r="I951" i="3" s="1"/>
  <c r="I952" i="3" s="1"/>
  <c r="I953" i="3" s="1"/>
  <c r="I954" i="3" s="1"/>
  <c r="I955" i="3" s="1"/>
  <c r="I956" i="3" s="1"/>
  <c r="I957" i="3" s="1"/>
  <c r="I958" i="3" s="1"/>
  <c r="I959" i="3" s="1"/>
  <c r="I960" i="3" s="1"/>
  <c r="I961" i="3" s="1"/>
  <c r="I962" i="3" s="1"/>
  <c r="I963" i="3" s="1"/>
  <c r="I964" i="3" s="1"/>
  <c r="I965" i="3" s="1"/>
  <c r="I966" i="3" s="1"/>
  <c r="I967" i="3" s="1"/>
  <c r="I968" i="3" s="1"/>
  <c r="I969" i="3" s="1"/>
  <c r="I970" i="3" s="1"/>
  <c r="I971" i="3" s="1"/>
  <c r="I972" i="3" s="1"/>
  <c r="I973" i="3" s="1"/>
  <c r="I974" i="3" s="1"/>
  <c r="I975" i="3" s="1"/>
  <c r="I976" i="3" s="1"/>
  <c r="I977" i="3" s="1"/>
  <c r="I978" i="3" s="1"/>
  <c r="I979" i="3" s="1"/>
  <c r="I980" i="3" s="1"/>
  <c r="I981" i="3" s="1"/>
  <c r="I982" i="3" s="1"/>
  <c r="I983" i="3" s="1"/>
  <c r="I984" i="3" s="1"/>
  <c r="I985" i="3" s="1"/>
  <c r="I986" i="3" s="1"/>
  <c r="I987" i="3" s="1"/>
  <c r="I988" i="3" s="1"/>
  <c r="I989" i="3" s="1"/>
  <c r="I990" i="3" s="1"/>
  <c r="I991" i="3" s="1"/>
  <c r="I992" i="3" s="1"/>
  <c r="I993" i="3" s="1"/>
  <c r="I994" i="3" s="1"/>
  <c r="I995" i="3" s="1"/>
  <c r="I996" i="3" s="1"/>
  <c r="I997" i="3" s="1"/>
  <c r="I998" i="3" s="1"/>
  <c r="I999" i="3" s="1"/>
  <c r="I1000" i="3" s="1"/>
  <c r="I1001" i="3" s="1"/>
  <c r="I1002" i="3" s="1"/>
  <c r="I1003" i="3" s="1"/>
  <c r="I1004" i="3" s="1"/>
  <c r="I1005" i="3" s="1"/>
  <c r="D11" i="3"/>
  <c r="D43" i="3"/>
  <c r="D51" i="3"/>
  <c r="D55" i="3"/>
  <c r="D59" i="3"/>
  <c r="D63" i="3"/>
  <c r="D67" i="3"/>
  <c r="D71" i="3"/>
  <c r="D75" i="3"/>
  <c r="D79" i="3"/>
  <c r="D83" i="3"/>
  <c r="D87" i="3"/>
  <c r="D91" i="3"/>
  <c r="D95" i="3"/>
  <c r="D99" i="3"/>
  <c r="D104" i="3"/>
  <c r="D107" i="3"/>
  <c r="D112" i="3"/>
  <c r="D115" i="3"/>
  <c r="D120" i="3"/>
  <c r="D16" i="3"/>
  <c r="D32" i="3"/>
  <c r="D39" i="3"/>
  <c r="D47" i="3"/>
  <c r="D126" i="3"/>
  <c r="D24" i="3"/>
  <c r="D36" i="3"/>
  <c r="D100" i="3"/>
  <c r="D103" i="3"/>
  <c r="D108" i="3"/>
  <c r="D111" i="3"/>
  <c r="D116" i="3"/>
  <c r="D119" i="3"/>
  <c r="D146" i="3"/>
  <c r="D150" i="3"/>
  <c r="D130" i="3"/>
  <c r="D154" i="3"/>
  <c r="D162" i="3"/>
  <c r="D175" i="3"/>
  <c r="D182" i="3"/>
  <c r="D184" i="3"/>
  <c r="D191" i="3"/>
  <c r="D198" i="3"/>
  <c r="D200" i="3"/>
  <c r="D207" i="3"/>
  <c r="D215" i="3"/>
  <c r="D222" i="3"/>
  <c r="D224" i="3"/>
  <c r="D230" i="3"/>
  <c r="D239" i="3"/>
  <c r="D246" i="3"/>
  <c r="D255" i="3"/>
  <c r="D262" i="3"/>
  <c r="D271" i="3"/>
  <c r="D131" i="3"/>
  <c r="D153" i="3"/>
  <c r="D158" i="3"/>
  <c r="D159" i="3"/>
  <c r="D161" i="3"/>
  <c r="D166" i="3"/>
  <c r="D167" i="3"/>
  <c r="D179" i="3"/>
  <c r="D186" i="3"/>
  <c r="D188" i="3"/>
  <c r="D194" i="3"/>
  <c r="D202" i="3"/>
  <c r="D204" i="3"/>
  <c r="D210" i="3"/>
  <c r="D212" i="3"/>
  <c r="D219" i="3"/>
  <c r="D226" i="3"/>
  <c r="D235" i="3"/>
  <c r="D242" i="3"/>
  <c r="D251" i="3"/>
  <c r="D258" i="3"/>
  <c r="D267" i="3"/>
  <c r="D274" i="3"/>
  <c r="D283" i="3"/>
  <c r="D287" i="3"/>
  <c r="D299" i="3"/>
  <c r="D303" i="3"/>
  <c r="D127" i="3"/>
  <c r="D139" i="3"/>
  <c r="D151" i="3"/>
  <c r="D157" i="3"/>
  <c r="D165" i="3"/>
  <c r="D170" i="3"/>
  <c r="D174" i="3"/>
  <c r="D176" i="3"/>
  <c r="D183" i="3"/>
  <c r="D190" i="3"/>
  <c r="D199" i="3"/>
  <c r="D206" i="3"/>
  <c r="D214" i="3"/>
  <c r="D216" i="3"/>
  <c r="D223" i="3"/>
  <c r="D231" i="3"/>
  <c r="D238" i="3"/>
  <c r="D247" i="3"/>
  <c r="D254" i="3"/>
  <c r="D263" i="3"/>
  <c r="D270" i="3"/>
  <c r="D311" i="3"/>
  <c r="D134" i="3"/>
  <c r="D142" i="3"/>
  <c r="D169" i="3"/>
  <c r="D178" i="3"/>
  <c r="D180" i="3"/>
  <c r="D187" i="3"/>
  <c r="D195" i="3"/>
  <c r="D203" i="3"/>
  <c r="D211" i="3"/>
  <c r="D218" i="3"/>
  <c r="D220" i="3"/>
  <c r="D227" i="3"/>
  <c r="D234" i="3"/>
  <c r="D243" i="3"/>
  <c r="D250" i="3"/>
  <c r="D259" i="3"/>
  <c r="D266" i="3"/>
  <c r="D291" i="3"/>
  <c r="D307" i="3"/>
  <c r="D315" i="3"/>
  <c r="D323" i="3"/>
  <c r="D326" i="3"/>
  <c r="D339" i="3"/>
  <c r="D342" i="3"/>
  <c r="D355" i="3"/>
  <c r="D358" i="3"/>
  <c r="D371" i="3"/>
  <c r="D374" i="3"/>
  <c r="D387" i="3"/>
  <c r="D396" i="3"/>
  <c r="D403" i="3"/>
  <c r="D405" i="3"/>
  <c r="D412" i="3"/>
  <c r="D419" i="3"/>
  <c r="D421" i="3"/>
  <c r="D428" i="3"/>
  <c r="D435" i="3"/>
  <c r="D437" i="3"/>
  <c r="D275" i="3"/>
  <c r="D292" i="3"/>
  <c r="D308" i="3"/>
  <c r="D316" i="3"/>
  <c r="D319" i="3"/>
  <c r="D320" i="3"/>
  <c r="D322" i="3"/>
  <c r="D335" i="3"/>
  <c r="D336" i="3"/>
  <c r="D338" i="3"/>
  <c r="D351" i="3"/>
  <c r="D352" i="3"/>
  <c r="D354" i="3"/>
  <c r="D367" i="3"/>
  <c r="D368" i="3"/>
  <c r="D370" i="3"/>
  <c r="D383" i="3"/>
  <c r="D384" i="3"/>
  <c r="D386" i="3"/>
  <c r="D391" i="3"/>
  <c r="D393" i="3"/>
  <c r="D400" i="3"/>
  <c r="D407" i="3"/>
  <c r="D409" i="3"/>
  <c r="D416" i="3"/>
  <c r="D423" i="3"/>
  <c r="D425" i="3"/>
  <c r="D432" i="3"/>
  <c r="D288" i="3"/>
  <c r="D304" i="3"/>
  <c r="D331" i="3"/>
  <c r="D332" i="3"/>
  <c r="D334" i="3"/>
  <c r="D347" i="3"/>
  <c r="D348" i="3"/>
  <c r="D350" i="3"/>
  <c r="D363" i="3"/>
  <c r="D364" i="3"/>
  <c r="D366" i="3"/>
  <c r="D379" i="3"/>
  <c r="D380" i="3"/>
  <c r="D382" i="3"/>
  <c r="D395" i="3"/>
  <c r="D397" i="3"/>
  <c r="D404" i="3"/>
  <c r="D411" i="3"/>
  <c r="D413" i="3"/>
  <c r="D420" i="3"/>
  <c r="D427" i="3"/>
  <c r="D429" i="3"/>
  <c r="D436" i="3"/>
  <c r="D279" i="3"/>
  <c r="D295" i="3"/>
  <c r="D327" i="3"/>
  <c r="D330" i="3"/>
  <c r="D343" i="3"/>
  <c r="D346" i="3"/>
  <c r="D359" i="3"/>
  <c r="D362" i="3"/>
  <c r="D375" i="3"/>
  <c r="D376" i="3"/>
  <c r="D378" i="3"/>
  <c r="D392" i="3"/>
  <c r="D399" i="3"/>
  <c r="D401" i="3"/>
  <c r="D408" i="3"/>
  <c r="D415" i="3"/>
  <c r="D417" i="3"/>
  <c r="D424" i="3"/>
  <c r="D431" i="3"/>
  <c r="D433" i="3"/>
  <c r="D390" i="3"/>
  <c r="D394" i="3"/>
  <c r="D398" i="3"/>
  <c r="D402" i="3"/>
  <c r="D406" i="3"/>
  <c r="D410" i="3"/>
  <c r="D414" i="3"/>
  <c r="D418" i="3"/>
  <c r="D422" i="3"/>
  <c r="D426" i="3"/>
  <c r="D430" i="3"/>
  <c r="D434" i="3"/>
  <c r="D439" i="3"/>
  <c r="D442" i="3"/>
  <c r="D600" i="3"/>
  <c r="D612" i="3"/>
  <c r="D621" i="3"/>
  <c r="D625" i="3"/>
  <c r="D641" i="3"/>
  <c r="D649" i="3"/>
  <c r="D438" i="3"/>
  <c r="D598" i="3"/>
  <c r="D605" i="3"/>
  <c r="D623" i="3"/>
  <c r="D638" i="3"/>
  <c r="D653" i="3"/>
  <c r="D447" i="3"/>
  <c r="D451" i="3"/>
  <c r="D455" i="3"/>
  <c r="D459" i="3"/>
  <c r="D463" i="3"/>
  <c r="D467" i="3"/>
  <c r="D471" i="3"/>
  <c r="D475" i="3"/>
  <c r="D479" i="3"/>
  <c r="D483" i="3"/>
  <c r="D487" i="3"/>
  <c r="D491" i="3"/>
  <c r="D495" i="3"/>
  <c r="D499" i="3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2" i="3"/>
  <c r="D609" i="3"/>
  <c r="D617" i="3"/>
  <c r="D629" i="3"/>
  <c r="D633" i="3"/>
  <c r="D644" i="3"/>
  <c r="D443" i="3"/>
  <c r="D444" i="3"/>
  <c r="D446" i="3"/>
  <c r="D450" i="3"/>
  <c r="D454" i="3"/>
  <c r="D458" i="3"/>
  <c r="D462" i="3"/>
  <c r="D466" i="3"/>
  <c r="D470" i="3"/>
  <c r="D474" i="3"/>
  <c r="D478" i="3"/>
  <c r="D482" i="3"/>
  <c r="D486" i="3"/>
  <c r="D490" i="3"/>
  <c r="D494" i="3"/>
  <c r="D498" i="3"/>
  <c r="D502" i="3"/>
  <c r="D506" i="3"/>
  <c r="D510" i="3"/>
  <c r="D514" i="3"/>
  <c r="D518" i="3"/>
  <c r="D522" i="3"/>
  <c r="D526" i="3"/>
  <c r="D530" i="3"/>
  <c r="D534" i="3"/>
  <c r="D538" i="3"/>
  <c r="D542" i="3"/>
  <c r="D546" i="3"/>
  <c r="D550" i="3"/>
  <c r="D554" i="3"/>
  <c r="D558" i="3"/>
  <c r="D562" i="3"/>
  <c r="D566" i="3"/>
  <c r="D570" i="3"/>
  <c r="D574" i="3"/>
  <c r="D578" i="3"/>
  <c r="D582" i="3"/>
  <c r="D586" i="3"/>
  <c r="D597" i="3"/>
  <c r="D606" i="3"/>
  <c r="D631" i="3"/>
  <c r="D637" i="3"/>
  <c r="D654" i="3"/>
  <c r="D593" i="3"/>
  <c r="D601" i="3"/>
  <c r="D613" i="3"/>
  <c r="D645" i="3"/>
  <c r="D662" i="3"/>
  <c r="D666" i="3"/>
  <c r="D670" i="3"/>
  <c r="D674" i="3"/>
  <c r="D678" i="3"/>
  <c r="D682" i="3"/>
  <c r="D686" i="3"/>
  <c r="D690" i="3"/>
  <c r="D694" i="3"/>
  <c r="D698" i="3"/>
  <c r="D702" i="3"/>
  <c r="D706" i="3"/>
  <c r="D710" i="3"/>
  <c r="D714" i="3"/>
  <c r="D718" i="3"/>
  <c r="D751" i="3"/>
  <c r="D594" i="3"/>
  <c r="D602" i="3"/>
  <c r="D614" i="3"/>
  <c r="D646" i="3"/>
  <c r="D659" i="3"/>
  <c r="D736" i="3"/>
  <c r="D768" i="3"/>
  <c r="D731" i="3"/>
  <c r="D742" i="3"/>
  <c r="D755" i="3"/>
  <c r="D763" i="3"/>
  <c r="D784" i="3"/>
  <c r="D724" i="3"/>
  <c r="D725" i="3"/>
  <c r="D726" i="3"/>
  <c r="D727" i="3"/>
  <c r="D735" i="3"/>
  <c r="D752" i="3"/>
  <c r="D767" i="3"/>
  <c r="D964" i="3"/>
  <c r="D663" i="3"/>
  <c r="D667" i="3"/>
  <c r="D671" i="3"/>
  <c r="D675" i="3"/>
  <c r="D679" i="3"/>
  <c r="D683" i="3"/>
  <c r="D687" i="3"/>
  <c r="D691" i="3"/>
  <c r="D695" i="3"/>
  <c r="D699" i="3"/>
  <c r="D703" i="3"/>
  <c r="D707" i="3"/>
  <c r="D711" i="3"/>
  <c r="D715" i="3"/>
  <c r="D719" i="3"/>
  <c r="D739" i="3"/>
  <c r="D747" i="3"/>
  <c r="D758" i="3"/>
  <c r="D771" i="3"/>
  <c r="D779" i="3"/>
  <c r="D806" i="3"/>
  <c r="D743" i="3"/>
  <c r="D759" i="3"/>
  <c r="D776" i="3"/>
  <c r="D787" i="3"/>
  <c r="D792" i="3"/>
  <c r="D810" i="3"/>
  <c r="D814" i="3"/>
  <c r="D818" i="3"/>
  <c r="D822" i="3"/>
  <c r="D826" i="3"/>
  <c r="D830" i="3"/>
  <c r="D834" i="3"/>
  <c r="D838" i="3"/>
  <c r="D842" i="3"/>
  <c r="D846" i="3"/>
  <c r="D850" i="3"/>
  <c r="D854" i="3"/>
  <c r="D858" i="3"/>
  <c r="D862" i="3"/>
  <c r="D866" i="3"/>
  <c r="D870" i="3"/>
  <c r="D874" i="3"/>
  <c r="D723" i="3"/>
  <c r="D744" i="3"/>
  <c r="D760" i="3"/>
  <c r="D775" i="3"/>
  <c r="D780" i="3"/>
  <c r="D791" i="3"/>
  <c r="D801" i="3"/>
  <c r="D783" i="3"/>
  <c r="D788" i="3"/>
  <c r="D798" i="3"/>
  <c r="D811" i="3"/>
  <c r="D815" i="3"/>
  <c r="D819" i="3"/>
  <c r="D823" i="3"/>
  <c r="D827" i="3"/>
  <c r="D831" i="3"/>
  <c r="D835" i="3"/>
  <c r="D839" i="3"/>
  <c r="D843" i="3"/>
  <c r="D847" i="3"/>
  <c r="D851" i="3"/>
  <c r="D855" i="3"/>
  <c r="D859" i="3"/>
  <c r="D863" i="3"/>
  <c r="D867" i="3"/>
  <c r="D871" i="3"/>
  <c r="D875" i="3"/>
  <c r="D909" i="3"/>
  <c r="D920" i="3"/>
  <c r="D927" i="3"/>
  <c r="D881" i="3"/>
  <c r="D885" i="3"/>
  <c r="D889" i="3"/>
  <c r="D893" i="3"/>
  <c r="D897" i="3"/>
  <c r="D901" i="3"/>
  <c r="D912" i="3"/>
  <c r="D925" i="3"/>
  <c r="D880" i="3"/>
  <c r="D884" i="3"/>
  <c r="D888" i="3"/>
  <c r="D892" i="3"/>
  <c r="D896" i="3"/>
  <c r="D900" i="3"/>
  <c r="D904" i="3"/>
  <c r="D917" i="3"/>
  <c r="D913" i="3"/>
  <c r="D921" i="3"/>
  <c r="D926" i="3"/>
  <c r="D939" i="3"/>
  <c r="D942" i="3"/>
  <c r="D948" i="3"/>
  <c r="D955" i="3"/>
  <c r="D958" i="3"/>
  <c r="D933" i="3"/>
  <c r="D934" i="3"/>
  <c r="D935" i="3"/>
  <c r="D940" i="3"/>
  <c r="D947" i="3"/>
  <c r="D950" i="3"/>
  <c r="D956" i="3"/>
  <c r="D967" i="3"/>
  <c r="D968" i="3"/>
  <c r="D972" i="3"/>
  <c r="D988" i="3"/>
  <c r="D993" i="3"/>
  <c r="D1000" i="3"/>
  <c r="D1005" i="3"/>
  <c r="D963" i="3"/>
  <c r="D977" i="3"/>
  <c r="D984" i="3"/>
  <c r="D989" i="3"/>
  <c r="D1004" i="3"/>
  <c r="D943" i="3"/>
  <c r="D951" i="3"/>
  <c r="D959" i="3"/>
  <c r="D976" i="3"/>
  <c r="D981" i="3"/>
  <c r="D992" i="3"/>
  <c r="D997" i="3"/>
  <c r="D973" i="3"/>
  <c r="D980" i="3"/>
  <c r="D985" i="3"/>
  <c r="D996" i="3"/>
  <c r="D1001" i="3"/>
  <c r="H9" i="3" l="1"/>
  <c r="G8" i="3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G863" i="3" s="1"/>
  <c r="G864" i="3" s="1"/>
  <c r="G865" i="3" s="1"/>
  <c r="G866" i="3" s="1"/>
  <c r="G867" i="3" s="1"/>
  <c r="G868" i="3" s="1"/>
  <c r="G869" i="3" s="1"/>
  <c r="G870" i="3" s="1"/>
  <c r="G871" i="3" s="1"/>
  <c r="G872" i="3" s="1"/>
  <c r="G873" i="3" s="1"/>
  <c r="G874" i="3" s="1"/>
  <c r="G875" i="3" s="1"/>
  <c r="G876" i="3" s="1"/>
  <c r="G877" i="3" s="1"/>
  <c r="G878" i="3" s="1"/>
  <c r="G879" i="3" s="1"/>
  <c r="G880" i="3" s="1"/>
  <c r="G881" i="3" s="1"/>
  <c r="G882" i="3" s="1"/>
  <c r="G883" i="3" s="1"/>
  <c r="G884" i="3" s="1"/>
  <c r="G885" i="3" s="1"/>
  <c r="G886" i="3" s="1"/>
  <c r="G887" i="3" s="1"/>
  <c r="G888" i="3" s="1"/>
  <c r="G889" i="3" s="1"/>
  <c r="G890" i="3" s="1"/>
  <c r="G891" i="3" s="1"/>
  <c r="G892" i="3" s="1"/>
  <c r="G893" i="3" s="1"/>
  <c r="G894" i="3" s="1"/>
  <c r="G895" i="3" s="1"/>
  <c r="G896" i="3" s="1"/>
  <c r="G897" i="3" s="1"/>
  <c r="G898" i="3" s="1"/>
  <c r="G899" i="3" s="1"/>
  <c r="G900" i="3" s="1"/>
  <c r="G901" i="3" s="1"/>
  <c r="G902" i="3" s="1"/>
  <c r="G903" i="3" s="1"/>
  <c r="G904" i="3" s="1"/>
  <c r="G905" i="3" s="1"/>
  <c r="G906" i="3" s="1"/>
  <c r="G907" i="3" s="1"/>
  <c r="G908" i="3" s="1"/>
  <c r="G909" i="3" s="1"/>
  <c r="G910" i="3" s="1"/>
  <c r="G911" i="3" s="1"/>
  <c r="G912" i="3" s="1"/>
  <c r="G913" i="3" s="1"/>
  <c r="G914" i="3" s="1"/>
  <c r="G915" i="3" s="1"/>
  <c r="G916" i="3" s="1"/>
  <c r="G917" i="3" s="1"/>
  <c r="G918" i="3" s="1"/>
  <c r="G919" i="3" s="1"/>
  <c r="G920" i="3" s="1"/>
  <c r="G921" i="3" s="1"/>
  <c r="G922" i="3" s="1"/>
  <c r="G923" i="3" s="1"/>
  <c r="G924" i="3" s="1"/>
  <c r="G925" i="3" s="1"/>
  <c r="G926" i="3" s="1"/>
  <c r="G927" i="3" s="1"/>
  <c r="G928" i="3" s="1"/>
  <c r="G929" i="3" s="1"/>
  <c r="G930" i="3" s="1"/>
  <c r="G931" i="3" s="1"/>
  <c r="G932" i="3" s="1"/>
  <c r="G933" i="3" s="1"/>
  <c r="G934" i="3" s="1"/>
  <c r="G935" i="3" s="1"/>
  <c r="G936" i="3" s="1"/>
  <c r="G937" i="3" s="1"/>
  <c r="G938" i="3" s="1"/>
  <c r="G939" i="3" s="1"/>
  <c r="G940" i="3" s="1"/>
  <c r="G941" i="3" s="1"/>
  <c r="G942" i="3" s="1"/>
  <c r="G943" i="3" s="1"/>
  <c r="G944" i="3" s="1"/>
  <c r="G945" i="3" s="1"/>
  <c r="G946" i="3" s="1"/>
  <c r="G947" i="3" s="1"/>
  <c r="G948" i="3" s="1"/>
  <c r="G949" i="3" s="1"/>
  <c r="G950" i="3" s="1"/>
  <c r="G951" i="3" s="1"/>
  <c r="G952" i="3" s="1"/>
  <c r="G953" i="3" s="1"/>
  <c r="G954" i="3" s="1"/>
  <c r="G955" i="3" s="1"/>
  <c r="G956" i="3" s="1"/>
  <c r="G957" i="3" s="1"/>
  <c r="G958" i="3" s="1"/>
  <c r="G959" i="3" s="1"/>
  <c r="G960" i="3" s="1"/>
  <c r="G961" i="3" s="1"/>
  <c r="G962" i="3" s="1"/>
  <c r="G963" i="3" s="1"/>
  <c r="G964" i="3" s="1"/>
  <c r="G965" i="3" s="1"/>
  <c r="G966" i="3" s="1"/>
  <c r="G967" i="3" s="1"/>
  <c r="G968" i="3" s="1"/>
  <c r="G969" i="3" s="1"/>
  <c r="G970" i="3" s="1"/>
  <c r="G971" i="3" s="1"/>
  <c r="G972" i="3" s="1"/>
  <c r="G973" i="3" s="1"/>
  <c r="G974" i="3" s="1"/>
  <c r="G975" i="3" s="1"/>
  <c r="G976" i="3" s="1"/>
  <c r="G977" i="3" s="1"/>
  <c r="G978" i="3" s="1"/>
  <c r="G979" i="3" s="1"/>
  <c r="G980" i="3" s="1"/>
  <c r="G981" i="3" s="1"/>
  <c r="G982" i="3" s="1"/>
  <c r="G983" i="3" s="1"/>
  <c r="G984" i="3" s="1"/>
  <c r="G985" i="3" s="1"/>
  <c r="G986" i="3" s="1"/>
  <c r="G987" i="3" s="1"/>
  <c r="G988" i="3" s="1"/>
  <c r="G989" i="3" s="1"/>
  <c r="G990" i="3" s="1"/>
  <c r="G991" i="3" s="1"/>
  <c r="G992" i="3" s="1"/>
  <c r="G993" i="3" s="1"/>
  <c r="G994" i="3" s="1"/>
  <c r="G995" i="3" s="1"/>
  <c r="G996" i="3" s="1"/>
  <c r="G997" i="3" s="1"/>
  <c r="G998" i="3" s="1"/>
  <c r="G999" i="3" s="1"/>
  <c r="G1000" i="3" s="1"/>
  <c r="G1001" i="3" s="1"/>
  <c r="G1002" i="3" s="1"/>
  <c r="G1003" i="3" s="1"/>
  <c r="G1004" i="3" s="1"/>
  <c r="G1005" i="3" s="1"/>
  <c r="J7" i="3"/>
  <c r="H10" i="3" l="1"/>
  <c r="J8" i="3"/>
  <c r="H11" i="3" l="1"/>
  <c r="J9" i="3"/>
  <c r="H12" i="3" l="1"/>
  <c r="J10" i="3"/>
  <c r="H13" i="3" l="1"/>
  <c r="J11" i="3"/>
  <c r="H14" i="3" l="1"/>
  <c r="J12" i="3"/>
  <c r="H15" i="3" l="1"/>
  <c r="J13" i="3"/>
  <c r="H16" i="3" l="1"/>
  <c r="J14" i="3"/>
  <c r="H17" i="3" l="1"/>
  <c r="J15" i="3"/>
  <c r="H18" i="3" l="1"/>
  <c r="J16" i="3"/>
  <c r="H19" i="3" l="1"/>
  <c r="J17" i="3"/>
  <c r="H20" i="3" l="1"/>
  <c r="J18" i="3"/>
  <c r="H21" i="3" l="1"/>
  <c r="J19" i="3"/>
  <c r="H22" i="3" l="1"/>
  <c r="J20" i="3"/>
  <c r="H23" i="3" l="1"/>
  <c r="J21" i="3"/>
  <c r="H24" i="3" l="1"/>
  <c r="J22" i="3"/>
  <c r="H25" i="3" l="1"/>
  <c r="J23" i="3"/>
  <c r="H26" i="3" l="1"/>
  <c r="J24" i="3"/>
  <c r="H27" i="3" l="1"/>
  <c r="J25" i="3"/>
  <c r="H28" i="3" l="1"/>
  <c r="J26" i="3"/>
  <c r="H29" i="3" l="1"/>
  <c r="J27" i="3"/>
  <c r="H30" i="3" l="1"/>
  <c r="J28" i="3"/>
  <c r="H31" i="3" l="1"/>
  <c r="J29" i="3"/>
  <c r="H32" i="3" l="1"/>
  <c r="J30" i="3"/>
  <c r="H33" i="3" l="1"/>
  <c r="J31" i="3"/>
  <c r="H34" i="3" l="1"/>
  <c r="J32" i="3"/>
  <c r="H35" i="3" l="1"/>
  <c r="J33" i="3"/>
  <c r="H36" i="3" l="1"/>
  <c r="J34" i="3"/>
  <c r="H37" i="3" l="1"/>
  <c r="J35" i="3"/>
  <c r="H38" i="3" l="1"/>
  <c r="J36" i="3"/>
  <c r="H39" i="3" l="1"/>
  <c r="J37" i="3"/>
  <c r="H40" i="3" l="1"/>
  <c r="J38" i="3"/>
  <c r="H41" i="3" l="1"/>
  <c r="J39" i="3"/>
  <c r="H42" i="3" l="1"/>
  <c r="J40" i="3"/>
  <c r="H43" i="3" l="1"/>
  <c r="J41" i="3"/>
  <c r="H44" i="3" l="1"/>
  <c r="J42" i="3"/>
  <c r="H45" i="3" l="1"/>
  <c r="J43" i="3"/>
  <c r="H46" i="3" l="1"/>
  <c r="J44" i="3"/>
  <c r="H47" i="3" l="1"/>
  <c r="J45" i="3"/>
  <c r="H48" i="3" l="1"/>
  <c r="J46" i="3"/>
  <c r="H49" i="3" l="1"/>
  <c r="J47" i="3"/>
  <c r="H50" i="3" l="1"/>
  <c r="J48" i="3"/>
  <c r="H51" i="3" l="1"/>
  <c r="J49" i="3"/>
  <c r="H52" i="3" l="1"/>
  <c r="J50" i="3"/>
  <c r="H53" i="3" l="1"/>
  <c r="J51" i="3"/>
  <c r="H54" i="3" l="1"/>
  <c r="J52" i="3"/>
  <c r="H55" i="3" l="1"/>
  <c r="J53" i="3"/>
  <c r="H56" i="3" l="1"/>
  <c r="J54" i="3"/>
  <c r="H57" i="3" l="1"/>
  <c r="J55" i="3"/>
  <c r="H58" i="3" l="1"/>
  <c r="J56" i="3"/>
  <c r="H59" i="3" l="1"/>
  <c r="J57" i="3"/>
  <c r="H60" i="3" l="1"/>
  <c r="J58" i="3"/>
  <c r="H61" i="3" l="1"/>
  <c r="J59" i="3"/>
  <c r="H62" i="3" l="1"/>
  <c r="J60" i="3"/>
  <c r="H63" i="3" l="1"/>
  <c r="J61" i="3"/>
  <c r="H64" i="3" l="1"/>
  <c r="J62" i="3"/>
  <c r="H65" i="3" l="1"/>
  <c r="J63" i="3"/>
  <c r="H66" i="3" l="1"/>
  <c r="J64" i="3"/>
  <c r="H67" i="3" l="1"/>
  <c r="J65" i="3"/>
  <c r="H68" i="3" l="1"/>
  <c r="J66" i="3"/>
  <c r="H69" i="3" l="1"/>
  <c r="J67" i="3"/>
  <c r="H70" i="3" l="1"/>
  <c r="J68" i="3"/>
  <c r="H71" i="3" l="1"/>
  <c r="J69" i="3"/>
  <c r="H72" i="3" l="1"/>
  <c r="J70" i="3"/>
  <c r="H73" i="3" l="1"/>
  <c r="J71" i="3"/>
  <c r="H74" i="3" l="1"/>
  <c r="J72" i="3"/>
  <c r="H75" i="3" l="1"/>
  <c r="J73" i="3"/>
  <c r="H76" i="3" l="1"/>
  <c r="J74" i="3"/>
  <c r="H77" i="3" l="1"/>
  <c r="J75" i="3"/>
  <c r="H78" i="3" l="1"/>
  <c r="J76" i="3"/>
  <c r="H79" i="3" l="1"/>
  <c r="J77" i="3"/>
  <c r="H80" i="3" l="1"/>
  <c r="J78" i="3"/>
  <c r="H81" i="3" l="1"/>
  <c r="J79" i="3"/>
  <c r="H82" i="3" l="1"/>
  <c r="J80" i="3"/>
  <c r="H83" i="3" l="1"/>
  <c r="J81" i="3"/>
  <c r="H84" i="3" l="1"/>
  <c r="J82" i="3"/>
  <c r="H85" i="3" l="1"/>
  <c r="J83" i="3"/>
  <c r="H86" i="3" l="1"/>
  <c r="J84" i="3"/>
  <c r="H87" i="3" l="1"/>
  <c r="J85" i="3"/>
  <c r="H88" i="3" l="1"/>
  <c r="J86" i="3"/>
  <c r="H89" i="3" l="1"/>
  <c r="J87" i="3"/>
  <c r="H90" i="3" l="1"/>
  <c r="J88" i="3"/>
  <c r="H91" i="3" l="1"/>
  <c r="J89" i="3"/>
  <c r="H92" i="3" l="1"/>
  <c r="J90" i="3"/>
  <c r="H93" i="3" l="1"/>
  <c r="J91" i="3"/>
  <c r="H94" i="3" l="1"/>
  <c r="J92" i="3"/>
  <c r="H95" i="3" l="1"/>
  <c r="J93" i="3"/>
  <c r="H96" i="3" l="1"/>
  <c r="J94" i="3"/>
  <c r="H97" i="3" l="1"/>
  <c r="J95" i="3"/>
  <c r="H98" i="3" l="1"/>
  <c r="J96" i="3"/>
  <c r="H99" i="3" l="1"/>
  <c r="J97" i="3"/>
  <c r="H100" i="3" l="1"/>
  <c r="J98" i="3"/>
  <c r="H101" i="3" l="1"/>
  <c r="J99" i="3"/>
  <c r="H102" i="3" l="1"/>
  <c r="J100" i="3"/>
  <c r="H103" i="3" l="1"/>
  <c r="J101" i="3"/>
  <c r="H104" i="3" l="1"/>
  <c r="J102" i="3"/>
  <c r="H105" i="3" l="1"/>
  <c r="J103" i="3"/>
  <c r="H106" i="3" l="1"/>
  <c r="J104" i="3"/>
  <c r="H107" i="3" l="1"/>
  <c r="J105" i="3"/>
  <c r="H108" i="3" l="1"/>
  <c r="J106" i="3"/>
  <c r="H109" i="3" l="1"/>
  <c r="J107" i="3"/>
  <c r="H110" i="3" l="1"/>
  <c r="J108" i="3"/>
  <c r="H111" i="3" l="1"/>
  <c r="J109" i="3"/>
  <c r="H112" i="3" l="1"/>
  <c r="J110" i="3"/>
  <c r="H113" i="3" l="1"/>
  <c r="J111" i="3"/>
  <c r="H114" i="3" l="1"/>
  <c r="J112" i="3"/>
  <c r="H115" i="3" l="1"/>
  <c r="J113" i="3"/>
  <c r="H116" i="3" l="1"/>
  <c r="J114" i="3"/>
  <c r="H117" i="3" l="1"/>
  <c r="J115" i="3"/>
  <c r="H118" i="3" l="1"/>
  <c r="J116" i="3"/>
  <c r="H119" i="3" l="1"/>
  <c r="J117" i="3"/>
  <c r="H120" i="3" l="1"/>
  <c r="J118" i="3"/>
  <c r="H121" i="3" l="1"/>
  <c r="J119" i="3"/>
  <c r="H122" i="3" l="1"/>
  <c r="J120" i="3"/>
  <c r="H123" i="3" l="1"/>
  <c r="J121" i="3"/>
  <c r="H124" i="3" l="1"/>
  <c r="J122" i="3"/>
  <c r="H125" i="3" l="1"/>
  <c r="J123" i="3"/>
  <c r="H126" i="3" l="1"/>
  <c r="J124" i="3"/>
  <c r="H127" i="3" l="1"/>
  <c r="J125" i="3"/>
  <c r="H128" i="3" l="1"/>
  <c r="J126" i="3"/>
  <c r="H129" i="3" l="1"/>
  <c r="J127" i="3"/>
  <c r="H130" i="3" l="1"/>
  <c r="J128" i="3"/>
  <c r="H131" i="3" l="1"/>
  <c r="J129" i="3"/>
  <c r="H132" i="3" l="1"/>
  <c r="J130" i="3"/>
  <c r="H133" i="3" l="1"/>
  <c r="J131" i="3"/>
  <c r="H134" i="3" l="1"/>
  <c r="J132" i="3"/>
  <c r="H135" i="3" l="1"/>
  <c r="J133" i="3"/>
  <c r="H136" i="3" l="1"/>
  <c r="J134" i="3"/>
  <c r="H137" i="3" l="1"/>
  <c r="J135" i="3"/>
  <c r="H138" i="3" l="1"/>
  <c r="J136" i="3"/>
  <c r="H139" i="3" l="1"/>
  <c r="J137" i="3"/>
  <c r="H140" i="3" l="1"/>
  <c r="J138" i="3"/>
  <c r="H141" i="3" l="1"/>
  <c r="J139" i="3"/>
  <c r="H142" i="3" l="1"/>
  <c r="J140" i="3"/>
  <c r="H143" i="3" l="1"/>
  <c r="J141" i="3"/>
  <c r="H144" i="3" l="1"/>
  <c r="J142" i="3"/>
  <c r="H145" i="3" l="1"/>
  <c r="J143" i="3"/>
  <c r="H146" i="3" l="1"/>
  <c r="J144" i="3"/>
  <c r="H147" i="3" l="1"/>
  <c r="J145" i="3"/>
  <c r="H148" i="3" l="1"/>
  <c r="J146" i="3"/>
  <c r="H149" i="3" l="1"/>
  <c r="J147" i="3"/>
  <c r="H150" i="3" l="1"/>
  <c r="J148" i="3"/>
  <c r="H151" i="3" l="1"/>
  <c r="J149" i="3"/>
  <c r="H152" i="3" l="1"/>
  <c r="J150" i="3"/>
  <c r="H153" i="3" l="1"/>
  <c r="J151" i="3"/>
  <c r="H154" i="3" l="1"/>
  <c r="J152" i="3"/>
  <c r="H155" i="3" l="1"/>
  <c r="J153" i="3"/>
  <c r="H156" i="3" l="1"/>
  <c r="J154" i="3"/>
  <c r="H157" i="3" l="1"/>
  <c r="J155" i="3"/>
  <c r="H158" i="3" l="1"/>
  <c r="J156" i="3"/>
  <c r="H159" i="3" l="1"/>
  <c r="J157" i="3"/>
  <c r="H160" i="3" l="1"/>
  <c r="J158" i="3"/>
  <c r="H161" i="3" l="1"/>
  <c r="J159" i="3"/>
  <c r="H162" i="3" l="1"/>
  <c r="J160" i="3"/>
  <c r="H163" i="3" l="1"/>
  <c r="J161" i="3"/>
  <c r="H164" i="3" l="1"/>
  <c r="J162" i="3"/>
  <c r="H165" i="3" l="1"/>
  <c r="J163" i="3"/>
  <c r="H166" i="3" l="1"/>
  <c r="J164" i="3"/>
  <c r="H167" i="3" l="1"/>
  <c r="J165" i="3"/>
  <c r="H168" i="3" l="1"/>
  <c r="J166" i="3"/>
  <c r="H169" i="3" l="1"/>
  <c r="J167" i="3"/>
  <c r="H170" i="3" l="1"/>
  <c r="J168" i="3"/>
  <c r="H171" i="3" l="1"/>
  <c r="J169" i="3"/>
  <c r="H172" i="3" l="1"/>
  <c r="J170" i="3"/>
  <c r="H173" i="3" l="1"/>
  <c r="J171" i="3"/>
  <c r="H174" i="3" l="1"/>
  <c r="J172" i="3"/>
  <c r="H175" i="3" l="1"/>
  <c r="J173" i="3"/>
  <c r="H176" i="3" l="1"/>
  <c r="J174" i="3"/>
  <c r="H177" i="3" l="1"/>
  <c r="J175" i="3"/>
  <c r="H178" i="3" l="1"/>
  <c r="J176" i="3"/>
  <c r="H179" i="3" l="1"/>
  <c r="J177" i="3"/>
  <c r="H180" i="3" l="1"/>
  <c r="J178" i="3"/>
  <c r="H181" i="3" l="1"/>
  <c r="J179" i="3"/>
  <c r="H182" i="3" l="1"/>
  <c r="J180" i="3"/>
  <c r="H183" i="3" l="1"/>
  <c r="J181" i="3"/>
  <c r="H184" i="3" l="1"/>
  <c r="J182" i="3"/>
  <c r="H185" i="3" l="1"/>
  <c r="J183" i="3"/>
  <c r="H186" i="3" l="1"/>
  <c r="J184" i="3"/>
  <c r="H187" i="3" l="1"/>
  <c r="J185" i="3"/>
  <c r="H188" i="3" l="1"/>
  <c r="J186" i="3"/>
  <c r="H189" i="3" l="1"/>
  <c r="J187" i="3"/>
  <c r="H190" i="3" l="1"/>
  <c r="J188" i="3"/>
  <c r="H191" i="3" l="1"/>
  <c r="J189" i="3"/>
  <c r="H192" i="3" l="1"/>
  <c r="J190" i="3"/>
  <c r="H193" i="3" l="1"/>
  <c r="J191" i="3"/>
  <c r="H194" i="3" l="1"/>
  <c r="J192" i="3"/>
  <c r="H195" i="3" l="1"/>
  <c r="J193" i="3"/>
  <c r="H196" i="3" l="1"/>
  <c r="J194" i="3"/>
  <c r="H197" i="3" l="1"/>
  <c r="J195" i="3"/>
  <c r="H198" i="3" l="1"/>
  <c r="J196" i="3"/>
  <c r="H199" i="3" l="1"/>
  <c r="J197" i="3"/>
  <c r="H200" i="3" l="1"/>
  <c r="J198" i="3"/>
  <c r="H201" i="3" l="1"/>
  <c r="J199" i="3"/>
  <c r="H202" i="3" l="1"/>
  <c r="J200" i="3"/>
  <c r="H203" i="3" l="1"/>
  <c r="J201" i="3"/>
  <c r="H204" i="3" l="1"/>
  <c r="J202" i="3"/>
  <c r="H205" i="3" l="1"/>
  <c r="J203" i="3"/>
  <c r="H206" i="3" l="1"/>
  <c r="J204" i="3"/>
  <c r="H207" i="3" l="1"/>
  <c r="J205" i="3"/>
  <c r="H208" i="3" l="1"/>
  <c r="J206" i="3"/>
  <c r="H209" i="3" l="1"/>
  <c r="J207" i="3"/>
  <c r="H210" i="3" l="1"/>
  <c r="J208" i="3"/>
  <c r="H211" i="3" l="1"/>
  <c r="J209" i="3"/>
  <c r="H212" i="3" l="1"/>
  <c r="J210" i="3"/>
  <c r="H213" i="3" l="1"/>
  <c r="J211" i="3"/>
  <c r="H214" i="3" l="1"/>
  <c r="J212" i="3"/>
  <c r="H215" i="3" l="1"/>
  <c r="J213" i="3"/>
  <c r="H216" i="3" l="1"/>
  <c r="J214" i="3"/>
  <c r="H217" i="3" l="1"/>
  <c r="J215" i="3"/>
  <c r="H218" i="3" l="1"/>
  <c r="J216" i="3"/>
  <c r="H219" i="3" l="1"/>
  <c r="J217" i="3"/>
  <c r="H220" i="3" l="1"/>
  <c r="J218" i="3"/>
  <c r="H221" i="3" l="1"/>
  <c r="J219" i="3"/>
  <c r="H222" i="3" l="1"/>
  <c r="J220" i="3"/>
  <c r="H223" i="3" l="1"/>
  <c r="J221" i="3"/>
  <c r="H224" i="3" l="1"/>
  <c r="J222" i="3"/>
  <c r="H225" i="3" l="1"/>
  <c r="J223" i="3"/>
  <c r="H226" i="3" l="1"/>
  <c r="J224" i="3"/>
  <c r="H227" i="3" l="1"/>
  <c r="J225" i="3"/>
  <c r="H228" i="3" l="1"/>
  <c r="J226" i="3"/>
  <c r="H229" i="3" l="1"/>
  <c r="J227" i="3"/>
  <c r="H230" i="3" l="1"/>
  <c r="J228" i="3"/>
  <c r="H231" i="3" l="1"/>
  <c r="J229" i="3"/>
  <c r="H232" i="3" l="1"/>
  <c r="J230" i="3"/>
  <c r="H233" i="3" l="1"/>
  <c r="J231" i="3"/>
  <c r="H234" i="3" l="1"/>
  <c r="J232" i="3"/>
  <c r="H235" i="3" l="1"/>
  <c r="J233" i="3"/>
  <c r="H236" i="3" l="1"/>
  <c r="J234" i="3"/>
  <c r="H237" i="3" l="1"/>
  <c r="J235" i="3"/>
  <c r="H238" i="3" l="1"/>
  <c r="J236" i="3"/>
  <c r="H239" i="3" l="1"/>
  <c r="J237" i="3"/>
  <c r="H240" i="3" l="1"/>
  <c r="J238" i="3"/>
  <c r="H241" i="3" l="1"/>
  <c r="J239" i="3"/>
  <c r="H242" i="3" l="1"/>
  <c r="J240" i="3"/>
  <c r="H243" i="3" l="1"/>
  <c r="J241" i="3"/>
  <c r="H244" i="3" l="1"/>
  <c r="J242" i="3"/>
  <c r="H245" i="3" l="1"/>
  <c r="J243" i="3"/>
  <c r="H246" i="3" l="1"/>
  <c r="J244" i="3"/>
  <c r="H247" i="3" l="1"/>
  <c r="J245" i="3"/>
  <c r="H248" i="3" l="1"/>
  <c r="J246" i="3"/>
  <c r="H249" i="3" l="1"/>
  <c r="J247" i="3"/>
  <c r="H250" i="3" l="1"/>
  <c r="J248" i="3"/>
  <c r="H251" i="3" l="1"/>
  <c r="J249" i="3"/>
  <c r="H252" i="3" l="1"/>
  <c r="J250" i="3"/>
  <c r="H253" i="3" l="1"/>
  <c r="J251" i="3"/>
  <c r="H254" i="3" l="1"/>
  <c r="J252" i="3"/>
  <c r="H255" i="3" l="1"/>
  <c r="J253" i="3"/>
  <c r="H256" i="3" l="1"/>
  <c r="J254" i="3"/>
  <c r="H257" i="3" l="1"/>
  <c r="J255" i="3"/>
  <c r="H258" i="3" l="1"/>
  <c r="J256" i="3"/>
  <c r="H259" i="3" l="1"/>
  <c r="J257" i="3"/>
  <c r="H260" i="3" l="1"/>
  <c r="J258" i="3"/>
  <c r="H261" i="3" l="1"/>
  <c r="J259" i="3"/>
  <c r="H262" i="3" l="1"/>
  <c r="J260" i="3"/>
  <c r="H263" i="3" l="1"/>
  <c r="J261" i="3"/>
  <c r="H264" i="3" l="1"/>
  <c r="J262" i="3"/>
  <c r="H265" i="3" l="1"/>
  <c r="J263" i="3"/>
  <c r="H266" i="3" l="1"/>
  <c r="J264" i="3"/>
  <c r="H267" i="3" l="1"/>
  <c r="J265" i="3"/>
  <c r="H268" i="3" l="1"/>
  <c r="J266" i="3"/>
  <c r="H269" i="3" l="1"/>
  <c r="J267" i="3"/>
  <c r="H270" i="3" l="1"/>
  <c r="J268" i="3"/>
  <c r="H271" i="3" l="1"/>
  <c r="J269" i="3"/>
  <c r="H272" i="3" l="1"/>
  <c r="J270" i="3"/>
  <c r="H273" i="3" l="1"/>
  <c r="J271" i="3"/>
  <c r="H274" i="3" l="1"/>
  <c r="J272" i="3"/>
  <c r="H275" i="3" l="1"/>
  <c r="J273" i="3"/>
  <c r="H276" i="3" l="1"/>
  <c r="J274" i="3"/>
  <c r="H277" i="3" l="1"/>
  <c r="J275" i="3"/>
  <c r="H278" i="3" l="1"/>
  <c r="J276" i="3"/>
  <c r="H279" i="3" l="1"/>
  <c r="J277" i="3"/>
  <c r="H280" i="3" l="1"/>
  <c r="J278" i="3"/>
  <c r="H281" i="3" l="1"/>
  <c r="J279" i="3"/>
  <c r="H282" i="3" l="1"/>
  <c r="J280" i="3"/>
  <c r="H283" i="3" l="1"/>
  <c r="J281" i="3"/>
  <c r="H284" i="3" l="1"/>
  <c r="J282" i="3"/>
  <c r="H285" i="3" l="1"/>
  <c r="J283" i="3"/>
  <c r="H286" i="3" l="1"/>
  <c r="J284" i="3"/>
  <c r="H287" i="3" l="1"/>
  <c r="J285" i="3"/>
  <c r="H288" i="3" l="1"/>
  <c r="J286" i="3"/>
  <c r="H289" i="3" l="1"/>
  <c r="J287" i="3"/>
  <c r="H290" i="3" l="1"/>
  <c r="J288" i="3"/>
  <c r="H291" i="3" l="1"/>
  <c r="J289" i="3"/>
  <c r="H292" i="3" l="1"/>
  <c r="J290" i="3"/>
  <c r="H293" i="3" l="1"/>
  <c r="J291" i="3"/>
  <c r="H294" i="3" l="1"/>
  <c r="J292" i="3"/>
  <c r="H295" i="3" l="1"/>
  <c r="J293" i="3"/>
  <c r="H296" i="3" l="1"/>
  <c r="J294" i="3"/>
  <c r="H297" i="3" l="1"/>
  <c r="J295" i="3"/>
  <c r="H298" i="3" l="1"/>
  <c r="J296" i="3"/>
  <c r="H299" i="3" l="1"/>
  <c r="J297" i="3"/>
  <c r="H300" i="3" l="1"/>
  <c r="J298" i="3"/>
  <c r="H301" i="3" l="1"/>
  <c r="J299" i="3"/>
  <c r="H302" i="3" l="1"/>
  <c r="J300" i="3"/>
  <c r="H303" i="3" l="1"/>
  <c r="J301" i="3"/>
  <c r="H304" i="3" l="1"/>
  <c r="J302" i="3"/>
  <c r="H305" i="3" l="1"/>
  <c r="J303" i="3"/>
  <c r="H306" i="3" l="1"/>
  <c r="J304" i="3"/>
  <c r="H307" i="3" l="1"/>
  <c r="J305" i="3"/>
  <c r="H308" i="3" l="1"/>
  <c r="J306" i="3"/>
  <c r="H309" i="3" l="1"/>
  <c r="J307" i="3"/>
  <c r="H310" i="3" l="1"/>
  <c r="J308" i="3"/>
  <c r="H311" i="3" l="1"/>
  <c r="J309" i="3"/>
  <c r="H312" i="3" l="1"/>
  <c r="J310" i="3"/>
  <c r="H313" i="3" l="1"/>
  <c r="J311" i="3"/>
  <c r="H314" i="3" l="1"/>
  <c r="J312" i="3"/>
  <c r="H315" i="3" l="1"/>
  <c r="J313" i="3"/>
  <c r="H316" i="3" l="1"/>
  <c r="J314" i="3"/>
  <c r="H317" i="3" l="1"/>
  <c r="J315" i="3"/>
  <c r="H318" i="3" l="1"/>
  <c r="J316" i="3"/>
  <c r="H319" i="3" l="1"/>
  <c r="J317" i="3"/>
  <c r="H320" i="3" l="1"/>
  <c r="J318" i="3"/>
  <c r="H321" i="3" l="1"/>
  <c r="J319" i="3"/>
  <c r="H322" i="3" l="1"/>
  <c r="J320" i="3"/>
  <c r="H323" i="3" l="1"/>
  <c r="J321" i="3"/>
  <c r="H324" i="3" l="1"/>
  <c r="J322" i="3"/>
  <c r="H325" i="3" l="1"/>
  <c r="J323" i="3"/>
  <c r="H326" i="3" l="1"/>
  <c r="J324" i="3"/>
  <c r="H327" i="3" l="1"/>
  <c r="J325" i="3"/>
  <c r="H328" i="3" l="1"/>
  <c r="J326" i="3"/>
  <c r="H329" i="3" l="1"/>
  <c r="J327" i="3"/>
  <c r="H330" i="3" l="1"/>
  <c r="J328" i="3"/>
  <c r="H331" i="3" l="1"/>
  <c r="J329" i="3"/>
  <c r="H332" i="3" l="1"/>
  <c r="J330" i="3"/>
  <c r="H333" i="3" l="1"/>
  <c r="J331" i="3"/>
  <c r="H334" i="3" l="1"/>
  <c r="J332" i="3"/>
  <c r="H335" i="3" l="1"/>
  <c r="J333" i="3"/>
  <c r="H336" i="3" l="1"/>
  <c r="J334" i="3"/>
  <c r="H337" i="3" l="1"/>
  <c r="J335" i="3"/>
  <c r="H338" i="3" l="1"/>
  <c r="J336" i="3"/>
  <c r="H339" i="3" l="1"/>
  <c r="J337" i="3"/>
  <c r="H340" i="3" l="1"/>
  <c r="J338" i="3"/>
  <c r="H341" i="3" l="1"/>
  <c r="J339" i="3"/>
  <c r="H342" i="3" l="1"/>
  <c r="J340" i="3"/>
  <c r="H343" i="3" l="1"/>
  <c r="J341" i="3"/>
  <c r="H344" i="3" l="1"/>
  <c r="J342" i="3"/>
  <c r="H345" i="3" l="1"/>
  <c r="J343" i="3"/>
  <c r="H346" i="3" l="1"/>
  <c r="J344" i="3"/>
  <c r="H347" i="3" l="1"/>
  <c r="J345" i="3"/>
  <c r="H348" i="3" l="1"/>
  <c r="J346" i="3"/>
  <c r="H349" i="3" l="1"/>
  <c r="J347" i="3"/>
  <c r="H350" i="3" l="1"/>
  <c r="J348" i="3"/>
  <c r="H351" i="3" l="1"/>
  <c r="J349" i="3"/>
  <c r="H352" i="3" l="1"/>
  <c r="J350" i="3"/>
  <c r="H353" i="3" l="1"/>
  <c r="J351" i="3"/>
  <c r="H354" i="3" l="1"/>
  <c r="J352" i="3"/>
  <c r="H355" i="3" l="1"/>
  <c r="J353" i="3"/>
  <c r="H356" i="3" l="1"/>
  <c r="J354" i="3"/>
  <c r="H357" i="3" l="1"/>
  <c r="J355" i="3"/>
  <c r="H358" i="3" l="1"/>
  <c r="J356" i="3"/>
  <c r="H359" i="3" l="1"/>
  <c r="J357" i="3"/>
  <c r="H360" i="3" l="1"/>
  <c r="J358" i="3"/>
  <c r="H361" i="3" l="1"/>
  <c r="J359" i="3"/>
  <c r="H362" i="3" l="1"/>
  <c r="J360" i="3"/>
  <c r="H363" i="3" l="1"/>
  <c r="J361" i="3"/>
  <c r="H364" i="3" l="1"/>
  <c r="J362" i="3"/>
  <c r="H365" i="3" l="1"/>
  <c r="J363" i="3"/>
  <c r="H366" i="3" l="1"/>
  <c r="J364" i="3"/>
  <c r="H367" i="3" l="1"/>
  <c r="J365" i="3"/>
  <c r="H368" i="3" l="1"/>
  <c r="J366" i="3"/>
  <c r="H369" i="3" l="1"/>
  <c r="J367" i="3"/>
  <c r="H370" i="3" l="1"/>
  <c r="J368" i="3"/>
  <c r="H371" i="3" l="1"/>
  <c r="J369" i="3"/>
  <c r="H372" i="3" l="1"/>
  <c r="J370" i="3"/>
  <c r="H373" i="3" l="1"/>
  <c r="J371" i="3"/>
  <c r="H374" i="3" l="1"/>
  <c r="J372" i="3"/>
  <c r="H375" i="3" l="1"/>
  <c r="J373" i="3"/>
  <c r="H376" i="3" l="1"/>
  <c r="J374" i="3"/>
  <c r="H377" i="3" l="1"/>
  <c r="J375" i="3"/>
  <c r="H378" i="3" l="1"/>
  <c r="J376" i="3"/>
  <c r="H379" i="3" l="1"/>
  <c r="J377" i="3"/>
  <c r="H380" i="3" l="1"/>
  <c r="J378" i="3"/>
  <c r="H381" i="3" l="1"/>
  <c r="J379" i="3"/>
  <c r="H382" i="3" l="1"/>
  <c r="J380" i="3"/>
  <c r="H383" i="3" l="1"/>
  <c r="J381" i="3"/>
  <c r="H384" i="3" l="1"/>
  <c r="J382" i="3"/>
  <c r="H385" i="3" l="1"/>
  <c r="J383" i="3"/>
  <c r="H386" i="3" l="1"/>
  <c r="J384" i="3"/>
  <c r="H387" i="3" l="1"/>
  <c r="J385" i="3"/>
  <c r="H388" i="3" l="1"/>
  <c r="J386" i="3"/>
  <c r="H389" i="3" l="1"/>
  <c r="J387" i="3"/>
  <c r="H390" i="3" l="1"/>
  <c r="J388" i="3"/>
  <c r="H391" i="3" l="1"/>
  <c r="J389" i="3"/>
  <c r="H392" i="3" l="1"/>
  <c r="J390" i="3"/>
  <c r="H393" i="3" l="1"/>
  <c r="J391" i="3"/>
  <c r="H394" i="3" l="1"/>
  <c r="J392" i="3"/>
  <c r="H395" i="3" l="1"/>
  <c r="J393" i="3"/>
  <c r="H396" i="3" l="1"/>
  <c r="J394" i="3"/>
  <c r="H397" i="3" l="1"/>
  <c r="J395" i="3"/>
  <c r="H398" i="3" l="1"/>
  <c r="J396" i="3"/>
  <c r="H399" i="3" l="1"/>
  <c r="J397" i="3"/>
  <c r="H400" i="3" l="1"/>
  <c r="J398" i="3"/>
  <c r="H401" i="3" l="1"/>
  <c r="J399" i="3"/>
  <c r="H402" i="3" l="1"/>
  <c r="J400" i="3"/>
  <c r="H403" i="3" l="1"/>
  <c r="J401" i="3"/>
  <c r="H404" i="3" l="1"/>
  <c r="J402" i="3"/>
  <c r="H405" i="3" l="1"/>
  <c r="J403" i="3"/>
  <c r="H406" i="3" l="1"/>
  <c r="J404" i="3"/>
  <c r="H407" i="3" l="1"/>
  <c r="J405" i="3"/>
  <c r="H408" i="3" l="1"/>
  <c r="J406" i="3"/>
  <c r="H409" i="3" l="1"/>
  <c r="J407" i="3"/>
  <c r="H410" i="3" l="1"/>
  <c r="J408" i="3"/>
  <c r="H411" i="3" l="1"/>
  <c r="J409" i="3"/>
  <c r="H412" i="3" l="1"/>
  <c r="J410" i="3"/>
  <c r="H413" i="3" l="1"/>
  <c r="J411" i="3"/>
  <c r="H414" i="3" l="1"/>
  <c r="J412" i="3"/>
  <c r="H415" i="3" l="1"/>
  <c r="J413" i="3"/>
  <c r="H416" i="3" l="1"/>
  <c r="J414" i="3"/>
  <c r="H417" i="3" l="1"/>
  <c r="J415" i="3"/>
  <c r="H418" i="3" l="1"/>
  <c r="J416" i="3"/>
  <c r="H419" i="3" l="1"/>
  <c r="J417" i="3"/>
  <c r="H420" i="3" l="1"/>
  <c r="J418" i="3"/>
  <c r="H421" i="3" l="1"/>
  <c r="J419" i="3"/>
  <c r="H422" i="3" l="1"/>
  <c r="J420" i="3"/>
  <c r="H423" i="3" l="1"/>
  <c r="J421" i="3"/>
  <c r="H424" i="3" l="1"/>
  <c r="J422" i="3"/>
  <c r="H425" i="3" l="1"/>
  <c r="J423" i="3"/>
  <c r="H426" i="3" l="1"/>
  <c r="J424" i="3"/>
  <c r="H427" i="3" l="1"/>
  <c r="J425" i="3"/>
  <c r="H428" i="3" l="1"/>
  <c r="J426" i="3"/>
  <c r="H429" i="3" l="1"/>
  <c r="J427" i="3"/>
  <c r="H430" i="3" l="1"/>
  <c r="J428" i="3"/>
  <c r="H431" i="3" l="1"/>
  <c r="J429" i="3"/>
  <c r="H432" i="3" l="1"/>
  <c r="J430" i="3"/>
  <c r="H433" i="3" l="1"/>
  <c r="J431" i="3"/>
  <c r="H434" i="3" l="1"/>
  <c r="J432" i="3"/>
  <c r="H435" i="3" l="1"/>
  <c r="J433" i="3"/>
  <c r="H436" i="3" l="1"/>
  <c r="J434" i="3"/>
  <c r="H437" i="3" l="1"/>
  <c r="J435" i="3"/>
  <c r="H438" i="3" l="1"/>
  <c r="J436" i="3"/>
  <c r="H439" i="3" l="1"/>
  <c r="J437" i="3"/>
  <c r="H440" i="3" l="1"/>
  <c r="J438" i="3"/>
  <c r="H441" i="3" l="1"/>
  <c r="J439" i="3"/>
  <c r="H442" i="3" l="1"/>
  <c r="J440" i="3"/>
  <c r="H443" i="3" l="1"/>
  <c r="J441" i="3"/>
  <c r="H444" i="3" l="1"/>
  <c r="J442" i="3"/>
  <c r="H445" i="3" l="1"/>
  <c r="J443" i="3"/>
  <c r="H446" i="3" l="1"/>
  <c r="J444" i="3"/>
  <c r="H447" i="3" l="1"/>
  <c r="J445" i="3"/>
  <c r="H448" i="3" l="1"/>
  <c r="J446" i="3"/>
  <c r="H449" i="3" l="1"/>
  <c r="J447" i="3"/>
  <c r="H450" i="3" l="1"/>
  <c r="J448" i="3"/>
  <c r="H451" i="3" l="1"/>
  <c r="J449" i="3"/>
  <c r="H452" i="3" l="1"/>
  <c r="J450" i="3"/>
  <c r="H453" i="3" l="1"/>
  <c r="J451" i="3"/>
  <c r="H454" i="3" l="1"/>
  <c r="J452" i="3"/>
  <c r="H455" i="3" l="1"/>
  <c r="J453" i="3"/>
  <c r="H456" i="3" l="1"/>
  <c r="J454" i="3"/>
  <c r="H457" i="3" l="1"/>
  <c r="J455" i="3"/>
  <c r="H458" i="3" l="1"/>
  <c r="J456" i="3"/>
  <c r="H459" i="3" l="1"/>
  <c r="J457" i="3"/>
  <c r="H460" i="3" l="1"/>
  <c r="J458" i="3"/>
  <c r="H461" i="3" l="1"/>
  <c r="J459" i="3"/>
  <c r="H462" i="3" l="1"/>
  <c r="J460" i="3"/>
  <c r="H463" i="3" l="1"/>
  <c r="J461" i="3"/>
  <c r="H464" i="3" l="1"/>
  <c r="J462" i="3"/>
  <c r="H465" i="3" l="1"/>
  <c r="J463" i="3"/>
  <c r="H466" i="3" l="1"/>
  <c r="J464" i="3"/>
  <c r="H467" i="3" l="1"/>
  <c r="J465" i="3"/>
  <c r="H468" i="3" l="1"/>
  <c r="J466" i="3"/>
  <c r="H469" i="3" l="1"/>
  <c r="J467" i="3"/>
  <c r="H470" i="3" l="1"/>
  <c r="J468" i="3"/>
  <c r="H471" i="3" l="1"/>
  <c r="J469" i="3"/>
  <c r="H472" i="3" l="1"/>
  <c r="J470" i="3"/>
  <c r="H473" i="3" l="1"/>
  <c r="J471" i="3"/>
  <c r="H474" i="3" l="1"/>
  <c r="J472" i="3"/>
  <c r="H475" i="3" l="1"/>
  <c r="J473" i="3"/>
  <c r="H476" i="3" l="1"/>
  <c r="J474" i="3"/>
  <c r="H477" i="3" l="1"/>
  <c r="J475" i="3"/>
  <c r="H478" i="3" l="1"/>
  <c r="J476" i="3"/>
  <c r="H479" i="3" l="1"/>
  <c r="J477" i="3"/>
  <c r="H480" i="3" l="1"/>
  <c r="J478" i="3"/>
  <c r="H481" i="3" l="1"/>
  <c r="J479" i="3"/>
  <c r="H482" i="3" l="1"/>
  <c r="J480" i="3"/>
  <c r="H483" i="3" l="1"/>
  <c r="J481" i="3"/>
  <c r="H484" i="3" l="1"/>
  <c r="J482" i="3"/>
  <c r="H485" i="3" l="1"/>
  <c r="J483" i="3"/>
  <c r="H486" i="3" l="1"/>
  <c r="J484" i="3"/>
  <c r="H487" i="3" l="1"/>
  <c r="J485" i="3"/>
  <c r="H488" i="3" l="1"/>
  <c r="J486" i="3"/>
  <c r="H489" i="3" l="1"/>
  <c r="J487" i="3"/>
  <c r="H490" i="3" l="1"/>
  <c r="J488" i="3"/>
  <c r="H491" i="3" l="1"/>
  <c r="J489" i="3"/>
  <c r="H492" i="3" l="1"/>
  <c r="J490" i="3"/>
  <c r="H493" i="3" l="1"/>
  <c r="J491" i="3"/>
  <c r="H494" i="3" l="1"/>
  <c r="J492" i="3"/>
  <c r="H495" i="3" l="1"/>
  <c r="J493" i="3"/>
  <c r="H496" i="3" l="1"/>
  <c r="J494" i="3"/>
  <c r="H497" i="3" l="1"/>
  <c r="J495" i="3"/>
  <c r="H498" i="3" l="1"/>
  <c r="J496" i="3"/>
  <c r="H499" i="3" l="1"/>
  <c r="J497" i="3"/>
  <c r="H500" i="3" l="1"/>
  <c r="J498" i="3"/>
  <c r="H501" i="3" l="1"/>
  <c r="J499" i="3"/>
  <c r="H502" i="3" l="1"/>
  <c r="J500" i="3"/>
  <c r="H503" i="3" l="1"/>
  <c r="J501" i="3"/>
  <c r="H504" i="3" l="1"/>
  <c r="J502" i="3"/>
  <c r="H505" i="3" l="1"/>
  <c r="J503" i="3"/>
  <c r="H506" i="3" l="1"/>
  <c r="J504" i="3"/>
  <c r="H507" i="3" l="1"/>
  <c r="J505" i="3"/>
  <c r="H508" i="3" l="1"/>
  <c r="J506" i="3"/>
  <c r="H509" i="3" l="1"/>
  <c r="J507" i="3"/>
  <c r="H510" i="3" l="1"/>
  <c r="J508" i="3"/>
  <c r="H511" i="3" l="1"/>
  <c r="J509" i="3"/>
  <c r="H512" i="3" l="1"/>
  <c r="J510" i="3"/>
  <c r="H513" i="3" l="1"/>
  <c r="J511" i="3"/>
  <c r="H514" i="3" l="1"/>
  <c r="J512" i="3"/>
  <c r="H515" i="3" l="1"/>
  <c r="J513" i="3"/>
  <c r="H516" i="3" l="1"/>
  <c r="J514" i="3"/>
  <c r="H517" i="3" l="1"/>
  <c r="J515" i="3"/>
  <c r="H518" i="3" l="1"/>
  <c r="J516" i="3"/>
  <c r="H519" i="3" l="1"/>
  <c r="J517" i="3"/>
  <c r="H520" i="3" l="1"/>
  <c r="J518" i="3"/>
  <c r="H521" i="3" l="1"/>
  <c r="J519" i="3"/>
  <c r="H522" i="3" l="1"/>
  <c r="J520" i="3"/>
  <c r="H523" i="3" l="1"/>
  <c r="J521" i="3"/>
  <c r="H524" i="3" l="1"/>
  <c r="J522" i="3"/>
  <c r="H525" i="3" l="1"/>
  <c r="J523" i="3"/>
  <c r="H526" i="3" l="1"/>
  <c r="J524" i="3"/>
  <c r="H527" i="3" l="1"/>
  <c r="J525" i="3"/>
  <c r="H528" i="3" l="1"/>
  <c r="J526" i="3"/>
  <c r="H529" i="3" l="1"/>
  <c r="J527" i="3"/>
  <c r="H530" i="3" l="1"/>
  <c r="J528" i="3"/>
  <c r="H531" i="3" l="1"/>
  <c r="J529" i="3"/>
  <c r="H532" i="3" l="1"/>
  <c r="J530" i="3"/>
  <c r="H533" i="3" l="1"/>
  <c r="J531" i="3"/>
  <c r="H534" i="3" l="1"/>
  <c r="J532" i="3"/>
  <c r="H535" i="3" l="1"/>
  <c r="J533" i="3"/>
  <c r="H536" i="3" l="1"/>
  <c r="J534" i="3"/>
  <c r="H537" i="3" l="1"/>
  <c r="J535" i="3"/>
  <c r="H538" i="3" l="1"/>
  <c r="J536" i="3"/>
  <c r="H539" i="3" l="1"/>
  <c r="J537" i="3"/>
  <c r="H540" i="3" l="1"/>
  <c r="J538" i="3"/>
  <c r="H541" i="3" l="1"/>
  <c r="J539" i="3"/>
  <c r="H542" i="3" l="1"/>
  <c r="J540" i="3"/>
  <c r="H543" i="3" l="1"/>
  <c r="J541" i="3"/>
  <c r="H544" i="3" l="1"/>
  <c r="J542" i="3"/>
  <c r="H545" i="3" l="1"/>
  <c r="J543" i="3"/>
  <c r="H546" i="3" l="1"/>
  <c r="J544" i="3"/>
  <c r="H547" i="3" l="1"/>
  <c r="J545" i="3"/>
  <c r="H548" i="3" l="1"/>
  <c r="J546" i="3"/>
  <c r="H549" i="3" l="1"/>
  <c r="J547" i="3"/>
  <c r="H550" i="3" l="1"/>
  <c r="J548" i="3"/>
  <c r="H551" i="3" l="1"/>
  <c r="J549" i="3"/>
  <c r="H552" i="3" l="1"/>
  <c r="J550" i="3"/>
  <c r="H553" i="3" l="1"/>
  <c r="J551" i="3"/>
  <c r="H554" i="3" l="1"/>
  <c r="J552" i="3"/>
  <c r="H555" i="3" l="1"/>
  <c r="J553" i="3"/>
  <c r="H556" i="3" l="1"/>
  <c r="J554" i="3"/>
  <c r="H557" i="3" l="1"/>
  <c r="J555" i="3"/>
  <c r="H558" i="3" l="1"/>
  <c r="J556" i="3"/>
  <c r="H559" i="3" l="1"/>
  <c r="J557" i="3"/>
  <c r="H560" i="3" l="1"/>
  <c r="J558" i="3"/>
  <c r="H561" i="3" l="1"/>
  <c r="J559" i="3"/>
  <c r="H562" i="3" l="1"/>
  <c r="J560" i="3"/>
  <c r="H563" i="3" l="1"/>
  <c r="J561" i="3"/>
  <c r="H564" i="3" l="1"/>
  <c r="J562" i="3"/>
  <c r="H565" i="3" l="1"/>
  <c r="J563" i="3"/>
  <c r="H566" i="3" l="1"/>
  <c r="J564" i="3"/>
  <c r="H567" i="3" l="1"/>
  <c r="J565" i="3"/>
  <c r="H568" i="3" l="1"/>
  <c r="J566" i="3"/>
  <c r="H569" i="3" l="1"/>
  <c r="J567" i="3"/>
  <c r="H570" i="3" l="1"/>
  <c r="J568" i="3"/>
  <c r="H571" i="3" l="1"/>
  <c r="J569" i="3"/>
  <c r="H572" i="3" l="1"/>
  <c r="J570" i="3"/>
  <c r="H573" i="3" l="1"/>
  <c r="J571" i="3"/>
  <c r="H574" i="3" l="1"/>
  <c r="J572" i="3"/>
  <c r="H575" i="3" l="1"/>
  <c r="J573" i="3"/>
  <c r="H576" i="3" l="1"/>
  <c r="J574" i="3"/>
  <c r="H577" i="3" l="1"/>
  <c r="J575" i="3"/>
  <c r="H578" i="3" l="1"/>
  <c r="J576" i="3"/>
  <c r="H579" i="3" l="1"/>
  <c r="J577" i="3"/>
  <c r="H580" i="3" l="1"/>
  <c r="J578" i="3"/>
  <c r="H581" i="3" l="1"/>
  <c r="J579" i="3"/>
  <c r="H582" i="3" l="1"/>
  <c r="J580" i="3"/>
  <c r="H583" i="3" l="1"/>
  <c r="J581" i="3"/>
  <c r="H584" i="3" l="1"/>
  <c r="J582" i="3"/>
  <c r="H585" i="3" l="1"/>
  <c r="J583" i="3"/>
  <c r="H586" i="3" l="1"/>
  <c r="J584" i="3"/>
  <c r="H587" i="3" l="1"/>
  <c r="J585" i="3"/>
  <c r="H588" i="3" l="1"/>
  <c r="J586" i="3"/>
  <c r="H589" i="3" l="1"/>
  <c r="J587" i="3"/>
  <c r="H590" i="3" l="1"/>
  <c r="J588" i="3"/>
  <c r="H591" i="3" l="1"/>
  <c r="J589" i="3"/>
  <c r="H592" i="3" l="1"/>
  <c r="J590" i="3"/>
  <c r="H593" i="3" l="1"/>
  <c r="J591" i="3"/>
  <c r="H594" i="3" l="1"/>
  <c r="J592" i="3"/>
  <c r="H595" i="3" l="1"/>
  <c r="J593" i="3"/>
  <c r="H596" i="3" l="1"/>
  <c r="J594" i="3"/>
  <c r="H597" i="3" l="1"/>
  <c r="J595" i="3"/>
  <c r="H598" i="3" l="1"/>
  <c r="J596" i="3"/>
  <c r="H599" i="3" l="1"/>
  <c r="J597" i="3"/>
  <c r="H600" i="3" l="1"/>
  <c r="J598" i="3"/>
  <c r="H601" i="3" l="1"/>
  <c r="J599" i="3"/>
  <c r="H602" i="3" l="1"/>
  <c r="J600" i="3"/>
  <c r="H603" i="3" l="1"/>
  <c r="J601" i="3"/>
  <c r="H604" i="3" l="1"/>
  <c r="J602" i="3"/>
  <c r="H605" i="3" l="1"/>
  <c r="J603" i="3"/>
  <c r="H606" i="3" l="1"/>
  <c r="J604" i="3"/>
  <c r="H607" i="3" l="1"/>
  <c r="J605" i="3"/>
  <c r="H608" i="3" l="1"/>
  <c r="J606" i="3"/>
  <c r="H609" i="3" l="1"/>
  <c r="J607" i="3"/>
  <c r="H610" i="3" l="1"/>
  <c r="J608" i="3"/>
  <c r="H611" i="3" l="1"/>
  <c r="J609" i="3"/>
  <c r="H612" i="3" l="1"/>
  <c r="J610" i="3"/>
  <c r="H613" i="3" l="1"/>
  <c r="J611" i="3"/>
  <c r="H614" i="3" l="1"/>
  <c r="J612" i="3"/>
  <c r="H615" i="3" l="1"/>
  <c r="J613" i="3"/>
  <c r="H616" i="3" l="1"/>
  <c r="J614" i="3"/>
  <c r="H617" i="3" l="1"/>
  <c r="J615" i="3"/>
  <c r="H618" i="3" l="1"/>
  <c r="J616" i="3"/>
  <c r="H619" i="3" l="1"/>
  <c r="J617" i="3"/>
  <c r="H620" i="3" l="1"/>
  <c r="J618" i="3"/>
  <c r="H621" i="3" l="1"/>
  <c r="J619" i="3"/>
  <c r="H622" i="3" l="1"/>
  <c r="J620" i="3"/>
  <c r="H623" i="3" l="1"/>
  <c r="J621" i="3"/>
  <c r="H624" i="3" l="1"/>
  <c r="J622" i="3"/>
  <c r="H625" i="3" l="1"/>
  <c r="J623" i="3"/>
  <c r="H626" i="3" l="1"/>
  <c r="J624" i="3"/>
  <c r="H627" i="3" l="1"/>
  <c r="J625" i="3"/>
  <c r="H628" i="3" l="1"/>
  <c r="J626" i="3"/>
  <c r="H629" i="3" l="1"/>
  <c r="J627" i="3"/>
  <c r="H630" i="3" l="1"/>
  <c r="J628" i="3"/>
  <c r="H631" i="3" l="1"/>
  <c r="J629" i="3"/>
  <c r="H632" i="3" l="1"/>
  <c r="J630" i="3"/>
  <c r="H633" i="3" l="1"/>
  <c r="J631" i="3"/>
  <c r="H634" i="3" l="1"/>
  <c r="J632" i="3"/>
  <c r="H635" i="3" l="1"/>
  <c r="J633" i="3"/>
  <c r="H636" i="3" l="1"/>
  <c r="J634" i="3"/>
  <c r="H637" i="3" l="1"/>
  <c r="J635" i="3"/>
  <c r="H638" i="3" l="1"/>
  <c r="J636" i="3"/>
  <c r="H639" i="3" l="1"/>
  <c r="J637" i="3"/>
  <c r="H640" i="3" l="1"/>
  <c r="J638" i="3"/>
  <c r="H641" i="3" l="1"/>
  <c r="J639" i="3"/>
  <c r="H642" i="3" l="1"/>
  <c r="J640" i="3"/>
  <c r="H643" i="3" l="1"/>
  <c r="J641" i="3"/>
  <c r="H644" i="3" l="1"/>
  <c r="J642" i="3"/>
  <c r="H645" i="3" l="1"/>
  <c r="J643" i="3"/>
  <c r="H646" i="3" l="1"/>
  <c r="J644" i="3"/>
  <c r="H647" i="3" l="1"/>
  <c r="J645" i="3"/>
  <c r="H648" i="3" l="1"/>
  <c r="J646" i="3"/>
  <c r="H649" i="3" l="1"/>
  <c r="J647" i="3"/>
  <c r="H650" i="3" l="1"/>
  <c r="J648" i="3"/>
  <c r="H651" i="3" l="1"/>
  <c r="J649" i="3"/>
  <c r="H652" i="3" l="1"/>
  <c r="J650" i="3"/>
  <c r="H653" i="3" l="1"/>
  <c r="J651" i="3"/>
  <c r="H654" i="3" l="1"/>
  <c r="J652" i="3"/>
  <c r="H655" i="3" l="1"/>
  <c r="J653" i="3"/>
  <c r="H656" i="3" l="1"/>
  <c r="J654" i="3"/>
  <c r="H657" i="3" l="1"/>
  <c r="J655" i="3"/>
  <c r="H658" i="3" l="1"/>
  <c r="J656" i="3"/>
  <c r="H659" i="3" l="1"/>
  <c r="J657" i="3"/>
  <c r="H660" i="3" l="1"/>
  <c r="J658" i="3"/>
  <c r="H661" i="3" l="1"/>
  <c r="J659" i="3"/>
  <c r="H662" i="3" l="1"/>
  <c r="J660" i="3"/>
  <c r="H663" i="3" l="1"/>
  <c r="J661" i="3"/>
  <c r="H664" i="3" l="1"/>
  <c r="J662" i="3"/>
  <c r="H665" i="3" l="1"/>
  <c r="J663" i="3"/>
  <c r="H666" i="3" l="1"/>
  <c r="J664" i="3"/>
  <c r="H667" i="3" l="1"/>
  <c r="J665" i="3"/>
  <c r="H668" i="3" l="1"/>
  <c r="J666" i="3"/>
  <c r="H669" i="3" l="1"/>
  <c r="J667" i="3"/>
  <c r="H670" i="3" l="1"/>
  <c r="J668" i="3"/>
  <c r="H671" i="3" l="1"/>
  <c r="J669" i="3"/>
  <c r="H672" i="3" l="1"/>
  <c r="J670" i="3"/>
  <c r="H673" i="3" l="1"/>
  <c r="J671" i="3"/>
  <c r="H674" i="3" l="1"/>
  <c r="J672" i="3"/>
  <c r="H675" i="3" l="1"/>
  <c r="J673" i="3"/>
  <c r="H676" i="3" l="1"/>
  <c r="J674" i="3"/>
  <c r="H677" i="3" l="1"/>
  <c r="J675" i="3"/>
  <c r="H678" i="3" l="1"/>
  <c r="J676" i="3"/>
  <c r="H679" i="3" l="1"/>
  <c r="J677" i="3"/>
  <c r="H680" i="3" l="1"/>
  <c r="J678" i="3"/>
  <c r="H681" i="3" l="1"/>
  <c r="J679" i="3"/>
  <c r="H682" i="3" l="1"/>
  <c r="J680" i="3"/>
  <c r="H683" i="3" l="1"/>
  <c r="J681" i="3"/>
  <c r="H684" i="3" l="1"/>
  <c r="J682" i="3"/>
  <c r="H685" i="3" l="1"/>
  <c r="J683" i="3"/>
  <c r="H686" i="3" l="1"/>
  <c r="J684" i="3"/>
  <c r="H687" i="3" l="1"/>
  <c r="J685" i="3"/>
  <c r="H688" i="3" l="1"/>
  <c r="J686" i="3"/>
  <c r="H689" i="3" l="1"/>
  <c r="J687" i="3"/>
  <c r="H690" i="3" l="1"/>
  <c r="J688" i="3"/>
  <c r="H691" i="3" l="1"/>
  <c r="J689" i="3"/>
  <c r="H692" i="3" l="1"/>
  <c r="J690" i="3"/>
  <c r="H693" i="3" l="1"/>
  <c r="J691" i="3"/>
  <c r="H694" i="3" l="1"/>
  <c r="J692" i="3"/>
  <c r="H695" i="3" l="1"/>
  <c r="J693" i="3"/>
  <c r="H696" i="3" l="1"/>
  <c r="J694" i="3"/>
  <c r="H697" i="3" l="1"/>
  <c r="J695" i="3"/>
  <c r="H698" i="3" l="1"/>
  <c r="J696" i="3"/>
  <c r="H699" i="3" l="1"/>
  <c r="J697" i="3"/>
  <c r="H700" i="3" l="1"/>
  <c r="J698" i="3"/>
  <c r="H701" i="3" l="1"/>
  <c r="J699" i="3"/>
  <c r="H702" i="3" l="1"/>
  <c r="J700" i="3"/>
  <c r="H703" i="3" l="1"/>
  <c r="J701" i="3"/>
  <c r="H704" i="3" l="1"/>
  <c r="J702" i="3"/>
  <c r="H705" i="3" l="1"/>
  <c r="J703" i="3"/>
  <c r="H706" i="3" l="1"/>
  <c r="J704" i="3"/>
  <c r="H707" i="3" l="1"/>
  <c r="J705" i="3"/>
  <c r="H708" i="3" l="1"/>
  <c r="J706" i="3"/>
  <c r="H709" i="3" l="1"/>
  <c r="J707" i="3"/>
  <c r="H710" i="3" l="1"/>
  <c r="J708" i="3"/>
  <c r="H711" i="3" l="1"/>
  <c r="J709" i="3"/>
  <c r="H712" i="3" l="1"/>
  <c r="J710" i="3"/>
  <c r="H713" i="3" l="1"/>
  <c r="J711" i="3"/>
  <c r="H714" i="3" l="1"/>
  <c r="J712" i="3"/>
  <c r="H715" i="3" l="1"/>
  <c r="J713" i="3"/>
  <c r="H716" i="3" l="1"/>
  <c r="J714" i="3"/>
  <c r="H717" i="3" l="1"/>
  <c r="J715" i="3"/>
  <c r="H718" i="3" l="1"/>
  <c r="J716" i="3"/>
  <c r="H719" i="3" l="1"/>
  <c r="J717" i="3"/>
  <c r="H720" i="3" l="1"/>
  <c r="J718" i="3"/>
  <c r="H721" i="3" l="1"/>
  <c r="J719" i="3"/>
  <c r="H722" i="3" l="1"/>
  <c r="J720" i="3"/>
  <c r="H723" i="3" l="1"/>
  <c r="J721" i="3"/>
  <c r="H724" i="3" l="1"/>
  <c r="J722" i="3"/>
  <c r="H725" i="3" l="1"/>
  <c r="J723" i="3"/>
  <c r="H726" i="3" l="1"/>
  <c r="J724" i="3"/>
  <c r="H727" i="3" l="1"/>
  <c r="J725" i="3"/>
  <c r="H728" i="3" l="1"/>
  <c r="J726" i="3"/>
  <c r="H729" i="3" l="1"/>
  <c r="J727" i="3"/>
  <c r="H730" i="3" l="1"/>
  <c r="J728" i="3"/>
  <c r="H731" i="3" l="1"/>
  <c r="J729" i="3"/>
  <c r="H732" i="3" l="1"/>
  <c r="J730" i="3"/>
  <c r="H733" i="3" l="1"/>
  <c r="J731" i="3"/>
  <c r="H734" i="3" l="1"/>
  <c r="J732" i="3"/>
  <c r="H735" i="3" l="1"/>
  <c r="J733" i="3"/>
  <c r="H736" i="3" l="1"/>
  <c r="J734" i="3"/>
  <c r="H737" i="3" l="1"/>
  <c r="J735" i="3"/>
  <c r="H738" i="3" l="1"/>
  <c r="J736" i="3"/>
  <c r="H739" i="3" l="1"/>
  <c r="J737" i="3"/>
  <c r="H740" i="3" l="1"/>
  <c r="J738" i="3"/>
  <c r="H741" i="3" l="1"/>
  <c r="J739" i="3"/>
  <c r="H742" i="3" l="1"/>
  <c r="J740" i="3"/>
  <c r="H743" i="3" l="1"/>
  <c r="J741" i="3"/>
  <c r="H744" i="3" l="1"/>
  <c r="J742" i="3"/>
  <c r="H745" i="3" l="1"/>
  <c r="J743" i="3"/>
  <c r="H746" i="3" l="1"/>
  <c r="J744" i="3"/>
  <c r="H747" i="3" l="1"/>
  <c r="J745" i="3"/>
  <c r="H748" i="3" l="1"/>
  <c r="J746" i="3"/>
  <c r="H749" i="3" l="1"/>
  <c r="J747" i="3"/>
  <c r="H750" i="3" l="1"/>
  <c r="J748" i="3"/>
  <c r="H751" i="3" l="1"/>
  <c r="J749" i="3"/>
  <c r="H752" i="3" l="1"/>
  <c r="J750" i="3"/>
  <c r="H753" i="3" l="1"/>
  <c r="J751" i="3"/>
  <c r="H754" i="3" l="1"/>
  <c r="J752" i="3"/>
  <c r="H755" i="3" l="1"/>
  <c r="J753" i="3"/>
  <c r="H756" i="3" l="1"/>
  <c r="J754" i="3"/>
  <c r="H757" i="3" l="1"/>
  <c r="J755" i="3"/>
  <c r="H758" i="3" l="1"/>
  <c r="J756" i="3"/>
  <c r="H759" i="3" l="1"/>
  <c r="J757" i="3"/>
  <c r="H760" i="3" l="1"/>
  <c r="J758" i="3"/>
  <c r="H761" i="3" l="1"/>
  <c r="J759" i="3"/>
  <c r="H762" i="3" l="1"/>
  <c r="J760" i="3"/>
  <c r="H763" i="3" l="1"/>
  <c r="J761" i="3"/>
  <c r="H764" i="3" l="1"/>
  <c r="J762" i="3"/>
  <c r="H765" i="3" l="1"/>
  <c r="J763" i="3"/>
  <c r="H766" i="3" l="1"/>
  <c r="J764" i="3"/>
  <c r="H767" i="3" l="1"/>
  <c r="J765" i="3"/>
  <c r="H768" i="3" l="1"/>
  <c r="J766" i="3"/>
  <c r="H769" i="3" l="1"/>
  <c r="J767" i="3"/>
  <c r="H770" i="3" l="1"/>
  <c r="J768" i="3"/>
  <c r="H771" i="3" l="1"/>
  <c r="J769" i="3"/>
  <c r="H772" i="3" l="1"/>
  <c r="J770" i="3"/>
  <c r="H773" i="3" l="1"/>
  <c r="J771" i="3"/>
  <c r="H774" i="3" l="1"/>
  <c r="J772" i="3"/>
  <c r="H775" i="3" l="1"/>
  <c r="J773" i="3"/>
  <c r="H776" i="3" l="1"/>
  <c r="J774" i="3"/>
  <c r="H777" i="3" l="1"/>
  <c r="J775" i="3"/>
  <c r="H778" i="3" l="1"/>
  <c r="J776" i="3"/>
  <c r="H779" i="3" l="1"/>
  <c r="J777" i="3"/>
  <c r="H780" i="3" l="1"/>
  <c r="J778" i="3"/>
  <c r="H781" i="3" l="1"/>
  <c r="J779" i="3"/>
  <c r="H782" i="3" l="1"/>
  <c r="J780" i="3"/>
  <c r="H783" i="3" l="1"/>
  <c r="J781" i="3"/>
  <c r="H784" i="3" l="1"/>
  <c r="J782" i="3"/>
  <c r="H785" i="3" l="1"/>
  <c r="J783" i="3"/>
  <c r="H786" i="3" l="1"/>
  <c r="J784" i="3"/>
  <c r="H787" i="3" l="1"/>
  <c r="J785" i="3"/>
  <c r="H788" i="3" l="1"/>
  <c r="J786" i="3"/>
  <c r="H789" i="3" l="1"/>
  <c r="J787" i="3"/>
  <c r="H790" i="3" l="1"/>
  <c r="J788" i="3"/>
  <c r="H791" i="3" l="1"/>
  <c r="J789" i="3"/>
  <c r="H792" i="3" l="1"/>
  <c r="J790" i="3"/>
  <c r="H793" i="3" l="1"/>
  <c r="J791" i="3"/>
  <c r="H794" i="3" l="1"/>
  <c r="J792" i="3"/>
  <c r="H795" i="3" l="1"/>
  <c r="J793" i="3"/>
  <c r="H796" i="3" l="1"/>
  <c r="J794" i="3"/>
  <c r="H797" i="3" l="1"/>
  <c r="J795" i="3"/>
  <c r="H798" i="3" l="1"/>
  <c r="J796" i="3"/>
  <c r="H799" i="3" l="1"/>
  <c r="J797" i="3"/>
  <c r="H800" i="3" l="1"/>
  <c r="J798" i="3"/>
  <c r="H801" i="3" l="1"/>
  <c r="J799" i="3"/>
  <c r="H802" i="3" l="1"/>
  <c r="J800" i="3"/>
  <c r="H803" i="3" l="1"/>
  <c r="J801" i="3"/>
  <c r="H804" i="3" l="1"/>
  <c r="J802" i="3"/>
  <c r="H805" i="3" l="1"/>
  <c r="J803" i="3"/>
  <c r="H806" i="3" l="1"/>
  <c r="J804" i="3"/>
  <c r="H807" i="3" l="1"/>
  <c r="J805" i="3"/>
  <c r="H808" i="3" l="1"/>
  <c r="J806" i="3"/>
  <c r="H809" i="3" l="1"/>
  <c r="J807" i="3"/>
  <c r="H810" i="3" l="1"/>
  <c r="J808" i="3"/>
  <c r="H811" i="3" l="1"/>
  <c r="J809" i="3"/>
  <c r="H812" i="3" l="1"/>
  <c r="J810" i="3"/>
  <c r="H813" i="3" l="1"/>
  <c r="J811" i="3"/>
  <c r="H814" i="3" l="1"/>
  <c r="J812" i="3"/>
  <c r="H815" i="3" l="1"/>
  <c r="J813" i="3"/>
  <c r="H816" i="3" l="1"/>
  <c r="J814" i="3"/>
  <c r="H817" i="3" l="1"/>
  <c r="J815" i="3"/>
  <c r="H818" i="3" l="1"/>
  <c r="J816" i="3"/>
  <c r="H819" i="3" l="1"/>
  <c r="J817" i="3"/>
  <c r="H820" i="3" l="1"/>
  <c r="J818" i="3"/>
  <c r="H821" i="3" l="1"/>
  <c r="J819" i="3"/>
  <c r="H822" i="3" l="1"/>
  <c r="J820" i="3"/>
  <c r="H823" i="3" l="1"/>
  <c r="J821" i="3"/>
  <c r="H824" i="3" l="1"/>
  <c r="J822" i="3"/>
  <c r="H825" i="3" l="1"/>
  <c r="J823" i="3"/>
  <c r="H826" i="3" l="1"/>
  <c r="J824" i="3"/>
  <c r="H827" i="3" l="1"/>
  <c r="J825" i="3"/>
  <c r="H828" i="3" l="1"/>
  <c r="J826" i="3"/>
  <c r="H829" i="3" l="1"/>
  <c r="J827" i="3"/>
  <c r="H830" i="3" l="1"/>
  <c r="J828" i="3"/>
  <c r="H831" i="3" l="1"/>
  <c r="J829" i="3"/>
  <c r="H832" i="3" l="1"/>
  <c r="J830" i="3"/>
  <c r="H833" i="3" l="1"/>
  <c r="J831" i="3"/>
  <c r="H834" i="3" l="1"/>
  <c r="J832" i="3"/>
  <c r="H835" i="3" l="1"/>
  <c r="J833" i="3"/>
  <c r="H836" i="3" l="1"/>
  <c r="J834" i="3"/>
  <c r="H837" i="3" l="1"/>
  <c r="J835" i="3"/>
  <c r="H838" i="3" l="1"/>
  <c r="J836" i="3"/>
  <c r="H839" i="3" l="1"/>
  <c r="J837" i="3"/>
  <c r="H840" i="3" l="1"/>
  <c r="J838" i="3"/>
  <c r="H841" i="3" l="1"/>
  <c r="J839" i="3"/>
  <c r="H842" i="3" l="1"/>
  <c r="J840" i="3"/>
  <c r="H843" i="3" l="1"/>
  <c r="J841" i="3"/>
  <c r="H844" i="3" l="1"/>
  <c r="J842" i="3"/>
  <c r="H845" i="3" l="1"/>
  <c r="J843" i="3"/>
  <c r="H846" i="3" l="1"/>
  <c r="J844" i="3"/>
  <c r="H847" i="3" l="1"/>
  <c r="J845" i="3"/>
  <c r="H848" i="3" l="1"/>
  <c r="J846" i="3"/>
  <c r="H849" i="3" l="1"/>
  <c r="J847" i="3"/>
  <c r="H850" i="3" l="1"/>
  <c r="J848" i="3"/>
  <c r="H851" i="3" l="1"/>
  <c r="J849" i="3"/>
  <c r="H852" i="3" l="1"/>
  <c r="J850" i="3"/>
  <c r="H853" i="3" l="1"/>
  <c r="J851" i="3"/>
  <c r="H854" i="3" l="1"/>
  <c r="J852" i="3"/>
  <c r="H855" i="3" l="1"/>
  <c r="J853" i="3"/>
  <c r="H856" i="3" l="1"/>
  <c r="J854" i="3"/>
  <c r="H857" i="3" l="1"/>
  <c r="J855" i="3"/>
  <c r="H858" i="3" l="1"/>
  <c r="J856" i="3"/>
  <c r="H859" i="3" l="1"/>
  <c r="J857" i="3"/>
  <c r="H860" i="3" l="1"/>
  <c r="J858" i="3"/>
  <c r="H861" i="3" l="1"/>
  <c r="J859" i="3"/>
  <c r="H862" i="3" l="1"/>
  <c r="J860" i="3"/>
  <c r="H863" i="3" l="1"/>
  <c r="J861" i="3"/>
  <c r="H864" i="3" l="1"/>
  <c r="J862" i="3"/>
  <c r="H865" i="3" l="1"/>
  <c r="J863" i="3"/>
  <c r="H866" i="3" l="1"/>
  <c r="J864" i="3"/>
  <c r="H867" i="3" l="1"/>
  <c r="J865" i="3"/>
  <c r="H868" i="3" l="1"/>
  <c r="J866" i="3"/>
  <c r="H869" i="3" l="1"/>
  <c r="J867" i="3"/>
  <c r="H870" i="3" l="1"/>
  <c r="J868" i="3"/>
  <c r="H871" i="3" l="1"/>
  <c r="J869" i="3"/>
  <c r="H872" i="3" l="1"/>
  <c r="J870" i="3"/>
  <c r="H873" i="3" l="1"/>
  <c r="J871" i="3"/>
  <c r="H874" i="3" l="1"/>
  <c r="J872" i="3"/>
  <c r="H875" i="3" l="1"/>
  <c r="J873" i="3"/>
  <c r="H876" i="3" l="1"/>
  <c r="J874" i="3"/>
  <c r="H877" i="3" l="1"/>
  <c r="J875" i="3"/>
  <c r="H878" i="3" l="1"/>
  <c r="J876" i="3"/>
  <c r="H879" i="3" l="1"/>
  <c r="J877" i="3"/>
  <c r="H880" i="3" l="1"/>
  <c r="J878" i="3"/>
  <c r="H881" i="3" l="1"/>
  <c r="J879" i="3"/>
  <c r="H882" i="3" l="1"/>
  <c r="J880" i="3"/>
  <c r="H883" i="3" l="1"/>
  <c r="J881" i="3"/>
  <c r="H884" i="3" l="1"/>
  <c r="J882" i="3"/>
  <c r="H885" i="3" l="1"/>
  <c r="J883" i="3"/>
  <c r="H886" i="3" l="1"/>
  <c r="J884" i="3"/>
  <c r="H887" i="3" l="1"/>
  <c r="J885" i="3"/>
  <c r="H888" i="3" l="1"/>
  <c r="J886" i="3"/>
  <c r="H889" i="3" l="1"/>
  <c r="J887" i="3"/>
  <c r="H890" i="3" l="1"/>
  <c r="J888" i="3"/>
  <c r="H891" i="3" l="1"/>
  <c r="J889" i="3"/>
  <c r="H892" i="3" l="1"/>
  <c r="J890" i="3"/>
  <c r="H893" i="3" l="1"/>
  <c r="J891" i="3"/>
  <c r="H894" i="3" l="1"/>
  <c r="J892" i="3"/>
  <c r="H895" i="3" l="1"/>
  <c r="J893" i="3"/>
  <c r="H896" i="3" l="1"/>
  <c r="J894" i="3"/>
  <c r="H897" i="3" l="1"/>
  <c r="J895" i="3"/>
  <c r="H898" i="3" l="1"/>
  <c r="J896" i="3"/>
  <c r="H899" i="3" l="1"/>
  <c r="J897" i="3"/>
  <c r="H900" i="3" l="1"/>
  <c r="J898" i="3"/>
  <c r="H901" i="3" l="1"/>
  <c r="J899" i="3"/>
  <c r="H902" i="3" l="1"/>
  <c r="J900" i="3"/>
  <c r="H903" i="3" l="1"/>
  <c r="J901" i="3"/>
  <c r="H904" i="3" l="1"/>
  <c r="J902" i="3"/>
  <c r="H905" i="3" l="1"/>
  <c r="J903" i="3"/>
  <c r="H906" i="3" l="1"/>
  <c r="J904" i="3"/>
  <c r="H907" i="3" l="1"/>
  <c r="J905" i="3"/>
  <c r="H908" i="3" l="1"/>
  <c r="J906" i="3"/>
  <c r="H909" i="3" l="1"/>
  <c r="J907" i="3"/>
  <c r="H910" i="3" l="1"/>
  <c r="J908" i="3"/>
  <c r="H911" i="3" l="1"/>
  <c r="J909" i="3"/>
  <c r="H912" i="3" l="1"/>
  <c r="J910" i="3"/>
  <c r="H913" i="3" l="1"/>
  <c r="J911" i="3"/>
  <c r="H914" i="3" l="1"/>
  <c r="J912" i="3"/>
  <c r="H915" i="3" l="1"/>
  <c r="J913" i="3"/>
  <c r="H916" i="3" l="1"/>
  <c r="J914" i="3"/>
  <c r="H917" i="3" l="1"/>
  <c r="J915" i="3"/>
  <c r="H918" i="3" l="1"/>
  <c r="J916" i="3"/>
  <c r="H919" i="3" l="1"/>
  <c r="J917" i="3"/>
  <c r="H920" i="3" l="1"/>
  <c r="J918" i="3"/>
  <c r="H921" i="3" l="1"/>
  <c r="J919" i="3"/>
  <c r="H922" i="3" l="1"/>
  <c r="J920" i="3"/>
  <c r="H923" i="3" l="1"/>
  <c r="J921" i="3"/>
  <c r="H924" i="3" l="1"/>
  <c r="J922" i="3"/>
  <c r="H925" i="3" l="1"/>
  <c r="J923" i="3"/>
  <c r="H926" i="3" l="1"/>
  <c r="J924" i="3"/>
  <c r="H927" i="3" l="1"/>
  <c r="J925" i="3"/>
  <c r="H928" i="3" l="1"/>
  <c r="J926" i="3"/>
  <c r="H929" i="3" l="1"/>
  <c r="J927" i="3"/>
  <c r="H930" i="3" l="1"/>
  <c r="J928" i="3"/>
  <c r="H931" i="3" l="1"/>
  <c r="J929" i="3"/>
  <c r="H932" i="3" l="1"/>
  <c r="J930" i="3"/>
  <c r="H933" i="3" l="1"/>
  <c r="J931" i="3"/>
  <c r="H934" i="3" l="1"/>
  <c r="J932" i="3"/>
  <c r="H935" i="3" l="1"/>
  <c r="J933" i="3"/>
  <c r="H936" i="3" l="1"/>
  <c r="J934" i="3"/>
  <c r="H937" i="3" l="1"/>
  <c r="J935" i="3"/>
  <c r="H938" i="3" l="1"/>
  <c r="J936" i="3"/>
  <c r="H939" i="3" l="1"/>
  <c r="J937" i="3"/>
  <c r="H940" i="3" l="1"/>
  <c r="J938" i="3"/>
  <c r="H941" i="3" l="1"/>
  <c r="J939" i="3"/>
  <c r="H942" i="3" l="1"/>
  <c r="J940" i="3"/>
  <c r="H943" i="3" l="1"/>
  <c r="J941" i="3"/>
  <c r="H944" i="3" l="1"/>
  <c r="J942" i="3"/>
  <c r="H945" i="3" l="1"/>
  <c r="J943" i="3"/>
  <c r="H946" i="3" l="1"/>
  <c r="J944" i="3"/>
  <c r="H947" i="3" l="1"/>
  <c r="J945" i="3"/>
  <c r="H948" i="3" l="1"/>
  <c r="J946" i="3"/>
  <c r="H949" i="3" l="1"/>
  <c r="J947" i="3"/>
  <c r="H950" i="3" l="1"/>
  <c r="J948" i="3"/>
  <c r="H951" i="3" l="1"/>
  <c r="J949" i="3"/>
  <c r="H952" i="3" l="1"/>
  <c r="J950" i="3"/>
  <c r="H953" i="3" l="1"/>
  <c r="J951" i="3"/>
  <c r="H954" i="3" l="1"/>
  <c r="J952" i="3"/>
  <c r="H955" i="3" l="1"/>
  <c r="J953" i="3"/>
  <c r="H956" i="3" l="1"/>
  <c r="J954" i="3"/>
  <c r="H957" i="3" l="1"/>
  <c r="J955" i="3"/>
  <c r="H958" i="3" l="1"/>
  <c r="J956" i="3"/>
  <c r="H959" i="3" l="1"/>
  <c r="J957" i="3"/>
  <c r="H960" i="3" l="1"/>
  <c r="J958" i="3"/>
  <c r="H961" i="3" l="1"/>
  <c r="J959" i="3"/>
  <c r="H962" i="3" l="1"/>
  <c r="J960" i="3"/>
  <c r="H963" i="3" l="1"/>
  <c r="J961" i="3"/>
  <c r="H964" i="3" l="1"/>
  <c r="J962" i="3"/>
  <c r="H965" i="3" l="1"/>
  <c r="J963" i="3"/>
  <c r="H966" i="3" l="1"/>
  <c r="J964" i="3"/>
  <c r="H967" i="3" l="1"/>
  <c r="J965" i="3"/>
  <c r="H968" i="3" l="1"/>
  <c r="J966" i="3"/>
  <c r="H969" i="3" l="1"/>
  <c r="J967" i="3"/>
  <c r="H970" i="3" l="1"/>
  <c r="J968" i="3"/>
  <c r="H971" i="3" l="1"/>
  <c r="J969" i="3"/>
  <c r="H972" i="3" l="1"/>
  <c r="J970" i="3"/>
  <c r="H973" i="3" l="1"/>
  <c r="J971" i="3"/>
  <c r="H974" i="3" l="1"/>
  <c r="J972" i="3"/>
  <c r="H975" i="3" l="1"/>
  <c r="J973" i="3"/>
  <c r="H976" i="3" l="1"/>
  <c r="J974" i="3"/>
  <c r="H977" i="3" l="1"/>
  <c r="J975" i="3"/>
  <c r="H978" i="3" l="1"/>
  <c r="J976" i="3"/>
  <c r="H979" i="3" l="1"/>
  <c r="J977" i="3"/>
  <c r="H980" i="3" l="1"/>
  <c r="J978" i="3"/>
  <c r="H981" i="3" l="1"/>
  <c r="J979" i="3"/>
  <c r="H982" i="3" l="1"/>
  <c r="J980" i="3"/>
  <c r="H983" i="3" l="1"/>
  <c r="J981" i="3"/>
  <c r="H984" i="3" l="1"/>
  <c r="J982" i="3"/>
  <c r="H985" i="3" l="1"/>
  <c r="J983" i="3"/>
  <c r="H986" i="3" l="1"/>
  <c r="J984" i="3"/>
  <c r="H987" i="3" l="1"/>
  <c r="J985" i="3"/>
  <c r="H988" i="3" l="1"/>
  <c r="J986" i="3"/>
  <c r="H989" i="3" l="1"/>
  <c r="J987" i="3"/>
  <c r="H990" i="3" l="1"/>
  <c r="J988" i="3"/>
  <c r="H991" i="3" l="1"/>
  <c r="J989" i="3"/>
  <c r="H992" i="3" l="1"/>
  <c r="J990" i="3"/>
  <c r="H993" i="3" l="1"/>
  <c r="J991" i="3"/>
  <c r="H994" i="3" l="1"/>
  <c r="J992" i="3"/>
  <c r="H995" i="3" l="1"/>
  <c r="J993" i="3"/>
  <c r="H996" i="3" l="1"/>
  <c r="J994" i="3"/>
  <c r="H997" i="3" l="1"/>
  <c r="J995" i="3"/>
  <c r="H998" i="3" l="1"/>
  <c r="J996" i="3"/>
  <c r="H999" i="3" l="1"/>
  <c r="J997" i="3"/>
  <c r="H1000" i="3" l="1"/>
  <c r="J998" i="3"/>
  <c r="H1001" i="3" l="1"/>
  <c r="J999" i="3"/>
  <c r="H1002" i="3" l="1"/>
  <c r="J1000" i="3"/>
  <c r="H1003" i="3" l="1"/>
  <c r="J1001" i="3"/>
  <c r="H1004" i="3" l="1"/>
  <c r="J1002" i="3"/>
  <c r="H1005" i="3" l="1"/>
  <c r="J1003" i="3"/>
  <c r="L35" i="3" a="1"/>
  <c r="L41" i="3" a="1"/>
  <c r="L41" i="3" l="1"/>
  <c r="L35" i="3"/>
  <c r="J1004" i="3"/>
  <c r="J1005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<sst xmlns="http://schemas.openxmlformats.org/spreadsheetml/2006/main" count="69" uniqueCount="57">
  <si>
    <t>x</t>
  </si>
  <si>
    <t>y</t>
  </si>
  <si>
    <t>z</t>
  </si>
  <si>
    <t>prob</t>
  </si>
  <si>
    <t>inv</t>
  </si>
  <si>
    <t>x+y</t>
  </si>
  <si>
    <t>test1 rsult:</t>
  </si>
  <si>
    <t>area result</t>
  </si>
  <si>
    <t>Inverse of normal distribution</t>
  </si>
  <si>
    <t>norm dist</t>
  </si>
  <si>
    <t>alpha</t>
  </si>
  <si>
    <t>beta</t>
  </si>
  <si>
    <t>sigma</t>
  </si>
  <si>
    <t>gamma</t>
  </si>
  <si>
    <t>k</t>
  </si>
  <si>
    <t>dt</t>
  </si>
  <si>
    <t>theta</t>
  </si>
  <si>
    <t>tstop</t>
  </si>
  <si>
    <t>Remember:</t>
  </si>
  <si>
    <t>CKLS:</t>
  </si>
  <si>
    <t>OU:</t>
  </si>
  <si>
    <t>General:</t>
  </si>
  <si>
    <t>Probabilities</t>
  </si>
  <si>
    <t>Z~N(0,1)</t>
  </si>
  <si>
    <t>X[i+1] = X[i] + (alpha - beta * X[i]) * dt + sigma * X[i]**gamma * sqrt(t) * Z[i]</t>
  </si>
  <si>
    <t>SDE modelling with VBA</t>
  </si>
  <si>
    <t>Time</t>
  </si>
  <si>
    <t>Path (CKLS)</t>
  </si>
  <si>
    <t>Path(OU)</t>
  </si>
  <si>
    <t>red = enter manually</t>
  </si>
  <si>
    <t xml:space="preserve"> dx = (a + b X) dt + sig X^gamma dW</t>
  </si>
  <si>
    <t>dX = k ( theta - X) dt + sigma dWt</t>
  </si>
  <si>
    <t>colonburice@yahoo.co.uk</t>
  </si>
  <si>
    <t>X[i+1] = X[i]*np.exp(-k*dt) + theta*(1-np.exp(-k*dt)) + sigma*np.sqrt( (1-np.exp(-2*k*dt))/(2*k) )*Z[i]</t>
  </si>
  <si>
    <t>alpha (=k*theta)</t>
  </si>
  <si>
    <t>Path (GBm)</t>
  </si>
  <si>
    <t>GBm</t>
  </si>
  <si>
    <t>GBm:</t>
  </si>
  <si>
    <t>Error (CKLS-OU)</t>
  </si>
  <si>
    <t>dX = mu* X[i] * dt + sigma * X[i] * dW</t>
  </si>
  <si>
    <t>X[i+1] = X[i] * np.exp(((mu - 0.5 * sigma**2) * dt) + (sigma * sqrt[dt] * Z[i]))</t>
  </si>
  <si>
    <t>Check:</t>
  </si>
  <si>
    <t>alternative = rand()</t>
  </si>
  <si>
    <t>alternative = normsinv</t>
  </si>
  <si>
    <t>[NORM.INV(U[0,1],0,1)]</t>
  </si>
  <si>
    <t>RANDARRAY(M2) =&gt; U(0,1)</t>
  </si>
  <si>
    <t>tsteps*</t>
  </si>
  <si>
    <t>Duplicates for solver to muck around with…</t>
  </si>
  <si>
    <t>mean (mu=theta)</t>
  </si>
  <si>
    <t>* if you change tsteps you have to change the length of the series manually</t>
  </si>
  <si>
    <t>cumulative sum</t>
  </si>
  <si>
    <t>Path Equations For Reference:</t>
  </si>
  <si>
    <t>gamma = 1 = gbm (a = 0, b=1)</t>
  </si>
  <si>
    <t>gamma = 0 = ou/vasicek (a=k*theta)</t>
  </si>
  <si>
    <t>gamma = 1/2 = cir (not used yet)</t>
  </si>
  <si>
    <t>CKLSMLE: (GBm)</t>
  </si>
  <si>
    <t>CKLSMLE: (OU)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</si>
</sst>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1"/>
    <xf numFmtId="0" fontId="0" fillId="2" borderId="0" xfId="0" applyFill="1"/>
    <xf numFmtId="0" fontId="0" fillId="0" borderId="0" xfId="0" applyFont="1" applyFill="1" applyBorder="1" applyAlignment="1">
      <alignment shrinkToFit="1"/>
    </xf>
    <xf numFmtId="0" fontId="9" fillId="0" borderId="0" xfId="0" applyFont="1" applyBorder="1" applyAlignment="1">
      <alignment horizontal="right"/>
    </xf>
    <xf numFmtId="0" fontId="10" fillId="0" borderId="0" xfId="0" applyFont="1" applyBorder="1"/>
    <xf numFmtId="0" fontId="1" fillId="0" borderId="0" xfId="0" applyFont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right"/>
    </xf>
    <xf numFmtId="0" fontId="11" fillId="0" borderId="0" xfId="0" applyFont="1"/>
    <xf numFmtId="0" fontId="0" fillId="0" borderId="0" xfId="0" applyFont="1" applyFill="1" applyBorder="1" applyAlignment="1"/>
    <xf numFmtId="0" fontId="1" fillId="2" borderId="0" xfId="0" applyFont="1" applyFill="1"/>
    <xf numFmtId="0" fontId="1" fillId="0" borderId="0" xfId="0" applyFont="1" applyAlignment="1">
      <alignment horizontal="center"/>
    </xf>
    <xf numFmtId="0" fontId="12" fillId="0" borderId="0" xfId="0" applyFont="1"/>
    <xf numFmtId="0" fontId="3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test_area!$F$4:$F$134</c:f>
              <c:numCache>
                <c:formatCode>General</c:formatCode>
                <c:ptCount val="13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0.01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0.01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0.01</c:v>
                </c:pt>
                <c:pt idx="13">
                  <c:v>0.11</c:v>
                </c:pt>
                <c:pt idx="14">
                  <c:v>0.12</c:v>
                </c:pt>
                <c:pt idx="15">
                  <c:v>0.13</c:v>
                </c:pt>
                <c:pt idx="16">
                  <c:v>0.01</c:v>
                </c:pt>
                <c:pt idx="17">
                  <c:v>0.14000000000000001</c:v>
                </c:pt>
                <c:pt idx="18">
                  <c:v>0.15</c:v>
                </c:pt>
                <c:pt idx="19">
                  <c:v>0.16</c:v>
                </c:pt>
                <c:pt idx="20">
                  <c:v>0.01</c:v>
                </c:pt>
                <c:pt idx="21">
                  <c:v>0.17</c:v>
                </c:pt>
                <c:pt idx="22">
                  <c:v>0.18</c:v>
                </c:pt>
                <c:pt idx="23">
                  <c:v>0.19</c:v>
                </c:pt>
                <c:pt idx="24">
                  <c:v>0.01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0.01</c:v>
                </c:pt>
                <c:pt idx="29">
                  <c:v>0.23</c:v>
                </c:pt>
                <c:pt idx="30">
                  <c:v>0.24</c:v>
                </c:pt>
                <c:pt idx="31">
                  <c:v>0.25</c:v>
                </c:pt>
                <c:pt idx="32">
                  <c:v>0.01</c:v>
                </c:pt>
                <c:pt idx="33">
                  <c:v>0.26</c:v>
                </c:pt>
                <c:pt idx="34">
                  <c:v>0.27</c:v>
                </c:pt>
                <c:pt idx="35">
                  <c:v>0.28000000000000003</c:v>
                </c:pt>
                <c:pt idx="36">
                  <c:v>0.01</c:v>
                </c:pt>
                <c:pt idx="37">
                  <c:v>0.28999999999999998</c:v>
                </c:pt>
                <c:pt idx="38">
                  <c:v>0.3</c:v>
                </c:pt>
                <c:pt idx="39">
                  <c:v>0.31</c:v>
                </c:pt>
                <c:pt idx="40">
                  <c:v>0.01</c:v>
                </c:pt>
                <c:pt idx="41">
                  <c:v>0.32</c:v>
                </c:pt>
                <c:pt idx="42">
                  <c:v>0.33</c:v>
                </c:pt>
                <c:pt idx="43">
                  <c:v>0.34</c:v>
                </c:pt>
                <c:pt idx="44">
                  <c:v>0.01</c:v>
                </c:pt>
                <c:pt idx="45">
                  <c:v>0.35</c:v>
                </c:pt>
                <c:pt idx="46">
                  <c:v>0.36</c:v>
                </c:pt>
                <c:pt idx="47">
                  <c:v>0.37</c:v>
                </c:pt>
                <c:pt idx="48">
                  <c:v>0.01</c:v>
                </c:pt>
                <c:pt idx="49">
                  <c:v>0.38</c:v>
                </c:pt>
                <c:pt idx="50">
                  <c:v>0.39</c:v>
                </c:pt>
                <c:pt idx="51">
                  <c:v>0.4</c:v>
                </c:pt>
                <c:pt idx="52">
                  <c:v>0.01</c:v>
                </c:pt>
                <c:pt idx="53">
                  <c:v>0.41</c:v>
                </c:pt>
                <c:pt idx="54">
                  <c:v>0.42</c:v>
                </c:pt>
                <c:pt idx="55">
                  <c:v>0.43</c:v>
                </c:pt>
                <c:pt idx="56">
                  <c:v>0.01</c:v>
                </c:pt>
                <c:pt idx="57">
                  <c:v>0.44</c:v>
                </c:pt>
                <c:pt idx="58">
                  <c:v>0.45</c:v>
                </c:pt>
                <c:pt idx="59">
                  <c:v>0.46</c:v>
                </c:pt>
                <c:pt idx="60">
                  <c:v>0.01</c:v>
                </c:pt>
                <c:pt idx="61">
                  <c:v>0.47</c:v>
                </c:pt>
                <c:pt idx="62">
                  <c:v>0.48</c:v>
                </c:pt>
                <c:pt idx="63">
                  <c:v>0.49</c:v>
                </c:pt>
                <c:pt idx="64">
                  <c:v>0.01</c:v>
                </c:pt>
                <c:pt idx="65">
                  <c:v>0.5</c:v>
                </c:pt>
                <c:pt idx="66">
                  <c:v>0.51</c:v>
                </c:pt>
                <c:pt idx="67">
                  <c:v>0.52</c:v>
                </c:pt>
                <c:pt idx="68">
                  <c:v>0.01</c:v>
                </c:pt>
                <c:pt idx="69">
                  <c:v>0.53</c:v>
                </c:pt>
                <c:pt idx="70">
                  <c:v>0.54</c:v>
                </c:pt>
                <c:pt idx="71">
                  <c:v>0.55000000000000004</c:v>
                </c:pt>
                <c:pt idx="72">
                  <c:v>0.01</c:v>
                </c:pt>
                <c:pt idx="73">
                  <c:v>0.56000000000000005</c:v>
                </c:pt>
                <c:pt idx="74">
                  <c:v>0.56999999999999995</c:v>
                </c:pt>
                <c:pt idx="75">
                  <c:v>0.57999999999999996</c:v>
                </c:pt>
                <c:pt idx="76">
                  <c:v>0.01</c:v>
                </c:pt>
                <c:pt idx="77">
                  <c:v>0.59</c:v>
                </c:pt>
                <c:pt idx="78">
                  <c:v>0.6</c:v>
                </c:pt>
                <c:pt idx="79">
                  <c:v>0.61</c:v>
                </c:pt>
                <c:pt idx="80">
                  <c:v>0.01</c:v>
                </c:pt>
                <c:pt idx="81">
                  <c:v>0.62</c:v>
                </c:pt>
                <c:pt idx="82">
                  <c:v>0.63</c:v>
                </c:pt>
                <c:pt idx="83">
                  <c:v>0.64</c:v>
                </c:pt>
                <c:pt idx="84">
                  <c:v>0.01</c:v>
                </c:pt>
                <c:pt idx="85">
                  <c:v>0.65</c:v>
                </c:pt>
                <c:pt idx="86">
                  <c:v>0.66</c:v>
                </c:pt>
                <c:pt idx="87">
                  <c:v>0.67</c:v>
                </c:pt>
                <c:pt idx="88">
                  <c:v>0.01</c:v>
                </c:pt>
                <c:pt idx="89">
                  <c:v>0.68</c:v>
                </c:pt>
                <c:pt idx="90">
                  <c:v>0.69</c:v>
                </c:pt>
                <c:pt idx="91">
                  <c:v>0.7</c:v>
                </c:pt>
                <c:pt idx="92">
                  <c:v>0.01</c:v>
                </c:pt>
                <c:pt idx="93">
                  <c:v>0.71</c:v>
                </c:pt>
                <c:pt idx="94">
                  <c:v>0.72</c:v>
                </c:pt>
                <c:pt idx="95">
                  <c:v>0.73</c:v>
                </c:pt>
                <c:pt idx="96">
                  <c:v>0.01</c:v>
                </c:pt>
                <c:pt idx="97">
                  <c:v>0.74</c:v>
                </c:pt>
                <c:pt idx="98">
                  <c:v>0.75</c:v>
                </c:pt>
                <c:pt idx="99">
                  <c:v>0.76</c:v>
                </c:pt>
                <c:pt idx="100">
                  <c:v>0.01</c:v>
                </c:pt>
                <c:pt idx="101">
                  <c:v>0.77</c:v>
                </c:pt>
                <c:pt idx="102">
                  <c:v>0.78</c:v>
                </c:pt>
                <c:pt idx="103">
                  <c:v>0.79</c:v>
                </c:pt>
                <c:pt idx="104">
                  <c:v>0.01</c:v>
                </c:pt>
                <c:pt idx="105">
                  <c:v>0.8</c:v>
                </c:pt>
                <c:pt idx="106">
                  <c:v>0.81</c:v>
                </c:pt>
                <c:pt idx="107">
                  <c:v>0.82</c:v>
                </c:pt>
                <c:pt idx="108">
                  <c:v>0.01</c:v>
                </c:pt>
                <c:pt idx="109">
                  <c:v>0.83</c:v>
                </c:pt>
                <c:pt idx="110">
                  <c:v>0.84</c:v>
                </c:pt>
                <c:pt idx="111">
                  <c:v>0.85</c:v>
                </c:pt>
                <c:pt idx="112">
                  <c:v>0.01</c:v>
                </c:pt>
                <c:pt idx="113">
                  <c:v>0.86</c:v>
                </c:pt>
                <c:pt idx="114">
                  <c:v>0.87</c:v>
                </c:pt>
                <c:pt idx="115">
                  <c:v>0.88</c:v>
                </c:pt>
                <c:pt idx="116">
                  <c:v>0.01</c:v>
                </c:pt>
                <c:pt idx="117">
                  <c:v>0.89</c:v>
                </c:pt>
                <c:pt idx="118">
                  <c:v>0.9</c:v>
                </c:pt>
                <c:pt idx="119">
                  <c:v>0.91</c:v>
                </c:pt>
                <c:pt idx="120">
                  <c:v>0.01</c:v>
                </c:pt>
                <c:pt idx="121">
                  <c:v>0.92</c:v>
                </c:pt>
                <c:pt idx="122">
                  <c:v>0.93</c:v>
                </c:pt>
                <c:pt idx="123">
                  <c:v>0.94</c:v>
                </c:pt>
                <c:pt idx="124">
                  <c:v>0.01</c:v>
                </c:pt>
                <c:pt idx="125">
                  <c:v>0.95</c:v>
                </c:pt>
                <c:pt idx="126">
                  <c:v>0.96</c:v>
                </c:pt>
                <c:pt idx="127">
                  <c:v>0.97</c:v>
                </c:pt>
                <c:pt idx="128">
                  <c:v>0.01</c:v>
                </c:pt>
                <c:pt idx="129">
                  <c:v>0.98</c:v>
                </c:pt>
                <c:pt idx="130">
                  <c:v>0.99</c:v>
                </c:pt>
              </c:numCache>
            </c:numRef>
          </c:xVal>
          <c:yVal>
            <c:numRef>
              <c:f>test_area!$G$4:$G$134</c:f>
              <c:numCache>
                <c:formatCode>General</c:formatCode>
                <c:ptCount val="131"/>
                <c:pt idx="0">
                  <c:v>-2.3263478740408408</c:v>
                </c:pt>
                <c:pt idx="1">
                  <c:v>-2.0537489106318225</c:v>
                </c:pt>
                <c:pt idx="2">
                  <c:v>-1.8807936081512509</c:v>
                </c:pt>
                <c:pt idx="3">
                  <c:v>-1.7506860712521695</c:v>
                </c:pt>
                <c:pt idx="4">
                  <c:v>-2.3263478740408408</c:v>
                </c:pt>
                <c:pt idx="5">
                  <c:v>-1.6448536269514726</c:v>
                </c:pt>
                <c:pt idx="6">
                  <c:v>-1.554773594596853</c:v>
                </c:pt>
                <c:pt idx="7">
                  <c:v>-1.4757910281791702</c:v>
                </c:pt>
                <c:pt idx="8">
                  <c:v>-2.3263478740408408</c:v>
                </c:pt>
                <c:pt idx="9">
                  <c:v>-1.4050715603096353</c:v>
                </c:pt>
                <c:pt idx="10">
                  <c:v>-1.3407550336902161</c:v>
                </c:pt>
                <c:pt idx="11">
                  <c:v>-1.2815515655446006</c:v>
                </c:pt>
                <c:pt idx="12">
                  <c:v>-2.3263478740408408</c:v>
                </c:pt>
                <c:pt idx="13">
                  <c:v>-1.2265281200366105</c:v>
                </c:pt>
                <c:pt idx="14">
                  <c:v>-1.1749867920660904</c:v>
                </c:pt>
                <c:pt idx="15">
                  <c:v>-1.1263911290388013</c:v>
                </c:pt>
                <c:pt idx="16">
                  <c:v>-2.3263478740408408</c:v>
                </c:pt>
                <c:pt idx="17">
                  <c:v>-1.0803193408149565</c:v>
                </c:pt>
                <c:pt idx="18">
                  <c:v>-1.0364333894937898</c:v>
                </c:pt>
                <c:pt idx="19">
                  <c:v>-0.9944578832097497</c:v>
                </c:pt>
                <c:pt idx="20">
                  <c:v>-2.3263478740408408</c:v>
                </c:pt>
                <c:pt idx="21">
                  <c:v>-0.95416525314619549</c:v>
                </c:pt>
                <c:pt idx="22">
                  <c:v>-0.91536508784281501</c:v>
                </c:pt>
                <c:pt idx="23">
                  <c:v>-0.87789629505122846</c:v>
                </c:pt>
                <c:pt idx="24">
                  <c:v>-2.3263478740408408</c:v>
                </c:pt>
                <c:pt idx="25">
                  <c:v>-0.84162123357291452</c:v>
                </c:pt>
                <c:pt idx="26">
                  <c:v>-0.80642124701824058</c:v>
                </c:pt>
                <c:pt idx="27">
                  <c:v>-0.77219321418868503</c:v>
                </c:pt>
                <c:pt idx="28">
                  <c:v>-2.3263478740408408</c:v>
                </c:pt>
                <c:pt idx="29">
                  <c:v>-0.73884684918521393</c:v>
                </c:pt>
                <c:pt idx="30">
                  <c:v>-0.7063025628400873</c:v>
                </c:pt>
                <c:pt idx="31">
                  <c:v>-0.67448975019608193</c:v>
                </c:pt>
                <c:pt idx="32">
                  <c:v>-2.3263478740408408</c:v>
                </c:pt>
                <c:pt idx="33">
                  <c:v>-0.64334540539291696</c:v>
                </c:pt>
                <c:pt idx="34">
                  <c:v>-0.61281299101662734</c:v>
                </c:pt>
                <c:pt idx="35">
                  <c:v>-0.58284150727121631</c:v>
                </c:pt>
                <c:pt idx="36">
                  <c:v>-2.3263478740408408</c:v>
                </c:pt>
                <c:pt idx="37">
                  <c:v>-0.55338471955567303</c:v>
                </c:pt>
                <c:pt idx="38">
                  <c:v>-0.52440051270804089</c:v>
                </c:pt>
                <c:pt idx="39">
                  <c:v>-0.49585034734745354</c:v>
                </c:pt>
                <c:pt idx="40">
                  <c:v>-2.3263478740408408</c:v>
                </c:pt>
                <c:pt idx="41">
                  <c:v>-0.46769879911450829</c:v>
                </c:pt>
                <c:pt idx="42">
                  <c:v>-0.43991316567323374</c:v>
                </c:pt>
                <c:pt idx="43">
                  <c:v>-0.41246312944140484</c:v>
                </c:pt>
                <c:pt idx="44">
                  <c:v>-2.3263478740408408</c:v>
                </c:pt>
                <c:pt idx="45">
                  <c:v>-0.38532046640756784</c:v>
                </c:pt>
                <c:pt idx="46">
                  <c:v>-0.35845879325119384</c:v>
                </c:pt>
                <c:pt idx="47">
                  <c:v>-0.33185334643681658</c:v>
                </c:pt>
                <c:pt idx="48">
                  <c:v>-2.3263478740408408</c:v>
                </c:pt>
                <c:pt idx="49">
                  <c:v>-0.30548078809939727</c:v>
                </c:pt>
                <c:pt idx="50">
                  <c:v>-0.27931903444745415</c:v>
                </c:pt>
                <c:pt idx="51">
                  <c:v>-0.25334710313579978</c:v>
                </c:pt>
                <c:pt idx="52">
                  <c:v>-2.3263478740408408</c:v>
                </c:pt>
                <c:pt idx="53">
                  <c:v>-0.2275449766411495</c:v>
                </c:pt>
                <c:pt idx="54">
                  <c:v>-0.20189347914185088</c:v>
                </c:pt>
                <c:pt idx="55">
                  <c:v>-0.17637416478086138</c:v>
                </c:pt>
                <c:pt idx="56">
                  <c:v>-2.3263478740408408</c:v>
                </c:pt>
                <c:pt idx="57">
                  <c:v>-0.15096921549677725</c:v>
                </c:pt>
                <c:pt idx="58">
                  <c:v>-0.12566134685507402</c:v>
                </c:pt>
                <c:pt idx="59">
                  <c:v>-0.10043372051146976</c:v>
                </c:pt>
                <c:pt idx="60">
                  <c:v>-2.3263478740408408</c:v>
                </c:pt>
                <c:pt idx="61">
                  <c:v>-7.5269862099829901E-2</c:v>
                </c:pt>
                <c:pt idx="62">
                  <c:v>-5.0153583464733656E-2</c:v>
                </c:pt>
                <c:pt idx="63">
                  <c:v>-2.506890825871106E-2</c:v>
                </c:pt>
                <c:pt idx="64">
                  <c:v>-2.3263478740408408</c:v>
                </c:pt>
                <c:pt idx="65">
                  <c:v>0</c:v>
                </c:pt>
                <c:pt idx="66">
                  <c:v>2.506890825871106E-2</c:v>
                </c:pt>
                <c:pt idx="67">
                  <c:v>5.0153583464733656E-2</c:v>
                </c:pt>
                <c:pt idx="68">
                  <c:v>-2.3263478740408408</c:v>
                </c:pt>
                <c:pt idx="69">
                  <c:v>7.5269862099829901E-2</c:v>
                </c:pt>
                <c:pt idx="70">
                  <c:v>0.10043372051146988</c:v>
                </c:pt>
                <c:pt idx="71">
                  <c:v>0.12566134685507416</c:v>
                </c:pt>
                <c:pt idx="72">
                  <c:v>-2.3263478740408408</c:v>
                </c:pt>
                <c:pt idx="73">
                  <c:v>0.15096921549677741</c:v>
                </c:pt>
                <c:pt idx="74">
                  <c:v>0.17637416478086121</c:v>
                </c:pt>
                <c:pt idx="75">
                  <c:v>0.20189347914185077</c:v>
                </c:pt>
                <c:pt idx="76">
                  <c:v>-2.3263478740408408</c:v>
                </c:pt>
                <c:pt idx="77">
                  <c:v>0.22754497664114934</c:v>
                </c:pt>
                <c:pt idx="78">
                  <c:v>0.25334710313579978</c:v>
                </c:pt>
                <c:pt idx="79">
                  <c:v>0.27931903444745415</c:v>
                </c:pt>
                <c:pt idx="80">
                  <c:v>-2.3263478740408408</c:v>
                </c:pt>
                <c:pt idx="81">
                  <c:v>0.30548078809939727</c:v>
                </c:pt>
                <c:pt idx="82">
                  <c:v>0.33185334643681658</c:v>
                </c:pt>
                <c:pt idx="83">
                  <c:v>0.35845879325119384</c:v>
                </c:pt>
                <c:pt idx="84">
                  <c:v>-2.3263478740408408</c:v>
                </c:pt>
                <c:pt idx="85">
                  <c:v>0.38532046640756784</c:v>
                </c:pt>
                <c:pt idx="86">
                  <c:v>0.41246312944140473</c:v>
                </c:pt>
                <c:pt idx="87">
                  <c:v>0.43991316567323396</c:v>
                </c:pt>
                <c:pt idx="88">
                  <c:v>-2.3263478740408408</c:v>
                </c:pt>
                <c:pt idx="89">
                  <c:v>0.46769879911450835</c:v>
                </c:pt>
                <c:pt idx="90">
                  <c:v>0.49585034734745331</c:v>
                </c:pt>
                <c:pt idx="91">
                  <c:v>0.52440051270804078</c:v>
                </c:pt>
                <c:pt idx="92">
                  <c:v>-2.3263478740408408</c:v>
                </c:pt>
                <c:pt idx="93">
                  <c:v>0.5533847195556727</c:v>
                </c:pt>
                <c:pt idx="94">
                  <c:v>0.58284150727121631</c:v>
                </c:pt>
                <c:pt idx="95">
                  <c:v>0.61281299101662734</c:v>
                </c:pt>
                <c:pt idx="96">
                  <c:v>-2.3263478740408408</c:v>
                </c:pt>
                <c:pt idx="97">
                  <c:v>0.64334540539291696</c:v>
                </c:pt>
                <c:pt idx="98">
                  <c:v>0.67448975019608193</c:v>
                </c:pt>
                <c:pt idx="99">
                  <c:v>0.7063025628400873</c:v>
                </c:pt>
                <c:pt idx="100">
                  <c:v>-2.3263478740408408</c:v>
                </c:pt>
                <c:pt idx="101">
                  <c:v>0.73884684918521393</c:v>
                </c:pt>
                <c:pt idx="102">
                  <c:v>0.77219321418868503</c:v>
                </c:pt>
                <c:pt idx="103">
                  <c:v>0.80642124701824058</c:v>
                </c:pt>
                <c:pt idx="104">
                  <c:v>-2.3263478740408408</c:v>
                </c:pt>
                <c:pt idx="105">
                  <c:v>0.84162123357291474</c:v>
                </c:pt>
                <c:pt idx="106">
                  <c:v>0.87789629505122857</c:v>
                </c:pt>
                <c:pt idx="107">
                  <c:v>0.91536508784281256</c:v>
                </c:pt>
                <c:pt idx="108">
                  <c:v>-2.3263478740408408</c:v>
                </c:pt>
                <c:pt idx="109">
                  <c:v>0.95416525314619549</c:v>
                </c:pt>
                <c:pt idx="110">
                  <c:v>0.9944578832097497</c:v>
                </c:pt>
                <c:pt idx="111">
                  <c:v>1.0364333894937898</c:v>
                </c:pt>
                <c:pt idx="112">
                  <c:v>-2.3263478740408408</c:v>
                </c:pt>
                <c:pt idx="113">
                  <c:v>1.0803193408149565</c:v>
                </c:pt>
                <c:pt idx="114">
                  <c:v>1.1263911290388013</c:v>
                </c:pt>
                <c:pt idx="115">
                  <c:v>1.1749867920660904</c:v>
                </c:pt>
                <c:pt idx="116">
                  <c:v>-2.3263478740408408</c:v>
                </c:pt>
                <c:pt idx="117">
                  <c:v>1.2265281200366105</c:v>
                </c:pt>
                <c:pt idx="118">
                  <c:v>1.2815515655446006</c:v>
                </c:pt>
                <c:pt idx="119">
                  <c:v>1.3407550336902161</c:v>
                </c:pt>
                <c:pt idx="120">
                  <c:v>-2.3263478740408408</c:v>
                </c:pt>
                <c:pt idx="121">
                  <c:v>1.4050715603096329</c:v>
                </c:pt>
                <c:pt idx="122">
                  <c:v>1.4757910281791713</c:v>
                </c:pt>
                <c:pt idx="123">
                  <c:v>1.5547735945968528</c:v>
                </c:pt>
                <c:pt idx="124">
                  <c:v>-2.3263478740408408</c:v>
                </c:pt>
                <c:pt idx="125">
                  <c:v>1.6448536269514715</c:v>
                </c:pt>
                <c:pt idx="126">
                  <c:v>1.7506860712521695</c:v>
                </c:pt>
                <c:pt idx="127">
                  <c:v>1.8807936081512504</c:v>
                </c:pt>
                <c:pt idx="128">
                  <c:v>-2.3263478740408408</c:v>
                </c:pt>
                <c:pt idx="129">
                  <c:v>2.0537489106318221</c:v>
                </c:pt>
                <c:pt idx="130">
                  <c:v>2.3263478740408408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C04B-AF39-0DB781486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983935"/>
        <c:axId val="1970995055"/>
      </c:scatterChart>
      <c:valAx>
        <c:axId val="19709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95055"/>
        <c:crosses val="autoZero"/>
        <c:crossBetween val="midCat"/>
      </c:valAx>
      <c:valAx>
        <c:axId val="197099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83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test_area!$F$4:$F$134</c:f>
              <c:numCache>
                <c:formatCode>General</c:formatCode>
                <c:ptCount val="13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0.01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0.01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0.01</c:v>
                </c:pt>
                <c:pt idx="13">
                  <c:v>0.11</c:v>
                </c:pt>
                <c:pt idx="14">
                  <c:v>0.12</c:v>
                </c:pt>
                <c:pt idx="15">
                  <c:v>0.13</c:v>
                </c:pt>
                <c:pt idx="16">
                  <c:v>0.01</c:v>
                </c:pt>
                <c:pt idx="17">
                  <c:v>0.14000000000000001</c:v>
                </c:pt>
                <c:pt idx="18">
                  <c:v>0.15</c:v>
                </c:pt>
                <c:pt idx="19">
                  <c:v>0.16</c:v>
                </c:pt>
                <c:pt idx="20">
                  <c:v>0.01</c:v>
                </c:pt>
                <c:pt idx="21">
                  <c:v>0.17</c:v>
                </c:pt>
                <c:pt idx="22">
                  <c:v>0.18</c:v>
                </c:pt>
                <c:pt idx="23">
                  <c:v>0.19</c:v>
                </c:pt>
                <c:pt idx="24">
                  <c:v>0.01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0.01</c:v>
                </c:pt>
                <c:pt idx="29">
                  <c:v>0.23</c:v>
                </c:pt>
                <c:pt idx="30">
                  <c:v>0.24</c:v>
                </c:pt>
                <c:pt idx="31">
                  <c:v>0.25</c:v>
                </c:pt>
                <c:pt idx="32">
                  <c:v>0.01</c:v>
                </c:pt>
                <c:pt idx="33">
                  <c:v>0.26</c:v>
                </c:pt>
                <c:pt idx="34">
                  <c:v>0.27</c:v>
                </c:pt>
                <c:pt idx="35">
                  <c:v>0.28000000000000003</c:v>
                </c:pt>
                <c:pt idx="36">
                  <c:v>0.01</c:v>
                </c:pt>
                <c:pt idx="37">
                  <c:v>0.28999999999999998</c:v>
                </c:pt>
                <c:pt idx="38">
                  <c:v>0.3</c:v>
                </c:pt>
                <c:pt idx="39">
                  <c:v>0.31</c:v>
                </c:pt>
                <c:pt idx="40">
                  <c:v>0.01</c:v>
                </c:pt>
                <c:pt idx="41">
                  <c:v>0.32</c:v>
                </c:pt>
                <c:pt idx="42">
                  <c:v>0.33</c:v>
                </c:pt>
                <c:pt idx="43">
                  <c:v>0.34</c:v>
                </c:pt>
                <c:pt idx="44">
                  <c:v>0.01</c:v>
                </c:pt>
                <c:pt idx="45">
                  <c:v>0.35</c:v>
                </c:pt>
                <c:pt idx="46">
                  <c:v>0.36</c:v>
                </c:pt>
                <c:pt idx="47">
                  <c:v>0.37</c:v>
                </c:pt>
                <c:pt idx="48">
                  <c:v>0.01</c:v>
                </c:pt>
                <c:pt idx="49">
                  <c:v>0.38</c:v>
                </c:pt>
                <c:pt idx="50">
                  <c:v>0.39</c:v>
                </c:pt>
                <c:pt idx="51">
                  <c:v>0.4</c:v>
                </c:pt>
                <c:pt idx="52">
                  <c:v>0.01</c:v>
                </c:pt>
                <c:pt idx="53">
                  <c:v>0.41</c:v>
                </c:pt>
                <c:pt idx="54">
                  <c:v>0.42</c:v>
                </c:pt>
                <c:pt idx="55">
                  <c:v>0.43</c:v>
                </c:pt>
                <c:pt idx="56">
                  <c:v>0.01</c:v>
                </c:pt>
                <c:pt idx="57">
                  <c:v>0.44</c:v>
                </c:pt>
                <c:pt idx="58">
                  <c:v>0.45</c:v>
                </c:pt>
                <c:pt idx="59">
                  <c:v>0.46</c:v>
                </c:pt>
                <c:pt idx="60">
                  <c:v>0.01</c:v>
                </c:pt>
                <c:pt idx="61">
                  <c:v>0.47</c:v>
                </c:pt>
                <c:pt idx="62">
                  <c:v>0.48</c:v>
                </c:pt>
                <c:pt idx="63">
                  <c:v>0.49</c:v>
                </c:pt>
                <c:pt idx="64">
                  <c:v>0.01</c:v>
                </c:pt>
                <c:pt idx="65">
                  <c:v>0.5</c:v>
                </c:pt>
                <c:pt idx="66">
                  <c:v>0.51</c:v>
                </c:pt>
                <c:pt idx="67">
                  <c:v>0.52</c:v>
                </c:pt>
                <c:pt idx="68">
                  <c:v>0.01</c:v>
                </c:pt>
                <c:pt idx="69">
                  <c:v>0.53</c:v>
                </c:pt>
                <c:pt idx="70">
                  <c:v>0.54</c:v>
                </c:pt>
                <c:pt idx="71">
                  <c:v>0.55000000000000004</c:v>
                </c:pt>
                <c:pt idx="72">
                  <c:v>0.01</c:v>
                </c:pt>
                <c:pt idx="73">
                  <c:v>0.56000000000000005</c:v>
                </c:pt>
                <c:pt idx="74">
                  <c:v>0.56999999999999995</c:v>
                </c:pt>
                <c:pt idx="75">
                  <c:v>0.57999999999999996</c:v>
                </c:pt>
                <c:pt idx="76">
                  <c:v>0.01</c:v>
                </c:pt>
                <c:pt idx="77">
                  <c:v>0.59</c:v>
                </c:pt>
                <c:pt idx="78">
                  <c:v>0.6</c:v>
                </c:pt>
                <c:pt idx="79">
                  <c:v>0.61</c:v>
                </c:pt>
                <c:pt idx="80">
                  <c:v>0.01</c:v>
                </c:pt>
                <c:pt idx="81">
                  <c:v>0.62</c:v>
                </c:pt>
                <c:pt idx="82">
                  <c:v>0.63</c:v>
                </c:pt>
                <c:pt idx="83">
                  <c:v>0.64</c:v>
                </c:pt>
                <c:pt idx="84">
                  <c:v>0.01</c:v>
                </c:pt>
                <c:pt idx="85">
                  <c:v>0.65</c:v>
                </c:pt>
                <c:pt idx="86">
                  <c:v>0.66</c:v>
                </c:pt>
                <c:pt idx="87">
                  <c:v>0.67</c:v>
                </c:pt>
                <c:pt idx="88">
                  <c:v>0.01</c:v>
                </c:pt>
                <c:pt idx="89">
                  <c:v>0.68</c:v>
                </c:pt>
                <c:pt idx="90">
                  <c:v>0.69</c:v>
                </c:pt>
                <c:pt idx="91">
                  <c:v>0.7</c:v>
                </c:pt>
                <c:pt idx="92">
                  <c:v>0.01</c:v>
                </c:pt>
                <c:pt idx="93">
                  <c:v>0.71</c:v>
                </c:pt>
                <c:pt idx="94">
                  <c:v>0.72</c:v>
                </c:pt>
                <c:pt idx="95">
                  <c:v>0.73</c:v>
                </c:pt>
                <c:pt idx="96">
                  <c:v>0.01</c:v>
                </c:pt>
                <c:pt idx="97">
                  <c:v>0.74</c:v>
                </c:pt>
                <c:pt idx="98">
                  <c:v>0.75</c:v>
                </c:pt>
                <c:pt idx="99">
                  <c:v>0.76</c:v>
                </c:pt>
                <c:pt idx="100">
                  <c:v>0.01</c:v>
                </c:pt>
                <c:pt idx="101">
                  <c:v>0.77</c:v>
                </c:pt>
                <c:pt idx="102">
                  <c:v>0.78</c:v>
                </c:pt>
                <c:pt idx="103">
                  <c:v>0.79</c:v>
                </c:pt>
                <c:pt idx="104">
                  <c:v>0.01</c:v>
                </c:pt>
                <c:pt idx="105">
                  <c:v>0.8</c:v>
                </c:pt>
                <c:pt idx="106">
                  <c:v>0.81</c:v>
                </c:pt>
                <c:pt idx="107">
                  <c:v>0.82</c:v>
                </c:pt>
                <c:pt idx="108">
                  <c:v>0.01</c:v>
                </c:pt>
                <c:pt idx="109">
                  <c:v>0.83</c:v>
                </c:pt>
                <c:pt idx="110">
                  <c:v>0.84</c:v>
                </c:pt>
                <c:pt idx="111">
                  <c:v>0.85</c:v>
                </c:pt>
                <c:pt idx="112">
                  <c:v>0.01</c:v>
                </c:pt>
                <c:pt idx="113">
                  <c:v>0.86</c:v>
                </c:pt>
                <c:pt idx="114">
                  <c:v>0.87</c:v>
                </c:pt>
                <c:pt idx="115">
                  <c:v>0.88</c:v>
                </c:pt>
                <c:pt idx="116">
                  <c:v>0.01</c:v>
                </c:pt>
                <c:pt idx="117">
                  <c:v>0.89</c:v>
                </c:pt>
                <c:pt idx="118">
                  <c:v>0.9</c:v>
                </c:pt>
                <c:pt idx="119">
                  <c:v>0.91</c:v>
                </c:pt>
                <c:pt idx="120">
                  <c:v>0.01</c:v>
                </c:pt>
                <c:pt idx="121">
                  <c:v>0.92</c:v>
                </c:pt>
                <c:pt idx="122">
                  <c:v>0.93</c:v>
                </c:pt>
                <c:pt idx="123">
                  <c:v>0.94</c:v>
                </c:pt>
                <c:pt idx="124">
                  <c:v>0.01</c:v>
                </c:pt>
                <c:pt idx="125">
                  <c:v>0.95</c:v>
                </c:pt>
                <c:pt idx="126">
                  <c:v>0.96</c:v>
                </c:pt>
                <c:pt idx="127">
                  <c:v>0.97</c:v>
                </c:pt>
                <c:pt idx="128">
                  <c:v>0.01</c:v>
                </c:pt>
                <c:pt idx="129">
                  <c:v>0.98</c:v>
                </c:pt>
                <c:pt idx="130">
                  <c:v>0.99</c:v>
                </c:pt>
              </c:numCache>
            </c:numRef>
          </c:xVal>
          <c:yVal>
            <c:numRef>
              <c:f>test_area!$G$4:$G$134</c:f>
              <c:numCache>
                <c:formatCode>General</c:formatCode>
                <c:ptCount val="131"/>
                <c:pt idx="0">
                  <c:v>-2.3263478740408408</c:v>
                </c:pt>
                <c:pt idx="1">
                  <c:v>-2.0537489106318225</c:v>
                </c:pt>
                <c:pt idx="2">
                  <c:v>-1.8807936081512509</c:v>
                </c:pt>
                <c:pt idx="3">
                  <c:v>-1.7506860712521695</c:v>
                </c:pt>
                <c:pt idx="4">
                  <c:v>-2.3263478740408408</c:v>
                </c:pt>
                <c:pt idx="5">
                  <c:v>-1.6448536269514726</c:v>
                </c:pt>
                <c:pt idx="6">
                  <c:v>-1.554773594596853</c:v>
                </c:pt>
                <c:pt idx="7">
                  <c:v>-1.4757910281791702</c:v>
                </c:pt>
                <c:pt idx="8">
                  <c:v>-2.3263478740408408</c:v>
                </c:pt>
                <c:pt idx="9">
                  <c:v>-1.4050715603096353</c:v>
                </c:pt>
                <c:pt idx="10">
                  <c:v>-1.3407550336902161</c:v>
                </c:pt>
                <c:pt idx="11">
                  <c:v>-1.2815515655446006</c:v>
                </c:pt>
                <c:pt idx="12">
                  <c:v>-2.3263478740408408</c:v>
                </c:pt>
                <c:pt idx="13">
                  <c:v>-1.2265281200366105</c:v>
                </c:pt>
                <c:pt idx="14">
                  <c:v>-1.1749867920660904</c:v>
                </c:pt>
                <c:pt idx="15">
                  <c:v>-1.1263911290388013</c:v>
                </c:pt>
                <c:pt idx="16">
                  <c:v>-2.3263478740408408</c:v>
                </c:pt>
                <c:pt idx="17">
                  <c:v>-1.0803193408149565</c:v>
                </c:pt>
                <c:pt idx="18">
                  <c:v>-1.0364333894937898</c:v>
                </c:pt>
                <c:pt idx="19">
                  <c:v>-0.9944578832097497</c:v>
                </c:pt>
                <c:pt idx="20">
                  <c:v>-2.3263478740408408</c:v>
                </c:pt>
                <c:pt idx="21">
                  <c:v>-0.95416525314619549</c:v>
                </c:pt>
                <c:pt idx="22">
                  <c:v>-0.91536508784281501</c:v>
                </c:pt>
                <c:pt idx="23">
                  <c:v>-0.87789629505122846</c:v>
                </c:pt>
                <c:pt idx="24">
                  <c:v>-2.3263478740408408</c:v>
                </c:pt>
                <c:pt idx="25">
                  <c:v>-0.84162123357291452</c:v>
                </c:pt>
                <c:pt idx="26">
                  <c:v>-0.80642124701824058</c:v>
                </c:pt>
                <c:pt idx="27">
                  <c:v>-0.77219321418868503</c:v>
                </c:pt>
                <c:pt idx="28">
                  <c:v>-2.3263478740408408</c:v>
                </c:pt>
                <c:pt idx="29">
                  <c:v>-0.73884684918521393</c:v>
                </c:pt>
                <c:pt idx="30">
                  <c:v>-0.7063025628400873</c:v>
                </c:pt>
                <c:pt idx="31">
                  <c:v>-0.67448975019608193</c:v>
                </c:pt>
                <c:pt idx="32">
                  <c:v>-2.3263478740408408</c:v>
                </c:pt>
                <c:pt idx="33">
                  <c:v>-0.64334540539291696</c:v>
                </c:pt>
                <c:pt idx="34">
                  <c:v>-0.61281299101662734</c:v>
                </c:pt>
                <c:pt idx="35">
                  <c:v>-0.58284150727121631</c:v>
                </c:pt>
                <c:pt idx="36">
                  <c:v>-2.3263478740408408</c:v>
                </c:pt>
                <c:pt idx="37">
                  <c:v>-0.55338471955567303</c:v>
                </c:pt>
                <c:pt idx="38">
                  <c:v>-0.52440051270804089</c:v>
                </c:pt>
                <c:pt idx="39">
                  <c:v>-0.49585034734745354</c:v>
                </c:pt>
                <c:pt idx="40">
                  <c:v>-2.3263478740408408</c:v>
                </c:pt>
                <c:pt idx="41">
                  <c:v>-0.46769879911450829</c:v>
                </c:pt>
                <c:pt idx="42">
                  <c:v>-0.43991316567323374</c:v>
                </c:pt>
                <c:pt idx="43">
                  <c:v>-0.41246312944140484</c:v>
                </c:pt>
                <c:pt idx="44">
                  <c:v>-2.3263478740408408</c:v>
                </c:pt>
                <c:pt idx="45">
                  <c:v>-0.38532046640756784</c:v>
                </c:pt>
                <c:pt idx="46">
                  <c:v>-0.35845879325119384</c:v>
                </c:pt>
                <c:pt idx="47">
                  <c:v>-0.33185334643681658</c:v>
                </c:pt>
                <c:pt idx="48">
                  <c:v>-2.3263478740408408</c:v>
                </c:pt>
                <c:pt idx="49">
                  <c:v>-0.30548078809939727</c:v>
                </c:pt>
                <c:pt idx="50">
                  <c:v>-0.27931903444745415</c:v>
                </c:pt>
                <c:pt idx="51">
                  <c:v>-0.25334710313579978</c:v>
                </c:pt>
                <c:pt idx="52">
                  <c:v>-2.3263478740408408</c:v>
                </c:pt>
                <c:pt idx="53">
                  <c:v>-0.2275449766411495</c:v>
                </c:pt>
                <c:pt idx="54">
                  <c:v>-0.20189347914185088</c:v>
                </c:pt>
                <c:pt idx="55">
                  <c:v>-0.17637416478086138</c:v>
                </c:pt>
                <c:pt idx="56">
                  <c:v>-2.3263478740408408</c:v>
                </c:pt>
                <c:pt idx="57">
                  <c:v>-0.15096921549677725</c:v>
                </c:pt>
                <c:pt idx="58">
                  <c:v>-0.12566134685507402</c:v>
                </c:pt>
                <c:pt idx="59">
                  <c:v>-0.10043372051146976</c:v>
                </c:pt>
                <c:pt idx="60">
                  <c:v>-2.3263478740408408</c:v>
                </c:pt>
                <c:pt idx="61">
                  <c:v>-7.5269862099829901E-2</c:v>
                </c:pt>
                <c:pt idx="62">
                  <c:v>-5.0153583464733656E-2</c:v>
                </c:pt>
                <c:pt idx="63">
                  <c:v>-2.506890825871106E-2</c:v>
                </c:pt>
                <c:pt idx="64">
                  <c:v>-2.3263478740408408</c:v>
                </c:pt>
                <c:pt idx="65">
                  <c:v>0</c:v>
                </c:pt>
                <c:pt idx="66">
                  <c:v>2.506890825871106E-2</c:v>
                </c:pt>
                <c:pt idx="67">
                  <c:v>5.0153583464733656E-2</c:v>
                </c:pt>
                <c:pt idx="68">
                  <c:v>-2.3263478740408408</c:v>
                </c:pt>
                <c:pt idx="69">
                  <c:v>7.5269862099829901E-2</c:v>
                </c:pt>
                <c:pt idx="70">
                  <c:v>0.10043372051146988</c:v>
                </c:pt>
                <c:pt idx="71">
                  <c:v>0.12566134685507416</c:v>
                </c:pt>
                <c:pt idx="72">
                  <c:v>-2.3263478740408408</c:v>
                </c:pt>
                <c:pt idx="73">
                  <c:v>0.15096921549677741</c:v>
                </c:pt>
                <c:pt idx="74">
                  <c:v>0.17637416478086121</c:v>
                </c:pt>
                <c:pt idx="75">
                  <c:v>0.20189347914185077</c:v>
                </c:pt>
                <c:pt idx="76">
                  <c:v>-2.3263478740408408</c:v>
                </c:pt>
                <c:pt idx="77">
                  <c:v>0.22754497664114934</c:v>
                </c:pt>
                <c:pt idx="78">
                  <c:v>0.25334710313579978</c:v>
                </c:pt>
                <c:pt idx="79">
                  <c:v>0.27931903444745415</c:v>
                </c:pt>
                <c:pt idx="80">
                  <c:v>-2.3263478740408408</c:v>
                </c:pt>
                <c:pt idx="81">
                  <c:v>0.30548078809939727</c:v>
                </c:pt>
                <c:pt idx="82">
                  <c:v>0.33185334643681658</c:v>
                </c:pt>
                <c:pt idx="83">
                  <c:v>0.35845879325119384</c:v>
                </c:pt>
                <c:pt idx="84">
                  <c:v>-2.3263478740408408</c:v>
                </c:pt>
                <c:pt idx="85">
                  <c:v>0.38532046640756784</c:v>
                </c:pt>
                <c:pt idx="86">
                  <c:v>0.41246312944140473</c:v>
                </c:pt>
                <c:pt idx="87">
                  <c:v>0.43991316567323396</c:v>
                </c:pt>
                <c:pt idx="88">
                  <c:v>-2.3263478740408408</c:v>
                </c:pt>
                <c:pt idx="89">
                  <c:v>0.46769879911450835</c:v>
                </c:pt>
                <c:pt idx="90">
                  <c:v>0.49585034734745331</c:v>
                </c:pt>
                <c:pt idx="91">
                  <c:v>0.52440051270804078</c:v>
                </c:pt>
                <c:pt idx="92">
                  <c:v>-2.3263478740408408</c:v>
                </c:pt>
                <c:pt idx="93">
                  <c:v>0.5533847195556727</c:v>
                </c:pt>
                <c:pt idx="94">
                  <c:v>0.58284150727121631</c:v>
                </c:pt>
                <c:pt idx="95">
                  <c:v>0.61281299101662734</c:v>
                </c:pt>
                <c:pt idx="96">
                  <c:v>-2.3263478740408408</c:v>
                </c:pt>
                <c:pt idx="97">
                  <c:v>0.64334540539291696</c:v>
                </c:pt>
                <c:pt idx="98">
                  <c:v>0.67448975019608193</c:v>
                </c:pt>
                <c:pt idx="99">
                  <c:v>0.7063025628400873</c:v>
                </c:pt>
                <c:pt idx="100">
                  <c:v>-2.3263478740408408</c:v>
                </c:pt>
                <c:pt idx="101">
                  <c:v>0.73884684918521393</c:v>
                </c:pt>
                <c:pt idx="102">
                  <c:v>0.77219321418868503</c:v>
                </c:pt>
                <c:pt idx="103">
                  <c:v>0.80642124701824058</c:v>
                </c:pt>
                <c:pt idx="104">
                  <c:v>-2.3263478740408408</c:v>
                </c:pt>
                <c:pt idx="105">
                  <c:v>0.84162123357291474</c:v>
                </c:pt>
                <c:pt idx="106">
                  <c:v>0.87789629505122857</c:v>
                </c:pt>
                <c:pt idx="107">
                  <c:v>0.91536508784281256</c:v>
                </c:pt>
                <c:pt idx="108">
                  <c:v>-2.3263478740408408</c:v>
                </c:pt>
                <c:pt idx="109">
                  <c:v>0.95416525314619549</c:v>
                </c:pt>
                <c:pt idx="110">
                  <c:v>0.9944578832097497</c:v>
                </c:pt>
                <c:pt idx="111">
                  <c:v>1.0364333894937898</c:v>
                </c:pt>
                <c:pt idx="112">
                  <c:v>-2.3263478740408408</c:v>
                </c:pt>
                <c:pt idx="113">
                  <c:v>1.0803193408149565</c:v>
                </c:pt>
                <c:pt idx="114">
                  <c:v>1.1263911290388013</c:v>
                </c:pt>
                <c:pt idx="115">
                  <c:v>1.1749867920660904</c:v>
                </c:pt>
                <c:pt idx="116">
                  <c:v>-2.3263478740408408</c:v>
                </c:pt>
                <c:pt idx="117">
                  <c:v>1.2265281200366105</c:v>
                </c:pt>
                <c:pt idx="118">
                  <c:v>1.2815515655446006</c:v>
                </c:pt>
                <c:pt idx="119">
                  <c:v>1.3407550336902161</c:v>
                </c:pt>
                <c:pt idx="120">
                  <c:v>-2.3263478740408408</c:v>
                </c:pt>
                <c:pt idx="121">
                  <c:v>1.4050715603096329</c:v>
                </c:pt>
                <c:pt idx="122">
                  <c:v>1.4757910281791713</c:v>
                </c:pt>
                <c:pt idx="123">
                  <c:v>1.5547735945968528</c:v>
                </c:pt>
                <c:pt idx="124">
                  <c:v>-2.3263478740408408</c:v>
                </c:pt>
                <c:pt idx="125">
                  <c:v>1.6448536269514715</c:v>
                </c:pt>
                <c:pt idx="126">
                  <c:v>1.7506860712521695</c:v>
                </c:pt>
                <c:pt idx="127">
                  <c:v>1.8807936081512504</c:v>
                </c:pt>
                <c:pt idx="128">
                  <c:v>-2.3263478740408408</c:v>
                </c:pt>
                <c:pt idx="129">
                  <c:v>2.0537489106318221</c:v>
                </c:pt>
                <c:pt idx="130">
                  <c:v>2.3263478740408408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84-C04B-AF39-0DB781486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983935"/>
        <c:axId val="1970995055"/>
      </c:scatterChart>
      <c:valAx>
        <c:axId val="19709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95055"/>
        <c:crosses val="autoZero"/>
        <c:crossBetween val="midCat"/>
      </c:valAx>
      <c:valAx>
        <c:axId val="197099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83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 Dist Sampling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053213481058233E-2"/>
          <c:y val="0.27761628754738993"/>
          <c:w val="0.92777274522100661"/>
          <c:h val="0.60477580927384067"/>
        </c:manualLayout>
      </c:layout>
      <c:scatterChart>
        <c:scatterStyle val="smoothMarker"/>
        <c:varyColors val="0"/>
        <c:ser>
          <c:idx val="0"/>
          <c:order val="0"/>
          <c:tx>
            <c:v>cdf norm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DEE-A741-9CDA-75D657B0C3A7}"/>
              </c:ext>
            </c:extLst>
          </c:dPt>
          <c:xVal>
            <c:numRef>
              <c:f>Model!$B$6:$B$105</c:f>
              <c:numCache>
                <c:formatCode>General</c:formatCode>
                <c:ptCount val="100"/>
                <c:pt idx="0">
                  <c:v>0.29900463468746408</c:v>
                </c:pt>
                <c:pt idx="1">
                  <c:v>-0.7260352762754847</c:v>
                </c:pt>
                <c:pt idx="2">
                  <c:v>-0.67608659605973687</c:v>
                </c:pt>
                <c:pt idx="3">
                  <c:v>-1.0893040861356618</c:v>
                </c:pt>
                <c:pt idx="4">
                  <c:v>-0.88059891535189061</c:v>
                </c:pt>
                <c:pt idx="5">
                  <c:v>-1.2060959952346357</c:v>
                </c:pt>
                <c:pt idx="6">
                  <c:v>-0.75526813756132971</c:v>
                </c:pt>
                <c:pt idx="7">
                  <c:v>-0.82242729906189915</c:v>
                </c:pt>
                <c:pt idx="8">
                  <c:v>-0.37986888839961613</c:v>
                </c:pt>
                <c:pt idx="9">
                  <c:v>-0.64921153848824353</c:v>
                </c:pt>
                <c:pt idx="10">
                  <c:v>0.92577195069818774</c:v>
                </c:pt>
                <c:pt idx="11">
                  <c:v>1.583647526850505</c:v>
                </c:pt>
                <c:pt idx="12">
                  <c:v>-0.76500210879993902</c:v>
                </c:pt>
                <c:pt idx="13">
                  <c:v>-7.0008728315970589E-2</c:v>
                </c:pt>
                <c:pt idx="14">
                  <c:v>-0.2458453268095267</c:v>
                </c:pt>
                <c:pt idx="15">
                  <c:v>-0.79759853819066595</c:v>
                </c:pt>
                <c:pt idx="16">
                  <c:v>1.4762518479199596</c:v>
                </c:pt>
                <c:pt idx="17">
                  <c:v>2.014800940880948</c:v>
                </c:pt>
                <c:pt idx="18">
                  <c:v>0.58111730200780709</c:v>
                </c:pt>
                <c:pt idx="19">
                  <c:v>1.5114150479001448E-2</c:v>
                </c:pt>
                <c:pt idx="20">
                  <c:v>-2.1385648466417738E-2</c:v>
                </c:pt>
                <c:pt idx="21">
                  <c:v>-1.1918778080141366</c:v>
                </c:pt>
                <c:pt idx="22">
                  <c:v>-0.93955499447271096</c:v>
                </c:pt>
                <c:pt idx="23">
                  <c:v>0.67905066693205152</c:v>
                </c:pt>
                <c:pt idx="24">
                  <c:v>0.99655711905454725</c:v>
                </c:pt>
                <c:pt idx="25">
                  <c:v>1.6430287338057221</c:v>
                </c:pt>
                <c:pt idx="26">
                  <c:v>-0.43620784526921019</c:v>
                </c:pt>
                <c:pt idx="27">
                  <c:v>0.67075503743570963</c:v>
                </c:pt>
                <c:pt idx="28">
                  <c:v>-1.8666015897718016</c:v>
                </c:pt>
                <c:pt idx="29">
                  <c:v>-0.10835918385314956</c:v>
                </c:pt>
                <c:pt idx="30">
                  <c:v>-1.8619941097049391</c:v>
                </c:pt>
                <c:pt idx="31">
                  <c:v>-1.3462901045437361</c:v>
                </c:pt>
                <c:pt idx="32">
                  <c:v>3.8675661975291278E-2</c:v>
                </c:pt>
                <c:pt idx="33">
                  <c:v>-5.3655887314123664E-2</c:v>
                </c:pt>
                <c:pt idx="34">
                  <c:v>1.0269405661712985</c:v>
                </c:pt>
                <c:pt idx="35">
                  <c:v>-1.0787555674078066</c:v>
                </c:pt>
                <c:pt idx="36">
                  <c:v>-0.17663826444183478</c:v>
                </c:pt>
                <c:pt idx="37">
                  <c:v>1.4000706287588653</c:v>
                </c:pt>
                <c:pt idx="38">
                  <c:v>-1.1707051312952514</c:v>
                </c:pt>
                <c:pt idx="39">
                  <c:v>1.2509847146542707</c:v>
                </c:pt>
                <c:pt idx="40">
                  <c:v>-0.11578713466689046</c:v>
                </c:pt>
                <c:pt idx="41">
                  <c:v>-0.69542249456419369</c:v>
                </c:pt>
                <c:pt idx="42">
                  <c:v>-0.33020704311363908</c:v>
                </c:pt>
                <c:pt idx="43">
                  <c:v>0.81898027363868209</c:v>
                </c:pt>
                <c:pt idx="44">
                  <c:v>-0.25784566058330333</c:v>
                </c:pt>
                <c:pt idx="45">
                  <c:v>0.16249640213585315</c:v>
                </c:pt>
                <c:pt idx="46">
                  <c:v>2.7856975735175364</c:v>
                </c:pt>
                <c:pt idx="47">
                  <c:v>-1.5840646179722784</c:v>
                </c:pt>
                <c:pt idx="48">
                  <c:v>-0.41837202863999134</c:v>
                </c:pt>
                <c:pt idx="49">
                  <c:v>1.0058402326981719</c:v>
                </c:pt>
                <c:pt idx="50">
                  <c:v>-0.32241628494892094</c:v>
                </c:pt>
                <c:pt idx="51">
                  <c:v>-0.79499727608859483</c:v>
                </c:pt>
                <c:pt idx="52">
                  <c:v>0.69261770230821518</c:v>
                </c:pt>
                <c:pt idx="53">
                  <c:v>0.75564249811834672</c:v>
                </c:pt>
                <c:pt idx="54">
                  <c:v>-1.7966932950704073</c:v>
                </c:pt>
                <c:pt idx="55">
                  <c:v>0.26213408922207238</c:v>
                </c:pt>
                <c:pt idx="56">
                  <c:v>2.0991783037121263</c:v>
                </c:pt>
                <c:pt idx="57">
                  <c:v>0.53978751786646351</c:v>
                </c:pt>
                <c:pt idx="58">
                  <c:v>-1.287679258839403</c:v>
                </c:pt>
                <c:pt idx="59">
                  <c:v>-0.31764646175400452</c:v>
                </c:pt>
                <c:pt idx="60">
                  <c:v>0.47780653965981407</c:v>
                </c:pt>
                <c:pt idx="61">
                  <c:v>-0.10294397807345516</c:v>
                </c:pt>
                <c:pt idx="62">
                  <c:v>0.94726802008153321</c:v>
                </c:pt>
                <c:pt idx="63">
                  <c:v>0.34937966449971403</c:v>
                </c:pt>
                <c:pt idx="64">
                  <c:v>0.62236517756145737</c:v>
                </c:pt>
                <c:pt idx="65">
                  <c:v>-0.55874365672812865</c:v>
                </c:pt>
                <c:pt idx="66">
                  <c:v>0.82893421662433409</c:v>
                </c:pt>
                <c:pt idx="67">
                  <c:v>1.0255097501077373</c:v>
                </c:pt>
                <c:pt idx="68">
                  <c:v>-1.3802034656128315</c:v>
                </c:pt>
                <c:pt idx="69">
                  <c:v>-1.5188906216357798</c:v>
                </c:pt>
                <c:pt idx="70">
                  <c:v>-1.5435021901168613</c:v>
                </c:pt>
                <c:pt idx="71">
                  <c:v>-1.6128706440398253</c:v>
                </c:pt>
                <c:pt idx="72">
                  <c:v>0.31670496716450602</c:v>
                </c:pt>
                <c:pt idx="73">
                  <c:v>-0.23731852009927401</c:v>
                </c:pt>
                <c:pt idx="74">
                  <c:v>0.87999074370428854</c:v>
                </c:pt>
                <c:pt idx="75">
                  <c:v>-0.65820153925914959</c:v>
                </c:pt>
                <c:pt idx="76">
                  <c:v>1.8497658390336438</c:v>
                </c:pt>
                <c:pt idx="77">
                  <c:v>0.41563520761333878</c:v>
                </c:pt>
                <c:pt idx="78">
                  <c:v>-0.25848228762302961</c:v>
                </c:pt>
                <c:pt idx="79">
                  <c:v>-0.80863385982982705</c:v>
                </c:pt>
                <c:pt idx="80">
                  <c:v>1.1798063101540768</c:v>
                </c:pt>
                <c:pt idx="81">
                  <c:v>1.2986820830799868</c:v>
                </c:pt>
                <c:pt idx="82">
                  <c:v>-0.74014311169539937</c:v>
                </c:pt>
                <c:pt idx="83">
                  <c:v>0.58235374990812439</c:v>
                </c:pt>
                <c:pt idx="84">
                  <c:v>0.39300584962438778</c:v>
                </c:pt>
                <c:pt idx="85">
                  <c:v>-1.651753933383181</c:v>
                </c:pt>
                <c:pt idx="86">
                  <c:v>0.45515328123552506</c:v>
                </c:pt>
                <c:pt idx="87">
                  <c:v>-0.43018680015465421</c:v>
                </c:pt>
                <c:pt idx="88">
                  <c:v>-0.73229444390148546</c:v>
                </c:pt>
                <c:pt idx="89">
                  <c:v>-0.26640683106498841</c:v>
                </c:pt>
                <c:pt idx="90">
                  <c:v>-0.56474138329443979</c:v>
                </c:pt>
                <c:pt idx="91">
                  <c:v>-1.4398386622860639</c:v>
                </c:pt>
                <c:pt idx="92">
                  <c:v>-0.25929004280694085</c:v>
                </c:pt>
                <c:pt idx="93">
                  <c:v>0.40372416469598504</c:v>
                </c:pt>
                <c:pt idx="94">
                  <c:v>1.4193998783282202</c:v>
                </c:pt>
                <c:pt idx="95">
                  <c:v>0.37182322578952115</c:v>
                </c:pt>
                <c:pt idx="96">
                  <c:v>-0.27396985254396283</c:v>
                </c:pt>
                <c:pt idx="97">
                  <c:v>-0.27207066087326359</c:v>
                </c:pt>
                <c:pt idx="98">
                  <c:v>0.16468852449061194</c:v>
                </c:pt>
                <c:pt idx="99">
                  <c:v>-0.83294214789191134</c:v>
                </c:pt>
              </c:numCache>
            </c:numRef>
          </c:xVal>
          <c:yVal>
            <c:numRef>
              <c:f>Model!$A$6:$A$105</c:f>
              <c:numCache>
                <c:formatCode>General</c:formatCode>
                <c:ptCount val="100"/>
                <c:pt idx="0">
                  <c:v>0.61753174536475908</c:v>
                </c:pt>
                <c:pt idx="1">
                  <c:v>0.23390857257703113</c:v>
                </c:pt>
                <c:pt idx="2">
                  <c:v>0.24949283318254245</c:v>
                </c:pt>
                <c:pt idx="3">
                  <c:v>0.13800990572981509</c:v>
                </c:pt>
                <c:pt idx="4">
                  <c:v>0.18926747293778412</c:v>
                </c:pt>
                <c:pt idx="5">
                  <c:v>0.11389023941630272</c:v>
                </c:pt>
                <c:pt idx="6">
                  <c:v>0.22504405623322443</c:v>
                </c:pt>
                <c:pt idx="7">
                  <c:v>0.2054168738644343</c:v>
                </c:pt>
                <c:pt idx="8">
                  <c:v>0.3520213713670729</c:v>
                </c:pt>
                <c:pt idx="9">
                  <c:v>0.25810082731996498</c:v>
                </c:pt>
                <c:pt idx="10">
                  <c:v>0.82271774653592677</c:v>
                </c:pt>
                <c:pt idx="11">
                  <c:v>0.94336302397754968</c:v>
                </c:pt>
                <c:pt idx="12">
                  <c:v>0.22213514444901883</c:v>
                </c:pt>
                <c:pt idx="13">
                  <c:v>0.47209335624695159</c:v>
                </c:pt>
                <c:pt idx="14">
                  <c:v>0.40290098393899565</c:v>
                </c:pt>
                <c:pt idx="15">
                  <c:v>0.21255174980501601</c:v>
                </c:pt>
                <c:pt idx="16">
                  <c:v>0.93006185226896632</c:v>
                </c:pt>
                <c:pt idx="17">
                  <c:v>0.97803724478320975</c:v>
                </c:pt>
                <c:pt idx="18">
                  <c:v>0.71941930080994332</c:v>
                </c:pt>
                <c:pt idx="19">
                  <c:v>0.50602944409898165</c:v>
                </c:pt>
                <c:pt idx="20">
                  <c:v>0.49146901090679984</c:v>
                </c:pt>
                <c:pt idx="21">
                  <c:v>0.11665458047813293</c:v>
                </c:pt>
                <c:pt idx="22">
                  <c:v>0.17372293535262062</c:v>
                </c:pt>
                <c:pt idx="23">
                  <c:v>0.75144712044416839</c:v>
                </c:pt>
                <c:pt idx="24">
                  <c:v>0.84051023558314708</c:v>
                </c:pt>
                <c:pt idx="25">
                  <c:v>0.94981150582306939</c:v>
                </c:pt>
                <c:pt idx="26">
                  <c:v>0.33134296819487741</c:v>
                </c:pt>
                <c:pt idx="27">
                  <c:v>0.74881170249223372</c:v>
                </c:pt>
                <c:pt idx="28">
                  <c:v>3.0978622715273962E-2</c:v>
                </c:pt>
                <c:pt idx="29">
                  <c:v>0.45685538850228957</c:v>
                </c:pt>
                <c:pt idx="30">
                  <c:v>3.1301960252211769E-2</c:v>
                </c:pt>
                <c:pt idx="31">
                  <c:v>8.9104487935590226E-2</c:v>
                </c:pt>
                <c:pt idx="32">
                  <c:v>0.51542551109115164</c:v>
                </c:pt>
                <c:pt idx="33">
                  <c:v>0.47860466448215699</c:v>
                </c:pt>
                <c:pt idx="34">
                  <c:v>0.84777577448522923</c:v>
                </c:pt>
                <c:pt idx="35">
                  <c:v>0.1403483535653901</c:v>
                </c:pt>
                <c:pt idx="36">
                  <c:v>0.42989626798676428</c:v>
                </c:pt>
                <c:pt idx="37">
                  <c:v>0.91925391530847067</c:v>
                </c:pt>
                <c:pt idx="38">
                  <c:v>0.1208586609772333</c:v>
                </c:pt>
                <c:pt idx="39">
                  <c:v>0.89452997288794744</c:v>
                </c:pt>
                <c:pt idx="40">
                  <c:v>0.4539106234896233</c:v>
                </c:pt>
                <c:pt idx="41">
                  <c:v>0.24339528373523922</c:v>
                </c:pt>
                <c:pt idx="42">
                  <c:v>0.37062176270363623</c:v>
                </c:pt>
                <c:pt idx="43">
                  <c:v>0.79360116582100737</c:v>
                </c:pt>
                <c:pt idx="44">
                  <c:v>0.39826301178660584</c:v>
                </c:pt>
                <c:pt idx="45">
                  <c:v>0.56454251934791488</c:v>
                </c:pt>
                <c:pt idx="46">
                  <c:v>0.99732936606508982</c:v>
                </c:pt>
                <c:pt idx="47">
                  <c:v>5.6589507530478089E-2</c:v>
                </c:pt>
                <c:pt idx="48">
                  <c:v>0.3378375670926842</c:v>
                </c:pt>
                <c:pt idx="49">
                  <c:v>0.84275378482210617</c:v>
                </c:pt>
                <c:pt idx="50">
                  <c:v>0.37356867439167296</c:v>
                </c:pt>
                <c:pt idx="51">
                  <c:v>0.21330754332357549</c:v>
                </c:pt>
                <c:pt idx="52">
                  <c:v>0.75572525097145726</c:v>
                </c:pt>
                <c:pt idx="53">
                  <c:v>0.77506821576524398</c:v>
                </c:pt>
                <c:pt idx="54">
                  <c:v>3.6192161994508698E-2</c:v>
                </c:pt>
                <c:pt idx="55">
                  <c:v>0.60339096699165262</c:v>
                </c:pt>
                <c:pt idx="56">
                  <c:v>0.98209940708386034</c:v>
                </c:pt>
                <c:pt idx="57">
                  <c:v>0.70532821191668615</c:v>
                </c:pt>
                <c:pt idx="58">
                  <c:v>9.8928818240805239E-2</c:v>
                </c:pt>
                <c:pt idx="59">
                  <c:v>0.37537656329736024</c:v>
                </c:pt>
                <c:pt idx="60">
                  <c:v>0.68360604692960303</c:v>
                </c:pt>
                <c:pt idx="61">
                  <c:v>0.45900371681733787</c:v>
                </c:pt>
                <c:pt idx="62">
                  <c:v>0.82824888882999947</c:v>
                </c:pt>
                <c:pt idx="63">
                  <c:v>0.63659785101064525</c:v>
                </c:pt>
                <c:pt idx="64">
                  <c:v>0.73314911374475755</c:v>
                </c:pt>
                <c:pt idx="65">
                  <c:v>0.28816834007926839</c:v>
                </c:pt>
                <c:pt idx="66">
                  <c:v>0.79642918384926475</c:v>
                </c:pt>
                <c:pt idx="67">
                  <c:v>0.84743863637534</c:v>
                </c:pt>
                <c:pt idx="68">
                  <c:v>8.3762003629809789E-2</c:v>
                </c:pt>
                <c:pt idx="69">
                  <c:v>6.4395015025700775E-2</c:v>
                </c:pt>
                <c:pt idx="70">
                  <c:v>6.135448825766987E-2</c:v>
                </c:pt>
                <c:pt idx="71">
                  <c:v>5.3386307082474938E-2</c:v>
                </c:pt>
                <c:pt idx="72">
                  <c:v>0.62426626028811583</c:v>
                </c:pt>
                <c:pt idx="73">
                  <c:v>0.40620484774159027</c:v>
                </c:pt>
                <c:pt idx="74">
                  <c:v>0.81056783801605625</c:v>
                </c:pt>
                <c:pt idx="75">
                  <c:v>0.25520431793085363</c:v>
                </c:pt>
                <c:pt idx="76">
                  <c:v>0.96782634676833901</c:v>
                </c:pt>
                <c:pt idx="77">
                  <c:v>0.6611615202533061</c:v>
                </c:pt>
                <c:pt idx="78">
                  <c:v>0.3980173585040061</c:v>
                </c:pt>
                <c:pt idx="79">
                  <c:v>0.20936289123611518</c:v>
                </c:pt>
                <c:pt idx="80">
                  <c:v>0.88096137037605571</c:v>
                </c:pt>
                <c:pt idx="81">
                  <c:v>0.90297347232916791</c:v>
                </c:pt>
                <c:pt idx="82">
                  <c:v>0.22960658090916342</c:v>
                </c:pt>
                <c:pt idx="83">
                  <c:v>0.71983578615074928</c:v>
                </c:pt>
                <c:pt idx="84">
                  <c:v>0.65284241953381883</c:v>
                </c:pt>
                <c:pt idx="85">
                  <c:v>4.9292361551618979E-2</c:v>
                </c:pt>
                <c:pt idx="86">
                  <c:v>0.67550051578843473</c:v>
                </c:pt>
                <c:pt idx="87">
                  <c:v>0.33352988156765917</c:v>
                </c:pt>
                <c:pt idx="88">
                  <c:v>0.23199443491361416</c:v>
                </c:pt>
                <c:pt idx="89">
                  <c:v>0.39496295242169865</c:v>
                </c:pt>
                <c:pt idx="90">
                  <c:v>0.28612484093897006</c:v>
                </c:pt>
                <c:pt idx="91">
                  <c:v>7.4956525013007758E-2</c:v>
                </c:pt>
                <c:pt idx="92">
                  <c:v>0.39770573073093041</c:v>
                </c:pt>
                <c:pt idx="93">
                  <c:v>0.65679221606834914</c:v>
                </c:pt>
                <c:pt idx="94">
                  <c:v>0.92210876605777303</c:v>
                </c:pt>
                <c:pt idx="95">
                  <c:v>0.64498776507424926</c:v>
                </c:pt>
                <c:pt idx="96">
                  <c:v>0.39205389486709041</c:v>
                </c:pt>
                <c:pt idx="97">
                  <c:v>0.39278384406190725</c:v>
                </c:pt>
                <c:pt idx="98">
                  <c:v>0.56540542511268865</c:v>
                </c:pt>
                <c:pt idx="99">
                  <c:v>0.20243867875914978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F-B348-AC5A-5484D67BD944}"/>
            </c:ext>
          </c:extLst>
        </c:ser>
        <c:ser>
          <c:idx val="1"/>
          <c:order val="1"/>
          <c:tx>
            <c:v>norm check!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Model!$B$6:$B$1005</c:f>
              <c:numCache>
                <c:formatCode>General</c:formatCode>
                <c:ptCount val="1000"/>
                <c:pt idx="0">
                  <c:v>0.29900463468746408</c:v>
                </c:pt>
                <c:pt idx="1">
                  <c:v>-0.7260352762754847</c:v>
                </c:pt>
                <c:pt idx="2">
                  <c:v>-0.67608659605973687</c:v>
                </c:pt>
                <c:pt idx="3">
                  <c:v>-1.0893040861356618</c:v>
                </c:pt>
                <c:pt idx="4">
                  <c:v>-0.88059891535189061</c:v>
                </c:pt>
                <c:pt idx="5">
                  <c:v>-1.2060959952346357</c:v>
                </c:pt>
                <c:pt idx="6">
                  <c:v>-0.75526813756132971</c:v>
                </c:pt>
                <c:pt idx="7">
                  <c:v>-0.82242729906189915</c:v>
                </c:pt>
                <c:pt idx="8">
                  <c:v>-0.37986888839961613</c:v>
                </c:pt>
                <c:pt idx="9">
                  <c:v>-0.64921153848824353</c:v>
                </c:pt>
                <c:pt idx="10">
                  <c:v>0.92577195069818774</c:v>
                </c:pt>
                <c:pt idx="11">
                  <c:v>1.583647526850505</c:v>
                </c:pt>
                <c:pt idx="12">
                  <c:v>-0.76500210879993902</c:v>
                </c:pt>
                <c:pt idx="13">
                  <c:v>-7.0008728315970589E-2</c:v>
                </c:pt>
                <c:pt idx="14">
                  <c:v>-0.2458453268095267</c:v>
                </c:pt>
                <c:pt idx="15">
                  <c:v>-0.79759853819066595</c:v>
                </c:pt>
                <c:pt idx="16">
                  <c:v>1.4762518479199596</c:v>
                </c:pt>
                <c:pt idx="17">
                  <c:v>2.014800940880948</c:v>
                </c:pt>
                <c:pt idx="18">
                  <c:v>0.58111730200780709</c:v>
                </c:pt>
                <c:pt idx="19">
                  <c:v>1.5114150479001448E-2</c:v>
                </c:pt>
                <c:pt idx="20">
                  <c:v>-2.1385648466417738E-2</c:v>
                </c:pt>
                <c:pt idx="21">
                  <c:v>-1.1918778080141366</c:v>
                </c:pt>
                <c:pt idx="22">
                  <c:v>-0.93955499447271096</c:v>
                </c:pt>
                <c:pt idx="23">
                  <c:v>0.67905066693205152</c:v>
                </c:pt>
                <c:pt idx="24">
                  <c:v>0.99655711905454725</c:v>
                </c:pt>
                <c:pt idx="25">
                  <c:v>1.6430287338057221</c:v>
                </c:pt>
                <c:pt idx="26">
                  <c:v>-0.43620784526921019</c:v>
                </c:pt>
                <c:pt idx="27">
                  <c:v>0.67075503743570963</c:v>
                </c:pt>
                <c:pt idx="28">
                  <c:v>-1.8666015897718016</c:v>
                </c:pt>
                <c:pt idx="29">
                  <c:v>-0.10835918385314956</c:v>
                </c:pt>
                <c:pt idx="30">
                  <c:v>-1.8619941097049391</c:v>
                </c:pt>
                <c:pt idx="31">
                  <c:v>-1.3462901045437361</c:v>
                </c:pt>
                <c:pt idx="32">
                  <c:v>3.8675661975291278E-2</c:v>
                </c:pt>
                <c:pt idx="33">
                  <c:v>-5.3655887314123664E-2</c:v>
                </c:pt>
                <c:pt idx="34">
                  <c:v>1.0269405661712985</c:v>
                </c:pt>
                <c:pt idx="35">
                  <c:v>-1.0787555674078066</c:v>
                </c:pt>
                <c:pt idx="36">
                  <c:v>-0.17663826444183478</c:v>
                </c:pt>
                <c:pt idx="37">
                  <c:v>1.4000706287588653</c:v>
                </c:pt>
                <c:pt idx="38">
                  <c:v>-1.1707051312952514</c:v>
                </c:pt>
                <c:pt idx="39">
                  <c:v>1.2509847146542707</c:v>
                </c:pt>
                <c:pt idx="40">
                  <c:v>-0.11578713466689046</c:v>
                </c:pt>
                <c:pt idx="41">
                  <c:v>-0.69542249456419369</c:v>
                </c:pt>
                <c:pt idx="42">
                  <c:v>-0.33020704311363908</c:v>
                </c:pt>
                <c:pt idx="43">
                  <c:v>0.81898027363868209</c:v>
                </c:pt>
                <c:pt idx="44">
                  <c:v>-0.25784566058330333</c:v>
                </c:pt>
                <c:pt idx="45">
                  <c:v>0.16249640213585315</c:v>
                </c:pt>
                <c:pt idx="46">
                  <c:v>2.7856975735175364</c:v>
                </c:pt>
                <c:pt idx="47">
                  <c:v>-1.5840646179722784</c:v>
                </c:pt>
                <c:pt idx="48">
                  <c:v>-0.41837202863999134</c:v>
                </c:pt>
                <c:pt idx="49">
                  <c:v>1.0058402326981719</c:v>
                </c:pt>
                <c:pt idx="50">
                  <c:v>-0.32241628494892094</c:v>
                </c:pt>
                <c:pt idx="51">
                  <c:v>-0.79499727608859483</c:v>
                </c:pt>
                <c:pt idx="52">
                  <c:v>0.69261770230821518</c:v>
                </c:pt>
                <c:pt idx="53">
                  <c:v>0.75564249811834672</c:v>
                </c:pt>
                <c:pt idx="54">
                  <c:v>-1.7966932950704073</c:v>
                </c:pt>
                <c:pt idx="55">
                  <c:v>0.26213408922207238</c:v>
                </c:pt>
                <c:pt idx="56">
                  <c:v>2.0991783037121263</c:v>
                </c:pt>
                <c:pt idx="57">
                  <c:v>0.53978751786646351</c:v>
                </c:pt>
                <c:pt idx="58">
                  <c:v>-1.287679258839403</c:v>
                </c:pt>
                <c:pt idx="59">
                  <c:v>-0.31764646175400452</c:v>
                </c:pt>
                <c:pt idx="60">
                  <c:v>0.47780653965981407</c:v>
                </c:pt>
                <c:pt idx="61">
                  <c:v>-0.10294397807345516</c:v>
                </c:pt>
                <c:pt idx="62">
                  <c:v>0.94726802008153321</c:v>
                </c:pt>
                <c:pt idx="63">
                  <c:v>0.34937966449971403</c:v>
                </c:pt>
                <c:pt idx="64">
                  <c:v>0.62236517756145737</c:v>
                </c:pt>
                <c:pt idx="65">
                  <c:v>-0.55874365672812865</c:v>
                </c:pt>
                <c:pt idx="66">
                  <c:v>0.82893421662433409</c:v>
                </c:pt>
                <c:pt idx="67">
                  <c:v>1.0255097501077373</c:v>
                </c:pt>
                <c:pt idx="68">
                  <c:v>-1.3802034656128315</c:v>
                </c:pt>
                <c:pt idx="69">
                  <c:v>-1.5188906216357798</c:v>
                </c:pt>
                <c:pt idx="70">
                  <c:v>-1.5435021901168613</c:v>
                </c:pt>
                <c:pt idx="71">
                  <c:v>-1.6128706440398253</c:v>
                </c:pt>
                <c:pt idx="72">
                  <c:v>0.31670496716450602</c:v>
                </c:pt>
                <c:pt idx="73">
                  <c:v>-0.23731852009927401</c:v>
                </c:pt>
                <c:pt idx="74">
                  <c:v>0.87999074370428854</c:v>
                </c:pt>
                <c:pt idx="75">
                  <c:v>-0.65820153925914959</c:v>
                </c:pt>
                <c:pt idx="76">
                  <c:v>1.8497658390336438</c:v>
                </c:pt>
                <c:pt idx="77">
                  <c:v>0.41563520761333878</c:v>
                </c:pt>
                <c:pt idx="78">
                  <c:v>-0.25848228762302961</c:v>
                </c:pt>
                <c:pt idx="79">
                  <c:v>-0.80863385982982705</c:v>
                </c:pt>
                <c:pt idx="80">
                  <c:v>1.1798063101540768</c:v>
                </c:pt>
                <c:pt idx="81">
                  <c:v>1.2986820830799868</c:v>
                </c:pt>
                <c:pt idx="82">
                  <c:v>-0.74014311169539937</c:v>
                </c:pt>
                <c:pt idx="83">
                  <c:v>0.58235374990812439</c:v>
                </c:pt>
                <c:pt idx="84">
                  <c:v>0.39300584962438778</c:v>
                </c:pt>
                <c:pt idx="85">
                  <c:v>-1.651753933383181</c:v>
                </c:pt>
                <c:pt idx="86">
                  <c:v>0.45515328123552506</c:v>
                </c:pt>
                <c:pt idx="87">
                  <c:v>-0.43018680015465421</c:v>
                </c:pt>
                <c:pt idx="88">
                  <c:v>-0.73229444390148546</c:v>
                </c:pt>
                <c:pt idx="89">
                  <c:v>-0.26640683106498841</c:v>
                </c:pt>
                <c:pt idx="90">
                  <c:v>-0.56474138329443979</c:v>
                </c:pt>
                <c:pt idx="91">
                  <c:v>-1.4398386622860639</c:v>
                </c:pt>
                <c:pt idx="92">
                  <c:v>-0.25929004280694085</c:v>
                </c:pt>
                <c:pt idx="93">
                  <c:v>0.40372416469598504</c:v>
                </c:pt>
                <c:pt idx="94">
                  <c:v>1.4193998783282202</c:v>
                </c:pt>
                <c:pt idx="95">
                  <c:v>0.37182322578952115</c:v>
                </c:pt>
                <c:pt idx="96">
                  <c:v>-0.27396985254396283</c:v>
                </c:pt>
                <c:pt idx="97">
                  <c:v>-0.27207066087326359</c:v>
                </c:pt>
                <c:pt idx="98">
                  <c:v>0.16468852449061194</c:v>
                </c:pt>
                <c:pt idx="99">
                  <c:v>-0.83294214789191134</c:v>
                </c:pt>
                <c:pt idx="100">
                  <c:v>-0.10528189261912664</c:v>
                </c:pt>
                <c:pt idx="101">
                  <c:v>-0.64473587414278022</c:v>
                </c:pt>
                <c:pt idx="102">
                  <c:v>-0.2721488645084254</c:v>
                </c:pt>
                <c:pt idx="103">
                  <c:v>1.5719383109237699</c:v>
                </c:pt>
                <c:pt idx="104">
                  <c:v>2.9417955055788796E-2</c:v>
                </c:pt>
                <c:pt idx="105">
                  <c:v>1.1123087441588457</c:v>
                </c:pt>
                <c:pt idx="106">
                  <c:v>0.50191910373476412</c:v>
                </c:pt>
                <c:pt idx="107">
                  <c:v>-8.571952293328329E-2</c:v>
                </c:pt>
                <c:pt idx="108">
                  <c:v>1.7132115291641048</c:v>
                </c:pt>
                <c:pt idx="109">
                  <c:v>1.0195108552395111</c:v>
                </c:pt>
                <c:pt idx="110">
                  <c:v>4.865124097237343E-2</c:v>
                </c:pt>
                <c:pt idx="111">
                  <c:v>-0.43778927768130793</c:v>
                </c:pt>
                <c:pt idx="112">
                  <c:v>-0.7418384537531767</c:v>
                </c:pt>
                <c:pt idx="113">
                  <c:v>1.1993772329885894E-2</c:v>
                </c:pt>
                <c:pt idx="114">
                  <c:v>1.5933990194849175</c:v>
                </c:pt>
                <c:pt idx="115">
                  <c:v>-0.20720710980851453</c:v>
                </c:pt>
                <c:pt idx="116">
                  <c:v>-0.87979540700535319</c:v>
                </c:pt>
                <c:pt idx="117">
                  <c:v>-1.0130432276630854</c:v>
                </c:pt>
                <c:pt idx="118">
                  <c:v>0.76912300311942305</c:v>
                </c:pt>
                <c:pt idx="119">
                  <c:v>-0.59647047962540789</c:v>
                </c:pt>
                <c:pt idx="120">
                  <c:v>0.17330430478147865</c:v>
                </c:pt>
                <c:pt idx="121">
                  <c:v>0.55286369650140388</c:v>
                </c:pt>
                <c:pt idx="122">
                  <c:v>0.29550886781078667</c:v>
                </c:pt>
                <c:pt idx="123">
                  <c:v>-0.18785892064273774</c:v>
                </c:pt>
                <c:pt idx="124">
                  <c:v>-0.76124307002514413</c:v>
                </c:pt>
                <c:pt idx="125">
                  <c:v>0.25120559752253591</c:v>
                </c:pt>
                <c:pt idx="126">
                  <c:v>2.5438021440749301</c:v>
                </c:pt>
                <c:pt idx="127">
                  <c:v>-3.5834508802820013E-2</c:v>
                </c:pt>
                <c:pt idx="128">
                  <c:v>0.31547424658229706</c:v>
                </c:pt>
                <c:pt idx="129">
                  <c:v>-0.57863890639838766</c:v>
                </c:pt>
                <c:pt idx="130">
                  <c:v>-2.2818948952541005</c:v>
                </c:pt>
                <c:pt idx="131">
                  <c:v>0.64138786056531172</c:v>
                </c:pt>
                <c:pt idx="132">
                  <c:v>0.75198664221177769</c:v>
                </c:pt>
                <c:pt idx="133">
                  <c:v>-1.4157652265325578</c:v>
                </c:pt>
                <c:pt idx="134">
                  <c:v>0.13245678938484448</c:v>
                </c:pt>
                <c:pt idx="135">
                  <c:v>2.5867763219798614</c:v>
                </c:pt>
                <c:pt idx="136">
                  <c:v>-0.17132464068430203</c:v>
                </c:pt>
                <c:pt idx="137">
                  <c:v>1.1488142279597888</c:v>
                </c:pt>
                <c:pt idx="138">
                  <c:v>-1.2812128880755862</c:v>
                </c:pt>
                <c:pt idx="139">
                  <c:v>-0.69755009657470202</c:v>
                </c:pt>
                <c:pt idx="140">
                  <c:v>0.18424418186149905</c:v>
                </c:pt>
                <c:pt idx="141">
                  <c:v>5.7994904255268709E-2</c:v>
                </c:pt>
                <c:pt idx="142">
                  <c:v>1.0563780716525908</c:v>
                </c:pt>
                <c:pt idx="143">
                  <c:v>0.85003759817751234</c:v>
                </c:pt>
                <c:pt idx="144">
                  <c:v>-0.38300276013740731</c:v>
                </c:pt>
                <c:pt idx="145">
                  <c:v>0.36699544021290476</c:v>
                </c:pt>
                <c:pt idx="146">
                  <c:v>-0.19068399945704756</c:v>
                </c:pt>
                <c:pt idx="147">
                  <c:v>-0.79841051743642688</c:v>
                </c:pt>
                <c:pt idx="148">
                  <c:v>-0.70245962809950568</c:v>
                </c:pt>
                <c:pt idx="149">
                  <c:v>0.16006938896864042</c:v>
                </c:pt>
                <c:pt idx="150">
                  <c:v>-0.19093239733793255</c:v>
                </c:pt>
                <c:pt idx="151">
                  <c:v>0.26526680567257038</c:v>
                </c:pt>
                <c:pt idx="152">
                  <c:v>-1.1450812600428052E-2</c:v>
                </c:pt>
                <c:pt idx="153">
                  <c:v>1.2080178136659159</c:v>
                </c:pt>
                <c:pt idx="154">
                  <c:v>-1.6003281324314358</c:v>
                </c:pt>
                <c:pt idx="155">
                  <c:v>-0.57683467181999715</c:v>
                </c:pt>
                <c:pt idx="156">
                  <c:v>-1.2077198694978097</c:v>
                </c:pt>
                <c:pt idx="157">
                  <c:v>-0.32568817718873833</c:v>
                </c:pt>
                <c:pt idx="158">
                  <c:v>-2.3669471304787</c:v>
                </c:pt>
                <c:pt idx="159">
                  <c:v>0.61112764078542281</c:v>
                </c:pt>
                <c:pt idx="160">
                  <c:v>-0.48435683918177336</c:v>
                </c:pt>
                <c:pt idx="161">
                  <c:v>-0.49041411222071107</c:v>
                </c:pt>
                <c:pt idx="162">
                  <c:v>-0.35980583042681441</c:v>
                </c:pt>
                <c:pt idx="163">
                  <c:v>-1.005999083560061</c:v>
                </c:pt>
                <c:pt idx="164">
                  <c:v>1.5263309491781221</c:v>
                </c:pt>
                <c:pt idx="165">
                  <c:v>1.0715468515874178</c:v>
                </c:pt>
                <c:pt idx="166">
                  <c:v>0.31227069995133366</c:v>
                </c:pt>
                <c:pt idx="167">
                  <c:v>0.25653963136027214</c:v>
                </c:pt>
                <c:pt idx="168">
                  <c:v>2.0276894190264336</c:v>
                </c:pt>
                <c:pt idx="169">
                  <c:v>0.45071257681671845</c:v>
                </c:pt>
                <c:pt idx="170">
                  <c:v>1.2341870957808598</c:v>
                </c:pt>
                <c:pt idx="171">
                  <c:v>-0.30821040834224089</c:v>
                </c:pt>
                <c:pt idx="172">
                  <c:v>0.19487820114666812</c:v>
                </c:pt>
                <c:pt idx="173">
                  <c:v>-2.3265272130937533</c:v>
                </c:pt>
                <c:pt idx="174">
                  <c:v>-0.56660222750297606</c:v>
                </c:pt>
                <c:pt idx="175">
                  <c:v>-1.5885187395784577</c:v>
                </c:pt>
                <c:pt idx="176">
                  <c:v>-0.55552248320681552</c:v>
                </c:pt>
                <c:pt idx="177">
                  <c:v>0.3575377218797347</c:v>
                </c:pt>
                <c:pt idx="178">
                  <c:v>1.8524426760375887</c:v>
                </c:pt>
                <c:pt idx="179">
                  <c:v>0.47532154063453308</c:v>
                </c:pt>
                <c:pt idx="180">
                  <c:v>1.1352032585863312</c:v>
                </c:pt>
                <c:pt idx="181">
                  <c:v>1.127514654013577</c:v>
                </c:pt>
                <c:pt idx="182">
                  <c:v>1.0608976811935815</c:v>
                </c:pt>
                <c:pt idx="183">
                  <c:v>-1.377572584182261</c:v>
                </c:pt>
                <c:pt idx="184">
                  <c:v>-0.60081695037142691</c:v>
                </c:pt>
                <c:pt idx="185">
                  <c:v>-2.223489682600281</c:v>
                </c:pt>
                <c:pt idx="186">
                  <c:v>-0.73070048358972728</c:v>
                </c:pt>
                <c:pt idx="187">
                  <c:v>0.54326710383874799</c:v>
                </c:pt>
                <c:pt idx="188">
                  <c:v>-0.42623323724685813</c:v>
                </c:pt>
                <c:pt idx="189">
                  <c:v>0.33581623877129985</c:v>
                </c:pt>
                <c:pt idx="190">
                  <c:v>-1.1929645015488675</c:v>
                </c:pt>
                <c:pt idx="191">
                  <c:v>-0.5255702161205682</c:v>
                </c:pt>
                <c:pt idx="192">
                  <c:v>1.0550208339873368</c:v>
                </c:pt>
                <c:pt idx="193">
                  <c:v>2.9252582616722349</c:v>
                </c:pt>
                <c:pt idx="194">
                  <c:v>-0.84676060468975356</c:v>
                </c:pt>
                <c:pt idx="195">
                  <c:v>0.40164263096416247</c:v>
                </c:pt>
                <c:pt idx="196">
                  <c:v>1.0767761440782428</c:v>
                </c:pt>
                <c:pt idx="197">
                  <c:v>-0.94881108308066564</c:v>
                </c:pt>
                <c:pt idx="198">
                  <c:v>0.83385556032313657</c:v>
                </c:pt>
                <c:pt idx="199">
                  <c:v>0.57702517464127656</c:v>
                </c:pt>
                <c:pt idx="200">
                  <c:v>0.22858182144113501</c:v>
                </c:pt>
                <c:pt idx="201">
                  <c:v>5.3774411236260013E-2</c:v>
                </c:pt>
                <c:pt idx="202">
                  <c:v>0.83127167019211157</c:v>
                </c:pt>
                <c:pt idx="203">
                  <c:v>1.0094271919805873</c:v>
                </c:pt>
                <c:pt idx="204">
                  <c:v>6.2551504273185426E-2</c:v>
                </c:pt>
                <c:pt idx="205">
                  <c:v>-0.15127828252477277</c:v>
                </c:pt>
                <c:pt idx="206">
                  <c:v>-0.77146364137187717</c:v>
                </c:pt>
                <c:pt idx="207">
                  <c:v>0.18906829816090098</c:v>
                </c:pt>
                <c:pt idx="208">
                  <c:v>1.7054425358070935</c:v>
                </c:pt>
                <c:pt idx="209">
                  <c:v>-1.4506808714585999</c:v>
                </c:pt>
                <c:pt idx="210">
                  <c:v>-0.71341178008160455</c:v>
                </c:pt>
                <c:pt idx="211">
                  <c:v>-0.8468497922280257</c:v>
                </c:pt>
                <c:pt idx="212">
                  <c:v>-0.57157661426050599</c:v>
                </c:pt>
                <c:pt idx="213">
                  <c:v>-9.33050192453109E-2</c:v>
                </c:pt>
                <c:pt idx="214">
                  <c:v>-0.81975775432605746</c:v>
                </c:pt>
                <c:pt idx="215">
                  <c:v>-1.0180893320615452</c:v>
                </c:pt>
                <c:pt idx="216">
                  <c:v>-1.7104367510046934</c:v>
                </c:pt>
                <c:pt idx="217">
                  <c:v>1.6819450393945472</c:v>
                </c:pt>
                <c:pt idx="218">
                  <c:v>1.3211126721535562</c:v>
                </c:pt>
                <c:pt idx="219">
                  <c:v>-0.84622171869117668</c:v>
                </c:pt>
                <c:pt idx="220">
                  <c:v>0.86909958794100051</c:v>
                </c:pt>
                <c:pt idx="221">
                  <c:v>0.97728884570423369</c:v>
                </c:pt>
                <c:pt idx="222">
                  <c:v>0.20604203825018283</c:v>
                </c:pt>
                <c:pt idx="223">
                  <c:v>-0.13050528308411091</c:v>
                </c:pt>
                <c:pt idx="224">
                  <c:v>0.69670387552338542</c:v>
                </c:pt>
                <c:pt idx="225">
                  <c:v>0.3173714149748903</c:v>
                </c:pt>
                <c:pt idx="226">
                  <c:v>-0.13754461360573847</c:v>
                </c:pt>
                <c:pt idx="227">
                  <c:v>-0.84033587448586455</c:v>
                </c:pt>
                <c:pt idx="228">
                  <c:v>-1.1758625742443516</c:v>
                </c:pt>
                <c:pt idx="229">
                  <c:v>0.68457693044845835</c:v>
                </c:pt>
                <c:pt idx="230">
                  <c:v>-1.2399233679748725</c:v>
                </c:pt>
                <c:pt idx="231">
                  <c:v>0.66443502992196979</c:v>
                </c:pt>
                <c:pt idx="232">
                  <c:v>1.6359891876261881</c:v>
                </c:pt>
                <c:pt idx="233">
                  <c:v>0.23169338334053602</c:v>
                </c:pt>
                <c:pt idx="234">
                  <c:v>-0.80072389922358767</c:v>
                </c:pt>
                <c:pt idx="235">
                  <c:v>1.1066618902414596</c:v>
                </c:pt>
                <c:pt idx="236">
                  <c:v>0.52776587235727979</c:v>
                </c:pt>
                <c:pt idx="237">
                  <c:v>-0.96239079308885389</c:v>
                </c:pt>
                <c:pt idx="238">
                  <c:v>0.55673001390604926</c:v>
                </c:pt>
                <c:pt idx="239">
                  <c:v>-0.25373295463000051</c:v>
                </c:pt>
                <c:pt idx="240">
                  <c:v>0.21377757246593271</c:v>
                </c:pt>
                <c:pt idx="241">
                  <c:v>-6.5049405302003826E-3</c:v>
                </c:pt>
                <c:pt idx="242">
                  <c:v>0.49778468827761807</c:v>
                </c:pt>
                <c:pt idx="243">
                  <c:v>-9.9591162284683038E-2</c:v>
                </c:pt>
                <c:pt idx="244">
                  <c:v>1.2353172020140994</c:v>
                </c:pt>
                <c:pt idx="245">
                  <c:v>1.9254125990002502</c:v>
                </c:pt>
                <c:pt idx="246">
                  <c:v>-0.2612042826445764</c:v>
                </c:pt>
                <c:pt idx="247">
                  <c:v>0.22694905313389935</c:v>
                </c:pt>
                <c:pt idx="248">
                  <c:v>-0.23712113884365393</c:v>
                </c:pt>
                <c:pt idx="249">
                  <c:v>-0.63294103061718632</c:v>
                </c:pt>
                <c:pt idx="250">
                  <c:v>2.1026899418558362</c:v>
                </c:pt>
                <c:pt idx="251">
                  <c:v>-0.82128309686234025</c:v>
                </c:pt>
                <c:pt idx="252">
                  <c:v>-1.9755473809541133</c:v>
                </c:pt>
                <c:pt idx="253">
                  <c:v>-0.6346338838848733</c:v>
                </c:pt>
                <c:pt idx="254">
                  <c:v>0.20345758928966021</c:v>
                </c:pt>
                <c:pt idx="255">
                  <c:v>1.1821098049214367</c:v>
                </c:pt>
                <c:pt idx="256">
                  <c:v>-0.9452992324246533</c:v>
                </c:pt>
                <c:pt idx="257">
                  <c:v>-0.46630712172809463</c:v>
                </c:pt>
                <c:pt idx="258">
                  <c:v>1.6967406553151809</c:v>
                </c:pt>
                <c:pt idx="259">
                  <c:v>1.0276158872192849</c:v>
                </c:pt>
                <c:pt idx="260">
                  <c:v>-0.29520294338071573</c:v>
                </c:pt>
                <c:pt idx="261">
                  <c:v>-0.27987492544943282</c:v>
                </c:pt>
                <c:pt idx="262">
                  <c:v>-1.7313218303891953</c:v>
                </c:pt>
                <c:pt idx="263">
                  <c:v>-0.74866315308154807</c:v>
                </c:pt>
                <c:pt idx="264">
                  <c:v>0.61073414124374359</c:v>
                </c:pt>
                <c:pt idx="265">
                  <c:v>1.2112980739362902</c:v>
                </c:pt>
                <c:pt idx="266">
                  <c:v>1.4972397594942302</c:v>
                </c:pt>
                <c:pt idx="267">
                  <c:v>-1.2656684809192884</c:v>
                </c:pt>
                <c:pt idx="268">
                  <c:v>-1.7078894831621707</c:v>
                </c:pt>
                <c:pt idx="269">
                  <c:v>1.9512547000910196</c:v>
                </c:pt>
                <c:pt idx="270">
                  <c:v>-0.21651376890517593</c:v>
                </c:pt>
                <c:pt idx="271">
                  <c:v>-0.41981728424208742</c:v>
                </c:pt>
                <c:pt idx="272">
                  <c:v>-0.29438653641563095</c:v>
                </c:pt>
                <c:pt idx="273">
                  <c:v>1.518833238302931</c:v>
                </c:pt>
                <c:pt idx="274">
                  <c:v>-0.17666557942173206</c:v>
                </c:pt>
                <c:pt idx="275">
                  <c:v>-0.48560997957200353</c:v>
                </c:pt>
                <c:pt idx="276">
                  <c:v>0.10726626065239081</c:v>
                </c:pt>
                <c:pt idx="277">
                  <c:v>0.38327119918416169</c:v>
                </c:pt>
                <c:pt idx="278">
                  <c:v>-1.2750261623338082</c:v>
                </c:pt>
                <c:pt idx="279">
                  <c:v>0.7700628347861167</c:v>
                </c:pt>
                <c:pt idx="280">
                  <c:v>0.13159122547877342</c:v>
                </c:pt>
                <c:pt idx="281">
                  <c:v>0.34582826029011432</c:v>
                </c:pt>
                <c:pt idx="282">
                  <c:v>0.82786956547988799</c:v>
                </c:pt>
                <c:pt idx="283">
                  <c:v>-0.18208562502004086</c:v>
                </c:pt>
                <c:pt idx="284">
                  <c:v>0.68339010642921338</c:v>
                </c:pt>
                <c:pt idx="285">
                  <c:v>-1.2714797033315326</c:v>
                </c:pt>
                <c:pt idx="286">
                  <c:v>1.011462955272409</c:v>
                </c:pt>
                <c:pt idx="287">
                  <c:v>-0.20652873216655004</c:v>
                </c:pt>
                <c:pt idx="288">
                  <c:v>-1.2727417556363969</c:v>
                </c:pt>
                <c:pt idx="289">
                  <c:v>-1.0004886140375271</c:v>
                </c:pt>
                <c:pt idx="290">
                  <c:v>-0.88999625780256664</c:v>
                </c:pt>
                <c:pt idx="291">
                  <c:v>-5.0494944072824205E-2</c:v>
                </c:pt>
                <c:pt idx="292">
                  <c:v>-0.94194145790172312</c:v>
                </c:pt>
                <c:pt idx="293">
                  <c:v>-0.33733017806106552</c:v>
                </c:pt>
                <c:pt idx="294">
                  <c:v>2.4263291469166739</c:v>
                </c:pt>
                <c:pt idx="295">
                  <c:v>-0.7576998302857062</c:v>
                </c:pt>
                <c:pt idx="296">
                  <c:v>0.70533773793407517</c:v>
                </c:pt>
                <c:pt idx="297">
                  <c:v>-1.4405248728283542</c:v>
                </c:pt>
                <c:pt idx="298">
                  <c:v>0.18363149827413477</c:v>
                </c:pt>
                <c:pt idx="299">
                  <c:v>-8.1627739329993981E-2</c:v>
                </c:pt>
                <c:pt idx="300">
                  <c:v>0.13952768309373287</c:v>
                </c:pt>
                <c:pt idx="301">
                  <c:v>-0.43474758256920776</c:v>
                </c:pt>
                <c:pt idx="302">
                  <c:v>1.3704934965556643</c:v>
                </c:pt>
                <c:pt idx="303">
                  <c:v>-1.4946648911250437</c:v>
                </c:pt>
                <c:pt idx="304">
                  <c:v>1.0982114322285186</c:v>
                </c:pt>
                <c:pt idx="305">
                  <c:v>2.1113040229391731E-2</c:v>
                </c:pt>
                <c:pt idx="306">
                  <c:v>-0.310186803214413</c:v>
                </c:pt>
                <c:pt idx="307">
                  <c:v>0.60713677201449423</c:v>
                </c:pt>
                <c:pt idx="308">
                  <c:v>-0.89993678719482184</c:v>
                </c:pt>
                <c:pt idx="309">
                  <c:v>0.28487568026504373</c:v>
                </c:pt>
                <c:pt idx="310">
                  <c:v>-1.1933048584047095</c:v>
                </c:pt>
                <c:pt idx="311">
                  <c:v>0.71620811815841723</c:v>
                </c:pt>
                <c:pt idx="312">
                  <c:v>-0.10023032154029224</c:v>
                </c:pt>
                <c:pt idx="313">
                  <c:v>7.7839774769354947E-3</c:v>
                </c:pt>
                <c:pt idx="314">
                  <c:v>-0.92751088391891456</c:v>
                </c:pt>
                <c:pt idx="315">
                  <c:v>7.1789284111171831E-2</c:v>
                </c:pt>
                <c:pt idx="316">
                  <c:v>1.2834142611287154</c:v>
                </c:pt>
                <c:pt idx="317">
                  <c:v>-1.409335340742049</c:v>
                </c:pt>
                <c:pt idx="318">
                  <c:v>-1.9780568986352105</c:v>
                </c:pt>
                <c:pt idx="319">
                  <c:v>-1.7908468721411928</c:v>
                </c:pt>
                <c:pt idx="320">
                  <c:v>-0.71403328132189259</c:v>
                </c:pt>
                <c:pt idx="321">
                  <c:v>0.78516082032242274</c:v>
                </c:pt>
                <c:pt idx="322">
                  <c:v>-2.2028672589966951</c:v>
                </c:pt>
                <c:pt idx="323">
                  <c:v>-0.2446924845750674</c:v>
                </c:pt>
                <c:pt idx="324">
                  <c:v>0.8525140234624341</c:v>
                </c:pt>
                <c:pt idx="325">
                  <c:v>-1.4257279437990871</c:v>
                </c:pt>
                <c:pt idx="326">
                  <c:v>-1.2594741736260893</c:v>
                </c:pt>
                <c:pt idx="327">
                  <c:v>0.56205241104795656</c:v>
                </c:pt>
                <c:pt idx="328">
                  <c:v>0.32411885280113462</c:v>
                </c:pt>
                <c:pt idx="329">
                  <c:v>1.0203481303262087</c:v>
                </c:pt>
                <c:pt idx="330">
                  <c:v>1.4719367340691618</c:v>
                </c:pt>
                <c:pt idx="331">
                  <c:v>0.48017730099730976</c:v>
                </c:pt>
                <c:pt idx="332">
                  <c:v>-0.26019518153753579</c:v>
                </c:pt>
                <c:pt idx="333">
                  <c:v>0.22475102369621652</c:v>
                </c:pt>
                <c:pt idx="334">
                  <c:v>0.56512549959209502</c:v>
                </c:pt>
                <c:pt idx="335">
                  <c:v>0.73908289137790995</c:v>
                </c:pt>
                <c:pt idx="336">
                  <c:v>5.833977479486184E-2</c:v>
                </c:pt>
                <c:pt idx="337">
                  <c:v>0.507320207486331</c:v>
                </c:pt>
                <c:pt idx="338">
                  <c:v>0.76519014499557292</c:v>
                </c:pt>
                <c:pt idx="339">
                  <c:v>-1.5592942091002051</c:v>
                </c:pt>
                <c:pt idx="340">
                  <c:v>-1.4737963936343628</c:v>
                </c:pt>
                <c:pt idx="341">
                  <c:v>-3.0293094643280737E-2</c:v>
                </c:pt>
                <c:pt idx="342">
                  <c:v>-0.32461052137402069</c:v>
                </c:pt>
                <c:pt idx="343">
                  <c:v>8.3177406789145203E-2</c:v>
                </c:pt>
                <c:pt idx="344">
                  <c:v>-1.9560055272490284</c:v>
                </c:pt>
                <c:pt idx="345">
                  <c:v>0.58922496750608</c:v>
                </c:pt>
                <c:pt idx="346">
                  <c:v>-0.98078864078104211</c:v>
                </c:pt>
                <c:pt idx="347">
                  <c:v>-0.2773896665444669</c:v>
                </c:pt>
                <c:pt idx="348">
                  <c:v>0.1765922918387538</c:v>
                </c:pt>
                <c:pt idx="349">
                  <c:v>-0.63128748824361414</c:v>
                </c:pt>
                <c:pt idx="350">
                  <c:v>1.8330700072691555</c:v>
                </c:pt>
                <c:pt idx="351">
                  <c:v>-0.29036917903039833</c:v>
                </c:pt>
                <c:pt idx="352">
                  <c:v>-1.5853677356101192</c:v>
                </c:pt>
                <c:pt idx="353">
                  <c:v>-2.164540438546759</c:v>
                </c:pt>
                <c:pt idx="354">
                  <c:v>0.19363204933008993</c:v>
                </c:pt>
                <c:pt idx="355">
                  <c:v>-0.19933946023230106</c:v>
                </c:pt>
                <c:pt idx="356">
                  <c:v>-0.13138577213006822</c:v>
                </c:pt>
                <c:pt idx="357">
                  <c:v>-0.4514935623476693</c:v>
                </c:pt>
                <c:pt idx="358">
                  <c:v>1.1226427072869354</c:v>
                </c:pt>
                <c:pt idx="359">
                  <c:v>-0.57660270069799346</c:v>
                </c:pt>
                <c:pt idx="360">
                  <c:v>0.93710046621984533</c:v>
                </c:pt>
                <c:pt idx="361">
                  <c:v>-1.4824467674585531</c:v>
                </c:pt>
                <c:pt idx="362">
                  <c:v>1.0911033279560645</c:v>
                </c:pt>
                <c:pt idx="363">
                  <c:v>0.54414166201602387</c:v>
                </c:pt>
                <c:pt idx="364">
                  <c:v>-0.17919152842367353</c:v>
                </c:pt>
                <c:pt idx="365">
                  <c:v>-0.63093573207457665</c:v>
                </c:pt>
                <c:pt idx="366">
                  <c:v>1.2397163408734417</c:v>
                </c:pt>
                <c:pt idx="367">
                  <c:v>-0.55029560259039412</c:v>
                </c:pt>
                <c:pt idx="368">
                  <c:v>1.976825888612352</c:v>
                </c:pt>
                <c:pt idx="369">
                  <c:v>0.68596838508190761</c:v>
                </c:pt>
                <c:pt idx="370">
                  <c:v>0.72332716842396005</c:v>
                </c:pt>
                <c:pt idx="371">
                  <c:v>0.36419933253964865</c:v>
                </c:pt>
                <c:pt idx="372">
                  <c:v>-1.4067824344778403</c:v>
                </c:pt>
                <c:pt idx="373">
                  <c:v>-1.2474715732534487</c:v>
                </c:pt>
                <c:pt idx="374">
                  <c:v>0.98448483274718024</c:v>
                </c:pt>
                <c:pt idx="375">
                  <c:v>-1.3165786746234505</c:v>
                </c:pt>
                <c:pt idx="376">
                  <c:v>-0.81096404559486746</c:v>
                </c:pt>
                <c:pt idx="377">
                  <c:v>7.2070582110860523E-2</c:v>
                </c:pt>
                <c:pt idx="378">
                  <c:v>0.59436682424006815</c:v>
                </c:pt>
                <c:pt idx="379">
                  <c:v>0.34617557580222458</c:v>
                </c:pt>
                <c:pt idx="380">
                  <c:v>-0.12690918229356965</c:v>
                </c:pt>
                <c:pt idx="381">
                  <c:v>0.442895903275282</c:v>
                </c:pt>
                <c:pt idx="382">
                  <c:v>-0.59425245117848913</c:v>
                </c:pt>
                <c:pt idx="383">
                  <c:v>-0.3838477380535274</c:v>
                </c:pt>
                <c:pt idx="384">
                  <c:v>-0.80717522360011873</c:v>
                </c:pt>
                <c:pt idx="385">
                  <c:v>-0.83951821261926174</c:v>
                </c:pt>
                <c:pt idx="386">
                  <c:v>1.4773238154444721</c:v>
                </c:pt>
                <c:pt idx="387">
                  <c:v>0.78334119510040612</c:v>
                </c:pt>
                <c:pt idx="388">
                  <c:v>1.017323370315278</c:v>
                </c:pt>
                <c:pt idx="389">
                  <c:v>1.2849274539992788</c:v>
                </c:pt>
                <c:pt idx="390">
                  <c:v>0.53863775525550006</c:v>
                </c:pt>
                <c:pt idx="391">
                  <c:v>-0.93995843370492704</c:v>
                </c:pt>
                <c:pt idx="392">
                  <c:v>-0.87199680345445651</c:v>
                </c:pt>
                <c:pt idx="393">
                  <c:v>0.41249348320460233</c:v>
                </c:pt>
                <c:pt idx="394">
                  <c:v>-1.2935172494184246</c:v>
                </c:pt>
                <c:pt idx="395">
                  <c:v>1.1242485864210212</c:v>
                </c:pt>
                <c:pt idx="396">
                  <c:v>1.3300891227723801</c:v>
                </c:pt>
                <c:pt idx="397">
                  <c:v>0.95772434583379418</c:v>
                </c:pt>
                <c:pt idx="398">
                  <c:v>-1.1843700747952124</c:v>
                </c:pt>
                <c:pt idx="399">
                  <c:v>1.4702546032339998</c:v>
                </c:pt>
                <c:pt idx="400">
                  <c:v>0.36955687557016054</c:v>
                </c:pt>
                <c:pt idx="401">
                  <c:v>-0.16159818195619413</c:v>
                </c:pt>
                <c:pt idx="402">
                  <c:v>-1.3507117270749163</c:v>
                </c:pt>
                <c:pt idx="403">
                  <c:v>2.9096922661535858E-2</c:v>
                </c:pt>
                <c:pt idx="404">
                  <c:v>-1.6364012280267595</c:v>
                </c:pt>
                <c:pt idx="405">
                  <c:v>-0.36083610309977687</c:v>
                </c:pt>
                <c:pt idx="406">
                  <c:v>-0.39972721945405165</c:v>
                </c:pt>
                <c:pt idx="407">
                  <c:v>0.61364611624980314</c:v>
                </c:pt>
                <c:pt idx="408">
                  <c:v>-1.3705747244468156</c:v>
                </c:pt>
                <c:pt idx="409">
                  <c:v>1.9320716270228904</c:v>
                </c:pt>
                <c:pt idx="410">
                  <c:v>0.42036811968532323</c:v>
                </c:pt>
                <c:pt idx="411">
                  <c:v>0.31337154332951894</c:v>
                </c:pt>
                <c:pt idx="412">
                  <c:v>0.33957110950489527</c:v>
                </c:pt>
                <c:pt idx="413">
                  <c:v>9.9157879241214247E-2</c:v>
                </c:pt>
                <c:pt idx="414">
                  <c:v>-1.60618951029233</c:v>
                </c:pt>
                <c:pt idx="415">
                  <c:v>-0.38589978833311506</c:v>
                </c:pt>
                <c:pt idx="416">
                  <c:v>-0.56880837914010807</c:v>
                </c:pt>
                <c:pt idx="417">
                  <c:v>-1.1821201091466516</c:v>
                </c:pt>
                <c:pt idx="418">
                  <c:v>-0.29155090684714347</c:v>
                </c:pt>
                <c:pt idx="419">
                  <c:v>-0.89178583616670049</c:v>
                </c:pt>
                <c:pt idx="420">
                  <c:v>0.92219964213799699</c:v>
                </c:pt>
                <c:pt idx="421">
                  <c:v>-0.53089349245941408</c:v>
                </c:pt>
                <c:pt idx="422">
                  <c:v>1.9154187018750009</c:v>
                </c:pt>
                <c:pt idx="423">
                  <c:v>8.7320940183200565E-2</c:v>
                </c:pt>
                <c:pt idx="424">
                  <c:v>0.51709405512507334</c:v>
                </c:pt>
                <c:pt idx="425">
                  <c:v>-1.3096415756515656</c:v>
                </c:pt>
                <c:pt idx="426">
                  <c:v>-1.2362775798362182</c:v>
                </c:pt>
                <c:pt idx="427">
                  <c:v>0.56425204282737529</c:v>
                </c:pt>
                <c:pt idx="428">
                  <c:v>-1.1682889072779272</c:v>
                </c:pt>
                <c:pt idx="429">
                  <c:v>-1.3496974053115236</c:v>
                </c:pt>
                <c:pt idx="430">
                  <c:v>1.167495346395528</c:v>
                </c:pt>
                <c:pt idx="431">
                  <c:v>-0.40888866881507907</c:v>
                </c:pt>
                <c:pt idx="432">
                  <c:v>-0.20941709531057603</c:v>
                </c:pt>
                <c:pt idx="433">
                  <c:v>0.28266936895827555</c:v>
                </c:pt>
                <c:pt idx="434">
                  <c:v>1.3322505948466079</c:v>
                </c:pt>
                <c:pt idx="435">
                  <c:v>-1.3611966872549246</c:v>
                </c:pt>
                <c:pt idx="436">
                  <c:v>0.80517158533794264</c:v>
                </c:pt>
                <c:pt idx="437">
                  <c:v>0.10197045083573704</c:v>
                </c:pt>
                <c:pt idx="438">
                  <c:v>0.52870758144046393</c:v>
                </c:pt>
                <c:pt idx="439">
                  <c:v>0.11585696447779381</c:v>
                </c:pt>
                <c:pt idx="440">
                  <c:v>-0.553470142188348</c:v>
                </c:pt>
                <c:pt idx="441">
                  <c:v>0.96794516976945788</c:v>
                </c:pt>
                <c:pt idx="442">
                  <c:v>0.52168595250948357</c:v>
                </c:pt>
                <c:pt idx="443">
                  <c:v>0.50689929955631929</c:v>
                </c:pt>
                <c:pt idx="444">
                  <c:v>-6.7100571494940281E-2</c:v>
                </c:pt>
                <c:pt idx="445">
                  <c:v>0.75247836092432208</c:v>
                </c:pt>
                <c:pt idx="446">
                  <c:v>-0.36361722043008754</c:v>
                </c:pt>
                <c:pt idx="447">
                  <c:v>-1.1548186805456806</c:v>
                </c:pt>
                <c:pt idx="448">
                  <c:v>-0.24101623483767698</c:v>
                </c:pt>
                <c:pt idx="449">
                  <c:v>-0.70994926257993307</c:v>
                </c:pt>
                <c:pt idx="450">
                  <c:v>-1.265708341263053</c:v>
                </c:pt>
                <c:pt idx="451">
                  <c:v>-1.3925807439669045</c:v>
                </c:pt>
                <c:pt idx="452">
                  <c:v>0.4726557632700899</c:v>
                </c:pt>
                <c:pt idx="453">
                  <c:v>0.42878363609284792</c:v>
                </c:pt>
                <c:pt idx="454">
                  <c:v>-0.62964682020057428</c:v>
                </c:pt>
                <c:pt idx="455">
                  <c:v>0.5124070539789678</c:v>
                </c:pt>
                <c:pt idx="456">
                  <c:v>-0.51232677814433525</c:v>
                </c:pt>
                <c:pt idx="457">
                  <c:v>-0.24283048650739114</c:v>
                </c:pt>
                <c:pt idx="458">
                  <c:v>9.3778448729414723E-3</c:v>
                </c:pt>
                <c:pt idx="459">
                  <c:v>1.2624424095223039</c:v>
                </c:pt>
                <c:pt idx="460">
                  <c:v>-2.1646979515441973E-3</c:v>
                </c:pt>
                <c:pt idx="461">
                  <c:v>-1.464435294240011</c:v>
                </c:pt>
                <c:pt idx="462">
                  <c:v>-2.4295557075958802</c:v>
                </c:pt>
                <c:pt idx="463">
                  <c:v>0.46596282141574197</c:v>
                </c:pt>
                <c:pt idx="464">
                  <c:v>-1.5267259790487757</c:v>
                </c:pt>
                <c:pt idx="465">
                  <c:v>0.72755190297419925</c:v>
                </c:pt>
                <c:pt idx="466">
                  <c:v>1.0225767553417799</c:v>
                </c:pt>
                <c:pt idx="467">
                  <c:v>-0.91493246881825641</c:v>
                </c:pt>
                <c:pt idx="468">
                  <c:v>-1.1497974477396513</c:v>
                </c:pt>
                <c:pt idx="469">
                  <c:v>-0.63808624029026162</c:v>
                </c:pt>
                <c:pt idx="470">
                  <c:v>-1.3913192324217318</c:v>
                </c:pt>
                <c:pt idx="471">
                  <c:v>0.2371006722918895</c:v>
                </c:pt>
                <c:pt idx="472">
                  <c:v>-0.53227189995684121</c:v>
                </c:pt>
                <c:pt idx="473">
                  <c:v>1.1628405037819058</c:v>
                </c:pt>
                <c:pt idx="474">
                  <c:v>-0.23336003584767087</c:v>
                </c:pt>
                <c:pt idx="475">
                  <c:v>-0.33186050534724404</c:v>
                </c:pt>
                <c:pt idx="476">
                  <c:v>-0.31096526057604235</c:v>
                </c:pt>
                <c:pt idx="477">
                  <c:v>-1.6957652490730071</c:v>
                </c:pt>
                <c:pt idx="478">
                  <c:v>0.65718320371495687</c:v>
                </c:pt>
                <c:pt idx="479">
                  <c:v>2.2030980828060129</c:v>
                </c:pt>
                <c:pt idx="480">
                  <c:v>-2.7327409372283323E-2</c:v>
                </c:pt>
                <c:pt idx="481">
                  <c:v>-0.41257580355747553</c:v>
                </c:pt>
                <c:pt idx="482">
                  <c:v>1.4744987227775963</c:v>
                </c:pt>
                <c:pt idx="483">
                  <c:v>0.62640834425573677</c:v>
                </c:pt>
                <c:pt idx="484">
                  <c:v>1.3381991561468469</c:v>
                </c:pt>
                <c:pt idx="485">
                  <c:v>-0.10708041852958675</c:v>
                </c:pt>
                <c:pt idx="486">
                  <c:v>4.2584355489242172E-2</c:v>
                </c:pt>
                <c:pt idx="487">
                  <c:v>1.2505808830333649</c:v>
                </c:pt>
                <c:pt idx="488">
                  <c:v>1.8798864514580209</c:v>
                </c:pt>
                <c:pt idx="489">
                  <c:v>0.39694353483570816</c:v>
                </c:pt>
                <c:pt idx="490">
                  <c:v>0.55420749858054918</c:v>
                </c:pt>
                <c:pt idx="491">
                  <c:v>1.1625023007575246</c:v>
                </c:pt>
                <c:pt idx="492">
                  <c:v>-0.21412912389948313</c:v>
                </c:pt>
                <c:pt idx="493">
                  <c:v>1.1245931305062673</c:v>
                </c:pt>
                <c:pt idx="494">
                  <c:v>1.4445061019114174</c:v>
                </c:pt>
                <c:pt idx="495">
                  <c:v>-0.70115186311426736</c:v>
                </c:pt>
                <c:pt idx="496">
                  <c:v>-0.14300153999507259</c:v>
                </c:pt>
                <c:pt idx="497">
                  <c:v>1.0453086050735718</c:v>
                </c:pt>
                <c:pt idx="498">
                  <c:v>-1.3314585458492587</c:v>
                </c:pt>
                <c:pt idx="499">
                  <c:v>0.11123718774073399</c:v>
                </c:pt>
                <c:pt idx="500">
                  <c:v>9.63737489574828E-3</c:v>
                </c:pt>
                <c:pt idx="501">
                  <c:v>1.9619823009662067</c:v>
                </c:pt>
                <c:pt idx="502">
                  <c:v>-0.55674461168005895</c:v>
                </c:pt>
                <c:pt idx="503">
                  <c:v>0.17627401615771637</c:v>
                </c:pt>
                <c:pt idx="504">
                  <c:v>-0.33034628071376726</c:v>
                </c:pt>
                <c:pt idx="505">
                  <c:v>-1.2196126546687267</c:v>
                </c:pt>
                <c:pt idx="506">
                  <c:v>-0.32299792168639452</c:v>
                </c:pt>
                <c:pt idx="507">
                  <c:v>-0.6791947904122384</c:v>
                </c:pt>
                <c:pt idx="508">
                  <c:v>-1.6450282239898044</c:v>
                </c:pt>
                <c:pt idx="509">
                  <c:v>0.32959463596339644</c:v>
                </c:pt>
                <c:pt idx="510">
                  <c:v>-0.14522134517205643</c:v>
                </c:pt>
                <c:pt idx="511">
                  <c:v>0.63152170181273348</c:v>
                </c:pt>
                <c:pt idx="512">
                  <c:v>-1.7693498500049856</c:v>
                </c:pt>
                <c:pt idx="513">
                  <c:v>-0.68017673890453889</c:v>
                </c:pt>
                <c:pt idx="514">
                  <c:v>-0.30462110166387923</c:v>
                </c:pt>
                <c:pt idx="515">
                  <c:v>-1.5323181286655458</c:v>
                </c:pt>
                <c:pt idx="516">
                  <c:v>7.0438829810528208E-2</c:v>
                </c:pt>
                <c:pt idx="517">
                  <c:v>0.56497706146043469</c:v>
                </c:pt>
                <c:pt idx="518">
                  <c:v>1.4075744679759267E-2</c:v>
                </c:pt>
                <c:pt idx="519">
                  <c:v>-0.12125677935804904</c:v>
                </c:pt>
                <c:pt idx="520">
                  <c:v>-5.985718488122381E-2</c:v>
                </c:pt>
                <c:pt idx="521">
                  <c:v>0.47843522486302353</c:v>
                </c:pt>
                <c:pt idx="522">
                  <c:v>1.808567221265966</c:v>
                </c:pt>
                <c:pt idx="523">
                  <c:v>1.2675705590639577</c:v>
                </c:pt>
                <c:pt idx="524">
                  <c:v>-4.8183715989878619E-2</c:v>
                </c:pt>
                <c:pt idx="525">
                  <c:v>0.12371123501256337</c:v>
                </c:pt>
                <c:pt idx="526">
                  <c:v>-0.97337980598490925</c:v>
                </c:pt>
                <c:pt idx="527">
                  <c:v>-1.4175994819978273</c:v>
                </c:pt>
                <c:pt idx="528">
                  <c:v>0.27475926734299316</c:v>
                </c:pt>
                <c:pt idx="529">
                  <c:v>0.27496627691629766</c:v>
                </c:pt>
                <c:pt idx="530">
                  <c:v>-1.2668468333837011</c:v>
                </c:pt>
                <c:pt idx="531">
                  <c:v>-0.49801737654256251</c:v>
                </c:pt>
                <c:pt idx="532">
                  <c:v>0.78829013281665605</c:v>
                </c:pt>
                <c:pt idx="533">
                  <c:v>-0.53575638652154611</c:v>
                </c:pt>
                <c:pt idx="534">
                  <c:v>-1.0010012375267126</c:v>
                </c:pt>
                <c:pt idx="535">
                  <c:v>-0.84040505259364451</c:v>
                </c:pt>
                <c:pt idx="536">
                  <c:v>1.3186871436452643</c:v>
                </c:pt>
                <c:pt idx="537">
                  <c:v>1.0137641541829969</c:v>
                </c:pt>
                <c:pt idx="538">
                  <c:v>-0.73899994841957239</c:v>
                </c:pt>
                <c:pt idx="539">
                  <c:v>0.46293469958717959</c:v>
                </c:pt>
                <c:pt idx="540">
                  <c:v>-1.0992630882084247</c:v>
                </c:pt>
                <c:pt idx="541">
                  <c:v>-0.5119758290607167</c:v>
                </c:pt>
                <c:pt idx="542">
                  <c:v>0.12180300648238018</c:v>
                </c:pt>
                <c:pt idx="543">
                  <c:v>-2.0452594778783006</c:v>
                </c:pt>
                <c:pt idx="544">
                  <c:v>-1.2248070702082428</c:v>
                </c:pt>
                <c:pt idx="545">
                  <c:v>-1.0047827299794414</c:v>
                </c:pt>
                <c:pt idx="546">
                  <c:v>0.45345256793881561</c:v>
                </c:pt>
                <c:pt idx="547">
                  <c:v>1.6005933844348461</c:v>
                </c:pt>
                <c:pt idx="548">
                  <c:v>-0.99650054546458522</c:v>
                </c:pt>
                <c:pt idx="549">
                  <c:v>-0.35578450091428621</c:v>
                </c:pt>
                <c:pt idx="550">
                  <c:v>1.2823392557988416</c:v>
                </c:pt>
                <c:pt idx="551">
                  <c:v>-2.2323263214299351</c:v>
                </c:pt>
                <c:pt idx="552">
                  <c:v>0.56540035344967376</c:v>
                </c:pt>
                <c:pt idx="553">
                  <c:v>0.15093339520358964</c:v>
                </c:pt>
                <c:pt idx="554">
                  <c:v>-0.82116263864909866</c:v>
                </c:pt>
                <c:pt idx="555">
                  <c:v>-2.2490641151309636</c:v>
                </c:pt>
                <c:pt idx="556">
                  <c:v>0.7493765223560539</c:v>
                </c:pt>
                <c:pt idx="557">
                  <c:v>1.4799918973665396</c:v>
                </c:pt>
                <c:pt idx="558">
                  <c:v>-0.18937929999520958</c:v>
                </c:pt>
                <c:pt idx="559">
                  <c:v>0.26735613599158159</c:v>
                </c:pt>
                <c:pt idx="560">
                  <c:v>-0.39133590399831764</c:v>
                </c:pt>
                <c:pt idx="561">
                  <c:v>0.17716420782197551</c:v>
                </c:pt>
                <c:pt idx="562">
                  <c:v>-0.12844245592440806</c:v>
                </c:pt>
                <c:pt idx="563">
                  <c:v>1.2068458684292627</c:v>
                </c:pt>
                <c:pt idx="564">
                  <c:v>-0.6197945624906136</c:v>
                </c:pt>
                <c:pt idx="565">
                  <c:v>-1.5746166767406662</c:v>
                </c:pt>
                <c:pt idx="566">
                  <c:v>-0.39281587261051931</c:v>
                </c:pt>
                <c:pt idx="567">
                  <c:v>-0.50832436236527545</c:v>
                </c:pt>
                <c:pt idx="568">
                  <c:v>-0.47952706357297764</c:v>
                </c:pt>
                <c:pt idx="569">
                  <c:v>-1.3919193454136933</c:v>
                </c:pt>
                <c:pt idx="570">
                  <c:v>-1.2790500674450946</c:v>
                </c:pt>
                <c:pt idx="571">
                  <c:v>-2.466100088482134</c:v>
                </c:pt>
                <c:pt idx="572">
                  <c:v>-0.76249689298704082</c:v>
                </c:pt>
                <c:pt idx="573">
                  <c:v>1.1779734585629407</c:v>
                </c:pt>
                <c:pt idx="574">
                  <c:v>-0.56714172455387823</c:v>
                </c:pt>
                <c:pt idx="575">
                  <c:v>-2.0711913608995838</c:v>
                </c:pt>
                <c:pt idx="576">
                  <c:v>0.43504201897699785</c:v>
                </c:pt>
                <c:pt idx="577">
                  <c:v>-0.15155103069400466</c:v>
                </c:pt>
                <c:pt idx="578">
                  <c:v>2.5578953034413057</c:v>
                </c:pt>
                <c:pt idx="579">
                  <c:v>2.2780614912544774E-4</c:v>
                </c:pt>
                <c:pt idx="580">
                  <c:v>1.3282948873789453</c:v>
                </c:pt>
                <c:pt idx="581">
                  <c:v>0.31689026234308548</c:v>
                </c:pt>
                <c:pt idx="582">
                  <c:v>-0.31916624007102234</c:v>
                </c:pt>
                <c:pt idx="583">
                  <c:v>5.393348288999128E-2</c:v>
                </c:pt>
                <c:pt idx="584">
                  <c:v>0.68815867558908639</c:v>
                </c:pt>
                <c:pt idx="585">
                  <c:v>-1.9243371709693846</c:v>
                </c:pt>
                <c:pt idx="586">
                  <c:v>0.86841489448830678</c:v>
                </c:pt>
                <c:pt idx="587">
                  <c:v>0.35478200756739692</c:v>
                </c:pt>
                <c:pt idx="588">
                  <c:v>0.31109118510248718</c:v>
                </c:pt>
                <c:pt idx="589">
                  <c:v>-1.5044296054408415</c:v>
                </c:pt>
                <c:pt idx="590">
                  <c:v>1.1028373555657445</c:v>
                </c:pt>
                <c:pt idx="591">
                  <c:v>-0.58416797352831085</c:v>
                </c:pt>
                <c:pt idx="592">
                  <c:v>1.3638454584553135</c:v>
                </c:pt>
                <c:pt idx="593">
                  <c:v>0.1884876527133979</c:v>
                </c:pt>
                <c:pt idx="594">
                  <c:v>1.4744012947854568</c:v>
                </c:pt>
                <c:pt idx="595">
                  <c:v>0.55200603711435481</c:v>
                </c:pt>
                <c:pt idx="596">
                  <c:v>-1.6539700420779069</c:v>
                </c:pt>
                <c:pt idx="597">
                  <c:v>-0.75986897920642971</c:v>
                </c:pt>
                <c:pt idx="598">
                  <c:v>7.4090364237826375E-2</c:v>
                </c:pt>
                <c:pt idx="599">
                  <c:v>1.9059203114239991</c:v>
                </c:pt>
                <c:pt idx="600">
                  <c:v>1.2132175748569343</c:v>
                </c:pt>
                <c:pt idx="601">
                  <c:v>0.76125047761466669</c:v>
                </c:pt>
                <c:pt idx="602">
                  <c:v>0.84573653775966939</c:v>
                </c:pt>
                <c:pt idx="603">
                  <c:v>-1.2542793706190729</c:v>
                </c:pt>
                <c:pt idx="604">
                  <c:v>0.44425314413837913</c:v>
                </c:pt>
                <c:pt idx="605">
                  <c:v>0.72429570337064375</c:v>
                </c:pt>
                <c:pt idx="606">
                  <c:v>0.73664626936142474</c:v>
                </c:pt>
                <c:pt idx="607">
                  <c:v>-0.70542370720493319</c:v>
                </c:pt>
                <c:pt idx="608">
                  <c:v>0.5834670126715773</c:v>
                </c:pt>
                <c:pt idx="609">
                  <c:v>-1.6161406473631372</c:v>
                </c:pt>
                <c:pt idx="610">
                  <c:v>-0.50961217073223308</c:v>
                </c:pt>
                <c:pt idx="611">
                  <c:v>0.80634581955194629</c:v>
                </c:pt>
                <c:pt idx="612">
                  <c:v>-0.37558122177827752</c:v>
                </c:pt>
                <c:pt idx="613">
                  <c:v>1.8763814341278355</c:v>
                </c:pt>
                <c:pt idx="614">
                  <c:v>-0.85034819713614129</c:v>
                </c:pt>
                <c:pt idx="615">
                  <c:v>1.6220399031936443</c:v>
                </c:pt>
                <c:pt idx="616">
                  <c:v>-0.29490281590083695</c:v>
                </c:pt>
                <c:pt idx="617">
                  <c:v>-0.87104684924024078</c:v>
                </c:pt>
                <c:pt idx="618">
                  <c:v>-0.37088393988687374</c:v>
                </c:pt>
                <c:pt idx="619">
                  <c:v>-0.63933545393631608</c:v>
                </c:pt>
                <c:pt idx="620">
                  <c:v>-1.3893827872564932</c:v>
                </c:pt>
                <c:pt idx="621">
                  <c:v>0.45507800797287962</c:v>
                </c:pt>
                <c:pt idx="622">
                  <c:v>-0.26332721600378017</c:v>
                </c:pt>
                <c:pt idx="623">
                  <c:v>-1.5122023434487302</c:v>
                </c:pt>
                <c:pt idx="624">
                  <c:v>-1.178790739128192</c:v>
                </c:pt>
                <c:pt idx="625">
                  <c:v>5.4189129680458775E-2</c:v>
                </c:pt>
                <c:pt idx="626">
                  <c:v>1.0974336269053021E-2</c:v>
                </c:pt>
                <c:pt idx="627">
                  <c:v>-0.44629262747296167</c:v>
                </c:pt>
                <c:pt idx="628">
                  <c:v>0.25651455478819118</c:v>
                </c:pt>
                <c:pt idx="629">
                  <c:v>1.9036096550221164</c:v>
                </c:pt>
                <c:pt idx="630">
                  <c:v>-4.1301063489374824E-2</c:v>
                </c:pt>
                <c:pt idx="631">
                  <c:v>-1.0449806543041802</c:v>
                </c:pt>
                <c:pt idx="632">
                  <c:v>1.8924872971841982</c:v>
                </c:pt>
                <c:pt idx="633">
                  <c:v>0.6595930795962377</c:v>
                </c:pt>
                <c:pt idx="634">
                  <c:v>-0.9726135469200794</c:v>
                </c:pt>
                <c:pt idx="635">
                  <c:v>-0.32622099196228027</c:v>
                </c:pt>
                <c:pt idx="636">
                  <c:v>0.23925936265811051</c:v>
                </c:pt>
                <c:pt idx="637">
                  <c:v>0.32978034120026556</c:v>
                </c:pt>
                <c:pt idx="638">
                  <c:v>-0.70123131146775619</c:v>
                </c:pt>
                <c:pt idx="639">
                  <c:v>0.46234235080275482</c:v>
                </c:pt>
                <c:pt idx="640">
                  <c:v>1.0075607399599533</c:v>
                </c:pt>
                <c:pt idx="641">
                  <c:v>0.24915281277637091</c:v>
                </c:pt>
                <c:pt idx="642">
                  <c:v>-1.6958294441287822</c:v>
                </c:pt>
                <c:pt idx="643">
                  <c:v>-0.2250108877167554</c:v>
                </c:pt>
                <c:pt idx="644">
                  <c:v>-1.4650836838478742</c:v>
                </c:pt>
                <c:pt idx="645">
                  <c:v>-0.15182680972581614</c:v>
                </c:pt>
                <c:pt idx="646">
                  <c:v>0.79865292400806787</c:v>
                </c:pt>
                <c:pt idx="647">
                  <c:v>-1.0326596404841548</c:v>
                </c:pt>
                <c:pt idx="648">
                  <c:v>-1.1876154464256166</c:v>
                </c:pt>
                <c:pt idx="649">
                  <c:v>-0.23421647028667847</c:v>
                </c:pt>
                <c:pt idx="650">
                  <c:v>0.52490903840827663</c:v>
                </c:pt>
                <c:pt idx="651">
                  <c:v>-8.4535862481484286E-2</c:v>
                </c:pt>
                <c:pt idx="652">
                  <c:v>-1.8456074071405157</c:v>
                </c:pt>
                <c:pt idx="653">
                  <c:v>-1.98644344578244</c:v>
                </c:pt>
                <c:pt idx="654">
                  <c:v>1.7700862342233996</c:v>
                </c:pt>
                <c:pt idx="655">
                  <c:v>7.7223259081921833E-2</c:v>
                </c:pt>
                <c:pt idx="656">
                  <c:v>-0.3713304402488381</c:v>
                </c:pt>
                <c:pt idx="657">
                  <c:v>1.1492407519962007</c:v>
                </c:pt>
                <c:pt idx="658">
                  <c:v>-0.36599602919534424</c:v>
                </c:pt>
                <c:pt idx="659">
                  <c:v>0.10055169426265621</c:v>
                </c:pt>
                <c:pt idx="660">
                  <c:v>-1.5105732055262746</c:v>
                </c:pt>
                <c:pt idx="661">
                  <c:v>-0.4081290405662234</c:v>
                </c:pt>
                <c:pt idx="662">
                  <c:v>0.51895627336529371</c:v>
                </c:pt>
                <c:pt idx="663">
                  <c:v>-0.50676224930923686</c:v>
                </c:pt>
                <c:pt idx="664">
                  <c:v>0.29378664344191979</c:v>
                </c:pt>
                <c:pt idx="665">
                  <c:v>1.0982478641937441</c:v>
                </c:pt>
                <c:pt idx="666">
                  <c:v>0.33985133263704032</c:v>
                </c:pt>
                <c:pt idx="667">
                  <c:v>4.6435042923422584E-2</c:v>
                </c:pt>
                <c:pt idx="668">
                  <c:v>-0.56473497900866065</c:v>
                </c:pt>
                <c:pt idx="669">
                  <c:v>-3.6860858018028728E-2</c:v>
                </c:pt>
                <c:pt idx="670">
                  <c:v>0.21065223065473332</c:v>
                </c:pt>
                <c:pt idx="671">
                  <c:v>1.0247510027843143</c:v>
                </c:pt>
                <c:pt idx="672">
                  <c:v>-1.1626783828414966</c:v>
                </c:pt>
                <c:pt idx="673">
                  <c:v>2.2620728192001813</c:v>
                </c:pt>
                <c:pt idx="674">
                  <c:v>-1.6359260499206205</c:v>
                </c:pt>
                <c:pt idx="675">
                  <c:v>-0.40544725190969549</c:v>
                </c:pt>
                <c:pt idx="676">
                  <c:v>0.17606818564132548</c:v>
                </c:pt>
                <c:pt idx="677">
                  <c:v>0.88622928335604567</c:v>
                </c:pt>
                <c:pt idx="678">
                  <c:v>0.34686866499921748</c:v>
                </c:pt>
                <c:pt idx="679">
                  <c:v>-0.37372907312041687</c:v>
                </c:pt>
                <c:pt idx="680">
                  <c:v>-1.3176584071865014</c:v>
                </c:pt>
                <c:pt idx="681">
                  <c:v>-0.30979703502077433</c:v>
                </c:pt>
                <c:pt idx="682">
                  <c:v>0.24814166837010226</c:v>
                </c:pt>
                <c:pt idx="683">
                  <c:v>0.27280145591544547</c:v>
                </c:pt>
                <c:pt idx="684">
                  <c:v>-0.24177329617350843</c:v>
                </c:pt>
                <c:pt idx="685">
                  <c:v>-1.8157110895296256</c:v>
                </c:pt>
                <c:pt idx="686">
                  <c:v>-0.44158692836798497</c:v>
                </c:pt>
                <c:pt idx="687">
                  <c:v>-2.0952819818748867</c:v>
                </c:pt>
                <c:pt idx="688">
                  <c:v>0.33628131488829199</c:v>
                </c:pt>
                <c:pt idx="689">
                  <c:v>1.9938389473959461</c:v>
                </c:pt>
                <c:pt idx="690">
                  <c:v>-1.1270183487143881</c:v>
                </c:pt>
                <c:pt idx="691">
                  <c:v>-1.6323090491745462</c:v>
                </c:pt>
                <c:pt idx="692">
                  <c:v>-0.7737986325062236</c:v>
                </c:pt>
                <c:pt idx="693">
                  <c:v>-9.980079660235204E-2</c:v>
                </c:pt>
                <c:pt idx="694">
                  <c:v>0.77202927307251368</c:v>
                </c:pt>
                <c:pt idx="695">
                  <c:v>0.41498553035823149</c:v>
                </c:pt>
                <c:pt idx="696">
                  <c:v>-0.80875587253967263</c:v>
                </c:pt>
                <c:pt idx="697">
                  <c:v>-1.489618338185271E-2</c:v>
                </c:pt>
                <c:pt idx="698">
                  <c:v>0.11537992531703095</c:v>
                </c:pt>
                <c:pt idx="699">
                  <c:v>-0.93531845680455872</c:v>
                </c:pt>
                <c:pt idx="700">
                  <c:v>1.1335753257908308</c:v>
                </c:pt>
                <c:pt idx="701">
                  <c:v>-9.9465454487673979E-2</c:v>
                </c:pt>
                <c:pt idx="702">
                  <c:v>0.27961380274936465</c:v>
                </c:pt>
                <c:pt idx="703">
                  <c:v>0.25791166439645735</c:v>
                </c:pt>
                <c:pt idx="704">
                  <c:v>-1.2904479448557198</c:v>
                </c:pt>
                <c:pt idx="705">
                  <c:v>-0.69172682230021465</c:v>
                </c:pt>
                <c:pt idx="706">
                  <c:v>0.8134120123932792</c:v>
                </c:pt>
                <c:pt idx="707">
                  <c:v>-0.94426465111482127</c:v>
                </c:pt>
                <c:pt idx="708">
                  <c:v>-1.6279663524177477</c:v>
                </c:pt>
                <c:pt idx="709">
                  <c:v>-0.35272839721271826</c:v>
                </c:pt>
                <c:pt idx="710">
                  <c:v>0.38484348998292212</c:v>
                </c:pt>
                <c:pt idx="711">
                  <c:v>-0.84160525065837466</c:v>
                </c:pt>
                <c:pt idx="712">
                  <c:v>0.57832958107959198</c:v>
                </c:pt>
                <c:pt idx="713">
                  <c:v>0.43410283772767683</c:v>
                </c:pt>
                <c:pt idx="714">
                  <c:v>0.12149079566018206</c:v>
                </c:pt>
                <c:pt idx="715">
                  <c:v>-1.1648929881131773</c:v>
                </c:pt>
                <c:pt idx="716">
                  <c:v>0.50061953329415387</c:v>
                </c:pt>
                <c:pt idx="717">
                  <c:v>0.73348256505127984</c:v>
                </c:pt>
                <c:pt idx="718">
                  <c:v>-0.51651798035165841</c:v>
                </c:pt>
                <c:pt idx="719">
                  <c:v>1.4056904241537325</c:v>
                </c:pt>
                <c:pt idx="720">
                  <c:v>-1.2306530506720565</c:v>
                </c:pt>
                <c:pt idx="721">
                  <c:v>-2.0653188048826334</c:v>
                </c:pt>
                <c:pt idx="722">
                  <c:v>0.37976965321530864</c:v>
                </c:pt>
                <c:pt idx="723">
                  <c:v>-0.78356581267025571</c:v>
                </c:pt>
                <c:pt idx="724">
                  <c:v>-1.4710286634778278</c:v>
                </c:pt>
                <c:pt idx="725">
                  <c:v>0.91595091739245238</c:v>
                </c:pt>
                <c:pt idx="726">
                  <c:v>-0.22227600959113514</c:v>
                </c:pt>
                <c:pt idx="727">
                  <c:v>-1.7158827665899286</c:v>
                </c:pt>
                <c:pt idx="728">
                  <c:v>-0.10778967593272176</c:v>
                </c:pt>
                <c:pt idx="729">
                  <c:v>1.3062823727678796</c:v>
                </c:pt>
                <c:pt idx="730">
                  <c:v>-1.2377948835373678</c:v>
                </c:pt>
                <c:pt idx="731">
                  <c:v>-0.25413099223949709</c:v>
                </c:pt>
                <c:pt idx="732">
                  <c:v>0.14007732093829678</c:v>
                </c:pt>
                <c:pt idx="733">
                  <c:v>0.94268923007495742</c:v>
                </c:pt>
                <c:pt idx="734">
                  <c:v>-1.0365297593331744</c:v>
                </c:pt>
                <c:pt idx="735">
                  <c:v>0.54118782076007099</c:v>
                </c:pt>
                <c:pt idx="736">
                  <c:v>-0.28388716019270188</c:v>
                </c:pt>
                <c:pt idx="737">
                  <c:v>-0.57436365709418225</c:v>
                </c:pt>
                <c:pt idx="738">
                  <c:v>0.25476528820129396</c:v>
                </c:pt>
                <c:pt idx="739">
                  <c:v>-0.13399815706369683</c:v>
                </c:pt>
                <c:pt idx="740">
                  <c:v>0.18641609379033386</c:v>
                </c:pt>
                <c:pt idx="741">
                  <c:v>0.54422023027650934</c:v>
                </c:pt>
                <c:pt idx="742">
                  <c:v>-0.20498598700992327</c:v>
                </c:pt>
                <c:pt idx="743">
                  <c:v>0.4960074634205357</c:v>
                </c:pt>
                <c:pt idx="744">
                  <c:v>-1.8069403322752897</c:v>
                </c:pt>
                <c:pt idx="745">
                  <c:v>-0.80811381638853241</c:v>
                </c:pt>
                <c:pt idx="746">
                  <c:v>0.21931219594725826</c:v>
                </c:pt>
                <c:pt idx="747">
                  <c:v>-1.6640738662955881</c:v>
                </c:pt>
                <c:pt idx="748">
                  <c:v>-0.19547532072625737</c:v>
                </c:pt>
                <c:pt idx="749">
                  <c:v>4.3080460695817417E-3</c:v>
                </c:pt>
                <c:pt idx="750">
                  <c:v>-0.6231286359221343</c:v>
                </c:pt>
                <c:pt idx="751">
                  <c:v>-0.17931743728177393</c:v>
                </c:pt>
                <c:pt idx="752">
                  <c:v>-1.4871772356767593E-2</c:v>
                </c:pt>
                <c:pt idx="753">
                  <c:v>-2.1576947852378972</c:v>
                </c:pt>
                <c:pt idx="754">
                  <c:v>1.3235311419703855</c:v>
                </c:pt>
                <c:pt idx="755">
                  <c:v>-0.84252523412930125</c:v>
                </c:pt>
                <c:pt idx="756">
                  <c:v>0.34305669998169058</c:v>
                </c:pt>
                <c:pt idx="757">
                  <c:v>0.49945189784690402</c:v>
                </c:pt>
                <c:pt idx="758">
                  <c:v>0.76933778333750924</c:v>
                </c:pt>
                <c:pt idx="759">
                  <c:v>0.71995081475776379</c:v>
                </c:pt>
                <c:pt idx="760">
                  <c:v>-0.27859424243921566</c:v>
                </c:pt>
                <c:pt idx="761">
                  <c:v>-0.99441402834765846</c:v>
                </c:pt>
                <c:pt idx="762">
                  <c:v>-1.5529283933366502</c:v>
                </c:pt>
                <c:pt idx="763">
                  <c:v>-1.6432562172842722</c:v>
                </c:pt>
                <c:pt idx="764">
                  <c:v>-0.65751603651105817</c:v>
                </c:pt>
                <c:pt idx="765">
                  <c:v>-0.38679940066543667</c:v>
                </c:pt>
                <c:pt idx="766">
                  <c:v>-0.48182683939122362</c:v>
                </c:pt>
                <c:pt idx="767">
                  <c:v>-1.6811637109896345</c:v>
                </c:pt>
                <c:pt idx="768">
                  <c:v>-1.1329382398652257</c:v>
                </c:pt>
                <c:pt idx="769">
                  <c:v>-0.47022347983894974</c:v>
                </c:pt>
                <c:pt idx="770">
                  <c:v>1.8530990802033183</c:v>
                </c:pt>
                <c:pt idx="771">
                  <c:v>0.56565891154452941</c:v>
                </c:pt>
                <c:pt idx="772">
                  <c:v>-0.25931649777050864</c:v>
                </c:pt>
                <c:pt idx="773">
                  <c:v>-1.7572283122975676</c:v>
                </c:pt>
                <c:pt idx="774">
                  <c:v>-3.9967479076913212E-2</c:v>
                </c:pt>
                <c:pt idx="775">
                  <c:v>0.39787233699903768</c:v>
                </c:pt>
                <c:pt idx="776">
                  <c:v>0.52755736235171113</c:v>
                </c:pt>
                <c:pt idx="777">
                  <c:v>-0.22627441269305335</c:v>
                </c:pt>
                <c:pt idx="778">
                  <c:v>-0.76236817224104791</c:v>
                </c:pt>
                <c:pt idx="779">
                  <c:v>1.2934781293257174</c:v>
                </c:pt>
                <c:pt idx="780">
                  <c:v>0.29192599654642304</c:v>
                </c:pt>
                <c:pt idx="781">
                  <c:v>0.46831053864688499</c:v>
                </c:pt>
                <c:pt idx="782">
                  <c:v>0.52547843810069417</c:v>
                </c:pt>
                <c:pt idx="783">
                  <c:v>1.0605830071982667</c:v>
                </c:pt>
                <c:pt idx="784">
                  <c:v>0.29934383989107655</c:v>
                </c:pt>
                <c:pt idx="785">
                  <c:v>-0.44421247390604418</c:v>
                </c:pt>
                <c:pt idx="786">
                  <c:v>-0.24639175861164145</c:v>
                </c:pt>
                <c:pt idx="787">
                  <c:v>-2.6590436968162403</c:v>
                </c:pt>
                <c:pt idx="788">
                  <c:v>3.4831489771133963</c:v>
                </c:pt>
                <c:pt idx="789">
                  <c:v>1.2113429594481915</c:v>
                </c:pt>
                <c:pt idx="790">
                  <c:v>0.23794007886699883</c:v>
                </c:pt>
                <c:pt idx="791">
                  <c:v>-0.25512867945408657</c:v>
                </c:pt>
                <c:pt idx="792">
                  <c:v>0.11401912565705698</c:v>
                </c:pt>
                <c:pt idx="793">
                  <c:v>0.87220993914767764</c:v>
                </c:pt>
                <c:pt idx="794">
                  <c:v>1.0282937805518817</c:v>
                </c:pt>
                <c:pt idx="795">
                  <c:v>0.36478018630427322</c:v>
                </c:pt>
                <c:pt idx="796">
                  <c:v>0.35066702213810808</c:v>
                </c:pt>
                <c:pt idx="797">
                  <c:v>-1.2418809263541788</c:v>
                </c:pt>
                <c:pt idx="798">
                  <c:v>-0.90354817524903219</c:v>
                </c:pt>
                <c:pt idx="799">
                  <c:v>0.20954261986166056</c:v>
                </c:pt>
                <c:pt idx="800">
                  <c:v>0.63337586448825733</c:v>
                </c:pt>
                <c:pt idx="801">
                  <c:v>0.18982225487870791</c:v>
                </c:pt>
                <c:pt idx="802">
                  <c:v>-0.76603331305959066</c:v>
                </c:pt>
                <c:pt idx="803">
                  <c:v>-0.30187779957572469</c:v>
                </c:pt>
                <c:pt idx="804">
                  <c:v>0.9924240785836963</c:v>
                </c:pt>
                <c:pt idx="805">
                  <c:v>-1.0172263056041277</c:v>
                </c:pt>
                <c:pt idx="806">
                  <c:v>-0.96833743886446122</c:v>
                </c:pt>
                <c:pt idx="807">
                  <c:v>-5.356827263714517E-2</c:v>
                </c:pt>
                <c:pt idx="808">
                  <c:v>2.0934419908535058</c:v>
                </c:pt>
                <c:pt idx="809">
                  <c:v>0.64543862372683447</c:v>
                </c:pt>
                <c:pt idx="810">
                  <c:v>1.0130376275391519</c:v>
                </c:pt>
                <c:pt idx="811">
                  <c:v>-0.11631760739691689</c:v>
                </c:pt>
                <c:pt idx="812">
                  <c:v>0.27518986916649424</c:v>
                </c:pt>
                <c:pt idx="813">
                  <c:v>-0.2678864995709071</c:v>
                </c:pt>
                <c:pt idx="814">
                  <c:v>-0.47247167523964423</c:v>
                </c:pt>
                <c:pt idx="815">
                  <c:v>6.7900898742217802E-2</c:v>
                </c:pt>
                <c:pt idx="816">
                  <c:v>0.27880350492243383</c:v>
                </c:pt>
                <c:pt idx="817">
                  <c:v>-0.28584665769966627</c:v>
                </c:pt>
                <c:pt idx="818">
                  <c:v>0.5686238979680649</c:v>
                </c:pt>
                <c:pt idx="819">
                  <c:v>0.68107298499151037</c:v>
                </c:pt>
                <c:pt idx="820">
                  <c:v>-1.6532437270808147</c:v>
                </c:pt>
                <c:pt idx="821">
                  <c:v>-1.2789237829933233</c:v>
                </c:pt>
                <c:pt idx="822">
                  <c:v>0.10955800179376576</c:v>
                </c:pt>
                <c:pt idx="823">
                  <c:v>1.134709259621969</c:v>
                </c:pt>
                <c:pt idx="824">
                  <c:v>0.61424865120511374</c:v>
                </c:pt>
                <c:pt idx="825">
                  <c:v>0.6543014306874545</c:v>
                </c:pt>
                <c:pt idx="826">
                  <c:v>0.95669613555317112</c:v>
                </c:pt>
                <c:pt idx="827">
                  <c:v>-0.71314505355608526</c:v>
                </c:pt>
                <c:pt idx="828">
                  <c:v>1.1627622507066517</c:v>
                </c:pt>
                <c:pt idx="829">
                  <c:v>1.064301571746461</c:v>
                </c:pt>
                <c:pt idx="830">
                  <c:v>-1.8353245861049206</c:v>
                </c:pt>
                <c:pt idx="831">
                  <c:v>1.0313661660105602</c:v>
                </c:pt>
                <c:pt idx="832">
                  <c:v>-2.0892477132389802</c:v>
                </c:pt>
                <c:pt idx="833">
                  <c:v>-0.34950743743166285</c:v>
                </c:pt>
                <c:pt idx="834">
                  <c:v>-6.597772582045182E-3</c:v>
                </c:pt>
                <c:pt idx="835">
                  <c:v>0.1355909640856125</c:v>
                </c:pt>
                <c:pt idx="836">
                  <c:v>-0.10593515860128007</c:v>
                </c:pt>
                <c:pt idx="837">
                  <c:v>-0.32724739246648665</c:v>
                </c:pt>
                <c:pt idx="838">
                  <c:v>-1.8336141115100155</c:v>
                </c:pt>
                <c:pt idx="839">
                  <c:v>0.70353735288156083</c:v>
                </c:pt>
                <c:pt idx="840">
                  <c:v>9.1935162970486428E-2</c:v>
                </c:pt>
                <c:pt idx="841">
                  <c:v>1.9356913693624196</c:v>
                </c:pt>
                <c:pt idx="842">
                  <c:v>0.61964830017418537</c:v>
                </c:pt>
                <c:pt idx="843">
                  <c:v>1.3851373595786853</c:v>
                </c:pt>
                <c:pt idx="844">
                  <c:v>0.87674396924417297</c:v>
                </c:pt>
                <c:pt idx="845">
                  <c:v>-0.53847396194457742</c:v>
                </c:pt>
                <c:pt idx="846">
                  <c:v>-0.57019302304137753</c:v>
                </c:pt>
                <c:pt idx="847">
                  <c:v>-0.24238860063775156</c:v>
                </c:pt>
                <c:pt idx="848">
                  <c:v>-3.0329945502440826E-2</c:v>
                </c:pt>
                <c:pt idx="849">
                  <c:v>-0.40511762784548594</c:v>
                </c:pt>
                <c:pt idx="850">
                  <c:v>-0.29819936144471909</c:v>
                </c:pt>
                <c:pt idx="851">
                  <c:v>-0.87561013836535395</c:v>
                </c:pt>
                <c:pt idx="852">
                  <c:v>1.7354501992517264</c:v>
                </c:pt>
                <c:pt idx="853">
                  <c:v>0.1536157485138146</c:v>
                </c:pt>
                <c:pt idx="854">
                  <c:v>-2.0899743799670096</c:v>
                </c:pt>
                <c:pt idx="855">
                  <c:v>-1.8187396435399357</c:v>
                </c:pt>
                <c:pt idx="856">
                  <c:v>-0.22910219210155816</c:v>
                </c:pt>
                <c:pt idx="857">
                  <c:v>0.75463940901649562</c:v>
                </c:pt>
                <c:pt idx="858">
                  <c:v>0.51332765478249798</c:v>
                </c:pt>
                <c:pt idx="859">
                  <c:v>0.77662009895647288</c:v>
                </c:pt>
                <c:pt idx="860">
                  <c:v>0.37198323793900678</c:v>
                </c:pt>
                <c:pt idx="861">
                  <c:v>-5.1711994428098708E-3</c:v>
                </c:pt>
                <c:pt idx="862">
                  <c:v>-0.89726529146593959</c:v>
                </c:pt>
                <c:pt idx="863">
                  <c:v>-0.8325818866768806</c:v>
                </c:pt>
                <c:pt idx="864">
                  <c:v>0.66528685182627667</c:v>
                </c:pt>
                <c:pt idx="865">
                  <c:v>0.30271918775345236</c:v>
                </c:pt>
                <c:pt idx="866">
                  <c:v>1.0528930218275165</c:v>
                </c:pt>
                <c:pt idx="867">
                  <c:v>-0.58735387521532934</c:v>
                </c:pt>
                <c:pt idx="868">
                  <c:v>1.5377058983344467</c:v>
                </c:pt>
                <c:pt idx="869">
                  <c:v>-0.38173928028991422</c:v>
                </c:pt>
                <c:pt idx="870">
                  <c:v>-1.9272589274357571E-2</c:v>
                </c:pt>
                <c:pt idx="871">
                  <c:v>0.87706195293324574</c:v>
                </c:pt>
                <c:pt idx="872">
                  <c:v>0.90642812908877268</c:v>
                </c:pt>
                <c:pt idx="873">
                  <c:v>0.516359640606459</c:v>
                </c:pt>
                <c:pt idx="874">
                  <c:v>0.32527066801718607</c:v>
                </c:pt>
                <c:pt idx="875">
                  <c:v>0.567014494176449</c:v>
                </c:pt>
                <c:pt idx="876">
                  <c:v>0.722362891420949</c:v>
                </c:pt>
                <c:pt idx="877">
                  <c:v>-2.6362521038395634</c:v>
                </c:pt>
                <c:pt idx="878">
                  <c:v>-1.3786071837568272</c:v>
                </c:pt>
                <c:pt idx="879">
                  <c:v>-1.0524871747404305</c:v>
                </c:pt>
                <c:pt idx="880">
                  <c:v>-1.4243524791132731</c:v>
                </c:pt>
                <c:pt idx="881">
                  <c:v>0.28601680603783536</c:v>
                </c:pt>
                <c:pt idx="882">
                  <c:v>-1.1050899633381121E-2</c:v>
                </c:pt>
                <c:pt idx="883">
                  <c:v>-1.0029009243524263</c:v>
                </c:pt>
                <c:pt idx="884">
                  <c:v>0.60115187434939055</c:v>
                </c:pt>
                <c:pt idx="885">
                  <c:v>0.19171191584834771</c:v>
                </c:pt>
                <c:pt idx="886">
                  <c:v>-0.57620326056195559</c:v>
                </c:pt>
                <c:pt idx="887">
                  <c:v>-0.64428915016201849</c:v>
                </c:pt>
                <c:pt idx="888">
                  <c:v>-0.77533477385179228</c:v>
                </c:pt>
                <c:pt idx="889">
                  <c:v>-4.8148731054857521E-2</c:v>
                </c:pt>
                <c:pt idx="890">
                  <c:v>2.5040960629042885</c:v>
                </c:pt>
                <c:pt idx="891">
                  <c:v>-1.2253868762017901E-2</c:v>
                </c:pt>
                <c:pt idx="892">
                  <c:v>1.6207643755406191</c:v>
                </c:pt>
                <c:pt idx="893">
                  <c:v>0.37254680062266771</c:v>
                </c:pt>
                <c:pt idx="894">
                  <c:v>2.1383020792823437</c:v>
                </c:pt>
                <c:pt idx="895">
                  <c:v>1.0985574041378641</c:v>
                </c:pt>
                <c:pt idx="896">
                  <c:v>-0.55598477780826694</c:v>
                </c:pt>
                <c:pt idx="897">
                  <c:v>1.1241809478308988</c:v>
                </c:pt>
                <c:pt idx="898">
                  <c:v>-1.6424502689174325</c:v>
                </c:pt>
                <c:pt idx="899">
                  <c:v>1.3824334054925027</c:v>
                </c:pt>
                <c:pt idx="900">
                  <c:v>1.5300203643792318</c:v>
                </c:pt>
                <c:pt idx="901">
                  <c:v>0.85389502845812892</c:v>
                </c:pt>
                <c:pt idx="902">
                  <c:v>-2.4715328287784071</c:v>
                </c:pt>
                <c:pt idx="903">
                  <c:v>-1.0136921278774429</c:v>
                </c:pt>
                <c:pt idx="904">
                  <c:v>2.283045906525897</c:v>
                </c:pt>
                <c:pt idx="905">
                  <c:v>-0.48098353372263497</c:v>
                </c:pt>
                <c:pt idx="906">
                  <c:v>-0.53698401190539147</c:v>
                </c:pt>
                <c:pt idx="907">
                  <c:v>-1.3043646744645396</c:v>
                </c:pt>
                <c:pt idx="908">
                  <c:v>1.9825321445500954</c:v>
                </c:pt>
                <c:pt idx="909">
                  <c:v>-0.29097392485491674</c:v>
                </c:pt>
                <c:pt idx="910">
                  <c:v>-1.9778882943780496</c:v>
                </c:pt>
                <c:pt idx="911">
                  <c:v>0.60021941322150507</c:v>
                </c:pt>
                <c:pt idx="912">
                  <c:v>0.20092091668723308</c:v>
                </c:pt>
                <c:pt idx="913">
                  <c:v>-1.2530137473979748</c:v>
                </c:pt>
                <c:pt idx="914">
                  <c:v>-4.8177977892848493E-2</c:v>
                </c:pt>
                <c:pt idx="915">
                  <c:v>0.70964943486169552</c:v>
                </c:pt>
                <c:pt idx="916">
                  <c:v>-0.25755118898853419</c:v>
                </c:pt>
                <c:pt idx="917">
                  <c:v>-0.23729959229374795</c:v>
                </c:pt>
                <c:pt idx="918">
                  <c:v>-1.4364249467348771</c:v>
                </c:pt>
                <c:pt idx="919">
                  <c:v>-2.0819032632866477</c:v>
                </c:pt>
                <c:pt idx="920">
                  <c:v>0.71686840940786711</c:v>
                </c:pt>
                <c:pt idx="921">
                  <c:v>1.4475746577363622</c:v>
                </c:pt>
                <c:pt idx="922">
                  <c:v>-1.168958126319648</c:v>
                </c:pt>
                <c:pt idx="923">
                  <c:v>2.2442262911777585E-2</c:v>
                </c:pt>
                <c:pt idx="924">
                  <c:v>1.0458720696044472</c:v>
                </c:pt>
                <c:pt idx="925">
                  <c:v>0.10945295986578032</c:v>
                </c:pt>
                <c:pt idx="926">
                  <c:v>1.2559465673889509</c:v>
                </c:pt>
                <c:pt idx="927">
                  <c:v>0.79223809370740028</c:v>
                </c:pt>
                <c:pt idx="928">
                  <c:v>-1.5620363490419855</c:v>
                </c:pt>
                <c:pt idx="929">
                  <c:v>-0.25899970498324371</c:v>
                </c:pt>
                <c:pt idx="930">
                  <c:v>0.21506949941779782</c:v>
                </c:pt>
                <c:pt idx="931">
                  <c:v>-1.1689588652191056</c:v>
                </c:pt>
                <c:pt idx="932">
                  <c:v>-0.69463332123211063</c:v>
                </c:pt>
                <c:pt idx="933">
                  <c:v>1.2136085453474408</c:v>
                </c:pt>
                <c:pt idx="934">
                  <c:v>-0.36223657298278716</c:v>
                </c:pt>
                <c:pt idx="935">
                  <c:v>-4.5593513412859103E-2</c:v>
                </c:pt>
                <c:pt idx="936">
                  <c:v>-1.3808234445449716</c:v>
                </c:pt>
                <c:pt idx="937">
                  <c:v>1.9106079130906723</c:v>
                </c:pt>
                <c:pt idx="938">
                  <c:v>0.38357327056379747</c:v>
                </c:pt>
                <c:pt idx="939">
                  <c:v>0.41502030634781695</c:v>
                </c:pt>
                <c:pt idx="940">
                  <c:v>2.0014545094545126</c:v>
                </c:pt>
                <c:pt idx="941">
                  <c:v>-0.34926398752962234</c:v>
                </c:pt>
                <c:pt idx="942">
                  <c:v>2.2736416536531046</c:v>
                </c:pt>
                <c:pt idx="943">
                  <c:v>1.4045660293562279</c:v>
                </c:pt>
                <c:pt idx="944">
                  <c:v>-0.56341203016935903</c:v>
                </c:pt>
                <c:pt idx="945">
                  <c:v>1.0321623359803349</c:v>
                </c:pt>
                <c:pt idx="946">
                  <c:v>0.41147601927550193</c:v>
                </c:pt>
                <c:pt idx="947">
                  <c:v>0.46925476184546772</c:v>
                </c:pt>
                <c:pt idx="948">
                  <c:v>0.63243288125346742</c:v>
                </c:pt>
                <c:pt idx="949">
                  <c:v>-2.1099618585984286</c:v>
                </c:pt>
                <c:pt idx="950">
                  <c:v>0.44157596073019983</c:v>
                </c:pt>
                <c:pt idx="951">
                  <c:v>-1.0998702645930143</c:v>
                </c:pt>
                <c:pt idx="952">
                  <c:v>-2.2435692004759047</c:v>
                </c:pt>
                <c:pt idx="953">
                  <c:v>-0.39694632026816107</c:v>
                </c:pt>
                <c:pt idx="954">
                  <c:v>0.58915518170031844</c:v>
                </c:pt>
                <c:pt idx="955">
                  <c:v>-0.35756810661308325</c:v>
                </c:pt>
                <c:pt idx="956">
                  <c:v>-0.32985089604240331</c:v>
                </c:pt>
                <c:pt idx="957">
                  <c:v>-0.15723627364432685</c:v>
                </c:pt>
                <c:pt idx="958">
                  <c:v>0.21796757645835135</c:v>
                </c:pt>
                <c:pt idx="959">
                  <c:v>-0.44707033677395919</c:v>
                </c:pt>
                <c:pt idx="960">
                  <c:v>0.78373675657194397</c:v>
                </c:pt>
                <c:pt idx="961">
                  <c:v>-0.9196054657857643</c:v>
                </c:pt>
                <c:pt idx="962">
                  <c:v>-0.8936861586068342</c:v>
                </c:pt>
                <c:pt idx="963">
                  <c:v>1.0395465571124377E-2</c:v>
                </c:pt>
                <c:pt idx="964">
                  <c:v>-1.0303423327967922</c:v>
                </c:pt>
                <c:pt idx="965">
                  <c:v>-0.62508373083225077</c:v>
                </c:pt>
                <c:pt idx="966">
                  <c:v>1.0378381451127272</c:v>
                </c:pt>
                <c:pt idx="967">
                  <c:v>0.77871252688798687</c:v>
                </c:pt>
                <c:pt idx="968">
                  <c:v>-1.1110445105762132</c:v>
                </c:pt>
                <c:pt idx="969">
                  <c:v>-1.4115608485233737</c:v>
                </c:pt>
                <c:pt idx="970">
                  <c:v>-0.19087276744187665</c:v>
                </c:pt>
                <c:pt idx="971">
                  <c:v>0.40447799667753953</c:v>
                </c:pt>
                <c:pt idx="972">
                  <c:v>1.6597781526610074</c:v>
                </c:pt>
                <c:pt idx="973">
                  <c:v>6.2487452458069886E-2</c:v>
                </c:pt>
                <c:pt idx="974">
                  <c:v>0.43954273420318635</c:v>
                </c:pt>
                <c:pt idx="975">
                  <c:v>-0.58637341749922378</c:v>
                </c:pt>
                <c:pt idx="976">
                  <c:v>0.3032194696090828</c:v>
                </c:pt>
                <c:pt idx="977">
                  <c:v>-0.3004044377320379</c:v>
                </c:pt>
                <c:pt idx="978">
                  <c:v>0.60657833359441959</c:v>
                </c:pt>
                <c:pt idx="979">
                  <c:v>1.6255750886570439</c:v>
                </c:pt>
                <c:pt idx="980">
                  <c:v>0.47063200844545289</c:v>
                </c:pt>
                <c:pt idx="981">
                  <c:v>1.2529573257838365</c:v>
                </c:pt>
                <c:pt idx="982">
                  <c:v>-1.2106674240981752</c:v>
                </c:pt>
                <c:pt idx="983">
                  <c:v>0.75317810569531596</c:v>
                </c:pt>
                <c:pt idx="984">
                  <c:v>1.0604705625571067</c:v>
                </c:pt>
                <c:pt idx="985">
                  <c:v>0.93188963184723062</c:v>
                </c:pt>
                <c:pt idx="986">
                  <c:v>0.10670582034197307</c:v>
                </c:pt>
                <c:pt idx="987">
                  <c:v>-1.2413867904094982</c:v>
                </c:pt>
                <c:pt idx="988">
                  <c:v>-0.73734384024855182</c:v>
                </c:pt>
                <c:pt idx="989">
                  <c:v>1.4682006938546928</c:v>
                </c:pt>
                <c:pt idx="990">
                  <c:v>-0.17594364845785795</c:v>
                </c:pt>
                <c:pt idx="991">
                  <c:v>1.728773343522312</c:v>
                </c:pt>
                <c:pt idx="992">
                  <c:v>0.71068871374958142</c:v>
                </c:pt>
                <c:pt idx="993">
                  <c:v>-6.7957208208011391E-2</c:v>
                </c:pt>
                <c:pt idx="994">
                  <c:v>-0.40209013526222881</c:v>
                </c:pt>
                <c:pt idx="995">
                  <c:v>-4.2464603843847266E-2</c:v>
                </c:pt>
                <c:pt idx="996">
                  <c:v>-1.0640243971744638</c:v>
                </c:pt>
                <c:pt idx="997">
                  <c:v>1.3089936417303503</c:v>
                </c:pt>
                <c:pt idx="998">
                  <c:v>2.0186732688976079</c:v>
                </c:pt>
                <c:pt idx="999">
                  <c:v>-0.26304888042965918</c:v>
                </c:pt>
              </c:numCache>
            </c:numRef>
          </c:xVal>
          <c:yVal>
            <c:numRef>
              <c:f>Model!$D$6:$D$1005</c:f>
              <c:numCache>
                <c:formatCode>General</c:formatCode>
                <c:ptCount val="1000"/>
                <c:pt idx="0">
                  <c:v>0.38150152953982325</c:v>
                </c:pt>
                <c:pt idx="1">
                  <c:v>0.30651084391753941</c:v>
                </c:pt>
                <c:pt idx="2">
                  <c:v>0.31743408900325032</c:v>
                </c:pt>
                <c:pt idx="3">
                  <c:v>0.22041784705334697</c:v>
                </c:pt>
                <c:pt idx="4">
                  <c:v>0.2707212032177525</c:v>
                </c:pt>
                <c:pt idx="5">
                  <c:v>0.19276714750846627</c:v>
                </c:pt>
                <c:pt idx="6">
                  <c:v>0.29994579229212437</c:v>
                </c:pt>
                <c:pt idx="7">
                  <c:v>0.28446875254621629</c:v>
                </c:pt>
                <c:pt idx="8">
                  <c:v>0.3711723684099153</c:v>
                </c:pt>
                <c:pt idx="9">
                  <c:v>0.32313782497642352</c:v>
                </c:pt>
                <c:pt idx="10">
                  <c:v>0.25989816817414407</c:v>
                </c:pt>
                <c:pt idx="11">
                  <c:v>0.11384603907004634</c:v>
                </c:pt>
                <c:pt idx="12">
                  <c:v>0.29773464373367914</c:v>
                </c:pt>
                <c:pt idx="13">
                  <c:v>0.39796582499751487</c:v>
                </c:pt>
                <c:pt idx="14">
                  <c:v>0.38706660471202919</c:v>
                </c:pt>
                <c:pt idx="15">
                  <c:v>0.29024779734102296</c:v>
                </c:pt>
                <c:pt idx="16">
                  <c:v>0.13417661929687086</c:v>
                </c:pt>
                <c:pt idx="17">
                  <c:v>5.2410414946078447E-2</c:v>
                </c:pt>
                <c:pt idx="18">
                  <c:v>0.33696129982079998</c:v>
                </c:pt>
                <c:pt idx="19">
                  <c:v>0.39889671630611345</c:v>
                </c:pt>
                <c:pt idx="20">
                  <c:v>0.39885106351107624</c:v>
                </c:pt>
                <c:pt idx="21">
                  <c:v>0.19608150039800151</c:v>
                </c:pt>
                <c:pt idx="22">
                  <c:v>0.2565785747372003</c:v>
                </c:pt>
                <c:pt idx="23">
                  <c:v>0.31679720637701958</c:v>
                </c:pt>
                <c:pt idx="24">
                  <c:v>0.24280379762151644</c:v>
                </c:pt>
                <c:pt idx="25">
                  <c:v>0.10344551362909325</c:v>
                </c:pt>
                <c:pt idx="26">
                  <c:v>0.36273701809030623</c:v>
                </c:pt>
                <c:pt idx="27">
                  <c:v>0.31857584726931681</c:v>
                </c:pt>
                <c:pt idx="28">
                  <c:v>6.9875563672221891E-2</c:v>
                </c:pt>
                <c:pt idx="29">
                  <c:v>0.39660700930426307</c:v>
                </c:pt>
                <c:pt idx="30">
                  <c:v>7.0478360080684296E-2</c:v>
                </c:pt>
                <c:pt idx="31">
                  <c:v>0.16118749022231962</c:v>
                </c:pt>
                <c:pt idx="32">
                  <c:v>0.39864402165595669</c:v>
                </c:pt>
                <c:pt idx="33">
                  <c:v>0.39836842524068056</c:v>
                </c:pt>
                <c:pt idx="34">
                  <c:v>0.23545346252108834</c:v>
                </c:pt>
                <c:pt idx="35">
                  <c:v>0.22295277075003694</c:v>
                </c:pt>
                <c:pt idx="36">
                  <c:v>0.3927668612801502</c:v>
                </c:pt>
                <c:pt idx="37">
                  <c:v>0.1497126609031792</c:v>
                </c:pt>
                <c:pt idx="38">
                  <c:v>0.20104755931077217</c:v>
                </c:pt>
                <c:pt idx="39">
                  <c:v>0.18242431371414791</c:v>
                </c:pt>
                <c:pt idx="40">
                  <c:v>0.39627698170344378</c:v>
                </c:pt>
                <c:pt idx="41">
                  <c:v>0.31325279703061604</c:v>
                </c:pt>
                <c:pt idx="42">
                  <c:v>0.37777485637628649</c:v>
                </c:pt>
                <c:pt idx="43">
                  <c:v>0.28527465029644772</c:v>
                </c:pt>
                <c:pt idx="44">
                  <c:v>0.38589856634289932</c:v>
                </c:pt>
                <c:pt idx="45">
                  <c:v>0.39370984556570787</c:v>
                </c:pt>
                <c:pt idx="46">
                  <c:v>8.2380301858406002E-3</c:v>
                </c:pt>
                <c:pt idx="47">
                  <c:v>0.11377085581187775</c:v>
                </c:pt>
                <c:pt idx="48">
                  <c:v>0.36551202127830507</c:v>
                </c:pt>
                <c:pt idx="49">
                  <c:v>0.24055757522516327</c:v>
                </c:pt>
                <c:pt idx="50">
                  <c:v>0.37873646316914861</c:v>
                </c:pt>
                <c:pt idx="51">
                  <c:v>0.29084963379871792</c:v>
                </c:pt>
                <c:pt idx="52">
                  <c:v>0.31386316321990693</c:v>
                </c:pt>
                <c:pt idx="53">
                  <c:v>0.29986097581482746</c:v>
                </c:pt>
                <c:pt idx="54">
                  <c:v>7.9421042140104425E-2</c:v>
                </c:pt>
                <c:pt idx="55">
                  <c:v>0.38546854926627216</c:v>
                </c:pt>
                <c:pt idx="56">
                  <c:v>4.4059543056788317E-2</c:v>
                </c:pt>
                <c:pt idx="57">
                  <c:v>0.3448575604632157</c:v>
                </c:pt>
                <c:pt idx="58">
                  <c:v>0.17412227964110935</c:v>
                </c:pt>
                <c:pt idx="59">
                  <c:v>0.37931504324155146</c:v>
                </c:pt>
                <c:pt idx="60">
                  <c:v>0.35590619577127958</c:v>
                </c:pt>
                <c:pt idx="61">
                  <c:v>0.39683398303251866</c:v>
                </c:pt>
                <c:pt idx="62">
                  <c:v>0.25471834233522889</c:v>
                </c:pt>
                <c:pt idx="63">
                  <c:v>0.37532175476496477</c:v>
                </c:pt>
                <c:pt idx="64">
                  <c:v>0.32870067646093704</c:v>
                </c:pt>
                <c:pt idx="65">
                  <c:v>0.34128554724005211</c:v>
                </c:pt>
                <c:pt idx="66">
                  <c:v>0.28294450359221135</c:v>
                </c:pt>
                <c:pt idx="67">
                  <c:v>0.23579944207219961</c:v>
                </c:pt>
                <c:pt idx="68">
                  <c:v>0.15390506365305265</c:v>
                </c:pt>
                <c:pt idx="69">
                  <c:v>0.12587664072739554</c:v>
                </c:pt>
                <c:pt idx="70">
                  <c:v>0.1212212320628914</c:v>
                </c:pt>
                <c:pt idx="71">
                  <c:v>0.10865099761500595</c:v>
                </c:pt>
                <c:pt idx="72">
                  <c:v>0.37942833091764777</c:v>
                </c:pt>
                <c:pt idx="73">
                  <c:v>0.38786475364839396</c:v>
                </c:pt>
                <c:pt idx="74">
                  <c:v>0.27086617812909825</c:v>
                </c:pt>
                <c:pt idx="75">
                  <c:v>0.32124437060132977</c:v>
                </c:pt>
                <c:pt idx="76">
                  <c:v>7.2096097466627415E-2</c:v>
                </c:pt>
                <c:pt idx="77">
                  <c:v>0.36592940521593204</c:v>
                </c:pt>
                <c:pt idx="78">
                  <c:v>0.38583514751735382</c:v>
                </c:pt>
                <c:pt idx="79">
                  <c:v>0.28768679935761382</c:v>
                </c:pt>
                <c:pt idx="80">
                  <c:v>0.19890857181557478</c:v>
                </c:pt>
                <c:pt idx="81">
                  <c:v>0.17166229906308059</c:v>
                </c:pt>
                <c:pt idx="82">
                  <c:v>0.30335715262050389</c:v>
                </c:pt>
                <c:pt idx="83">
                  <c:v>0.33671901553287953</c:v>
                </c:pt>
                <c:pt idx="84">
                  <c:v>0.36929284488161357</c:v>
                </c:pt>
                <c:pt idx="85">
                  <c:v>0.10196924187401128</c:v>
                </c:pt>
                <c:pt idx="86">
                  <c:v>0.35968710152097422</c:v>
                </c:pt>
                <c:pt idx="87">
                  <c:v>0.36368438024633459</c:v>
                </c:pt>
                <c:pt idx="88">
                  <c:v>0.30511512655270029</c:v>
                </c:pt>
                <c:pt idx="89">
                  <c:v>0.38503353945401242</c:v>
                </c:pt>
                <c:pt idx="90">
                  <c:v>0.34013763032448707</c:v>
                </c:pt>
                <c:pt idx="91">
                  <c:v>0.14149283207276253</c:v>
                </c:pt>
                <c:pt idx="92">
                  <c:v>0.38575447140259428</c:v>
                </c:pt>
                <c:pt idx="93">
                  <c:v>0.36771939922035457</c:v>
                </c:pt>
                <c:pt idx="94">
                  <c:v>0.14568820246054892</c:v>
                </c:pt>
                <c:pt idx="95">
                  <c:v>0.37229646662190868</c:v>
                </c:pt>
                <c:pt idx="96">
                  <c:v>0.38424754976363407</c:v>
                </c:pt>
                <c:pt idx="97">
                  <c:v>0.38444684062028489</c:v>
                </c:pt>
                <c:pt idx="98">
                  <c:v>0.39356868074257084</c:v>
                </c:pt>
                <c:pt idx="99">
                  <c:v>0.28200376866527355</c:v>
                </c:pt>
                <c:pt idx="100">
                  <c:v>0.39673740255996265</c:v>
                </c:pt>
                <c:pt idx="101">
                  <c:v>0.32407487088466663</c:v>
                </c:pt>
                <c:pt idx="102">
                  <c:v>0.38443865968909352</c:v>
                </c:pt>
                <c:pt idx="103">
                  <c:v>0.11596886142765932</c:v>
                </c:pt>
                <c:pt idx="104">
                  <c:v>0.39876969221211545</c:v>
                </c:pt>
                <c:pt idx="105">
                  <c:v>0.2149061399876363</c:v>
                </c:pt>
                <c:pt idx="106">
                  <c:v>0.35172701615229846</c:v>
                </c:pt>
                <c:pt idx="107">
                  <c:v>0.39747928815702316</c:v>
                </c:pt>
                <c:pt idx="108">
                  <c:v>9.1952291688911877E-2</c:v>
                </c:pt>
                <c:pt idx="109">
                  <c:v>0.23725026484512887</c:v>
                </c:pt>
                <c:pt idx="110">
                  <c:v>0.39847042280304645</c:v>
                </c:pt>
                <c:pt idx="111">
                  <c:v>0.36248642305469503</c:v>
                </c:pt>
                <c:pt idx="112">
                  <c:v>0.30297630467056108</c:v>
                </c:pt>
                <c:pt idx="113">
                  <c:v>0.39891358739516725</c:v>
                </c:pt>
                <c:pt idx="114">
                  <c:v>0.11209609876947019</c:v>
                </c:pt>
                <c:pt idx="115">
                  <c:v>0.39046930139323582</c:v>
                </c:pt>
                <c:pt idx="116">
                  <c:v>0.27091273736526156</c:v>
                </c:pt>
                <c:pt idx="117">
                  <c:v>0.23881482366011172</c:v>
                </c:pt>
                <c:pt idx="118">
                  <c:v>0.29679499525828629</c:v>
                </c:pt>
                <c:pt idx="119">
                  <c:v>0.33392894447296056</c:v>
                </c:pt>
                <c:pt idx="120">
                  <c:v>0.39299604757183582</c:v>
                </c:pt>
                <c:pt idx="121">
                  <c:v>0.34240272827299711</c:v>
                </c:pt>
                <c:pt idx="122">
                  <c:v>0.38189816920198183</c:v>
                </c:pt>
                <c:pt idx="123">
                  <c:v>0.39196449383827092</c:v>
                </c:pt>
                <c:pt idx="124">
                  <c:v>0.29858995372474312</c:v>
                </c:pt>
                <c:pt idx="125">
                  <c:v>0.38655131191336417</c:v>
                </c:pt>
                <c:pt idx="126">
                  <c:v>1.5695155089079361E-2</c:v>
                </c:pt>
                <c:pt idx="127">
                  <c:v>0.39868621932400394</c:v>
                </c:pt>
                <c:pt idx="128">
                  <c:v>0.37957596407650895</c:v>
                </c:pt>
                <c:pt idx="129">
                  <c:v>0.33744591775338001</c:v>
                </c:pt>
                <c:pt idx="130">
                  <c:v>2.9526689681447404E-2</c:v>
                </c:pt>
                <c:pt idx="131">
                  <c:v>0.32477334919086104</c:v>
                </c:pt>
                <c:pt idx="132">
                  <c:v>0.30068848363621348</c:v>
                </c:pt>
                <c:pt idx="133">
                  <c:v>0.14644078626717844</c:v>
                </c:pt>
                <c:pt idx="134">
                  <c:v>0.39545790444628831</c:v>
                </c:pt>
                <c:pt idx="135">
                  <c:v>1.405686482080671E-2</c:v>
                </c:pt>
                <c:pt idx="136">
                  <c:v>0.3931301311284876</c:v>
                </c:pt>
                <c:pt idx="137">
                  <c:v>0.2062171377906607</c:v>
                </c:pt>
                <c:pt idx="138">
                  <c:v>0.17557451040047001</c:v>
                </c:pt>
                <c:pt idx="139">
                  <c:v>0.31278894849910027</c:v>
                </c:pt>
                <c:pt idx="140">
                  <c:v>0.39222818950176658</c:v>
                </c:pt>
                <c:pt idx="141">
                  <c:v>0.39827194120347648</c:v>
                </c:pt>
                <c:pt idx="142">
                  <c:v>0.22834312471614787</c:v>
                </c:pt>
                <c:pt idx="143">
                  <c:v>0.27797600211014689</c:v>
                </c:pt>
                <c:pt idx="144">
                  <c:v>0.37072894482411473</c:v>
                </c:pt>
                <c:pt idx="145">
                  <c:v>0.37296102337436127</c:v>
                </c:pt>
                <c:pt idx="146">
                  <c:v>0.39175496378477975</c:v>
                </c:pt>
                <c:pt idx="147">
                  <c:v>0.29005978839225993</c:v>
                </c:pt>
                <c:pt idx="148">
                  <c:v>0.31171583303196626</c:v>
                </c:pt>
                <c:pt idx="149">
                  <c:v>0.39386398782551862</c:v>
                </c:pt>
                <c:pt idx="150">
                  <c:v>0.39173639646857961</c:v>
                </c:pt>
                <c:pt idx="151">
                  <c:v>0.38515024568057138</c:v>
                </c:pt>
                <c:pt idx="152">
                  <c:v>0.39891612638161955</c:v>
                </c:pt>
                <c:pt idx="153">
                  <c:v>0.19232049529455222</c:v>
                </c:pt>
                <c:pt idx="154">
                  <c:v>0.11086260923832397</c:v>
                </c:pt>
                <c:pt idx="155">
                  <c:v>0.33779784555121095</c:v>
                </c:pt>
                <c:pt idx="156">
                  <c:v>0.19238971956459081</c:v>
                </c:pt>
                <c:pt idx="157">
                  <c:v>0.37833511534420805</c:v>
                </c:pt>
                <c:pt idx="158">
                  <c:v>2.4230141787308267E-2</c:v>
                </c:pt>
                <c:pt idx="159">
                  <c:v>0.33098671847256483</c:v>
                </c:pt>
                <c:pt idx="160">
                  <c:v>0.35478641905201963</c:v>
                </c:pt>
                <c:pt idx="161">
                  <c:v>0.35374055361704704</c:v>
                </c:pt>
                <c:pt idx="162">
                  <c:v>0.37393673598014987</c:v>
                </c:pt>
                <c:pt idx="163">
                  <c:v>0.24051913931136421</c:v>
                </c:pt>
                <c:pt idx="164">
                  <c:v>0.12445866622245862</c:v>
                </c:pt>
                <c:pt idx="165">
                  <c:v>0.22468747085548177</c:v>
                </c:pt>
                <c:pt idx="166">
                  <c:v>0.37995782159352065</c:v>
                </c:pt>
                <c:pt idx="167">
                  <c:v>0.38602821187311387</c:v>
                </c:pt>
                <c:pt idx="168">
                  <c:v>5.1062713602102704E-2</c:v>
                </c:pt>
                <c:pt idx="169">
                  <c:v>0.36041128307269693</c:v>
                </c:pt>
                <c:pt idx="170">
                  <c:v>0.18627197783216973</c:v>
                </c:pt>
                <c:pt idx="171">
                  <c:v>0.38043674354570378</c:v>
                </c:pt>
                <c:pt idx="172">
                  <c:v>0.39143833331290329</c:v>
                </c:pt>
                <c:pt idx="173">
                  <c:v>2.6641024686610656E-2</c:v>
                </c:pt>
                <c:pt idx="174">
                  <c:v>0.3397797806102506</c:v>
                </c:pt>
                <c:pt idx="175">
                  <c:v>0.11296983687625721</c:v>
                </c:pt>
                <c:pt idx="176">
                  <c:v>0.34189857580418231</c:v>
                </c:pt>
                <c:pt idx="177">
                  <c:v>0.37424105972123528</c:v>
                </c:pt>
                <c:pt idx="178">
                  <c:v>7.1739737408454921E-2</c:v>
                </c:pt>
                <c:pt idx="179">
                  <c:v>0.3563279313341996</c:v>
                </c:pt>
                <c:pt idx="180">
                  <c:v>0.20944758698902305</c:v>
                </c:pt>
                <c:pt idx="181">
                  <c:v>0.211277428797396</c:v>
                </c:pt>
                <c:pt idx="182">
                  <c:v>0.22725319691615556</c:v>
                </c:pt>
                <c:pt idx="183">
                  <c:v>0.15446439758375557</c:v>
                </c:pt>
                <c:pt idx="184">
                  <c:v>0.33306119499495501</c:v>
                </c:pt>
                <c:pt idx="185">
                  <c:v>3.3678631679733138E-2</c:v>
                </c:pt>
                <c:pt idx="186">
                  <c:v>0.30547109153828456</c:v>
                </c:pt>
                <c:pt idx="187">
                  <c:v>0.34420836035583446</c:v>
                </c:pt>
                <c:pt idx="188">
                  <c:v>0.36430060309768403</c:v>
                </c:pt>
                <c:pt idx="189">
                  <c:v>0.37706985899898232</c:v>
                </c:pt>
                <c:pt idx="190">
                  <c:v>0.19582758325159139</c:v>
                </c:pt>
                <c:pt idx="191">
                  <c:v>0.34747916964514408</c:v>
                </c:pt>
                <c:pt idx="192">
                  <c:v>0.22867053725914807</c:v>
                </c:pt>
                <c:pt idx="193">
                  <c:v>5.5303372379907441E-3</c:v>
                </c:pt>
                <c:pt idx="194">
                  <c:v>0.27874990583153614</c:v>
                </c:pt>
                <c:pt idx="195">
                  <c:v>0.36802775049276759</c:v>
                </c:pt>
                <c:pt idx="196">
                  <c:v>0.22342891584387184</c:v>
                </c:pt>
                <c:pt idx="197">
                  <c:v>0.25434599117554479</c:v>
                </c:pt>
                <c:pt idx="198">
                  <c:v>0.28178917868536185</c:v>
                </c:pt>
                <c:pt idx="199">
                  <c:v>0.33776072131851198</c:v>
                </c:pt>
                <c:pt idx="200">
                  <c:v>0.38865494581824966</c:v>
                </c:pt>
                <c:pt idx="201">
                  <c:v>0.39836588902415587</c:v>
                </c:pt>
                <c:pt idx="202">
                  <c:v>0.28239603098806304</c:v>
                </c:pt>
                <c:pt idx="203">
                  <c:v>0.23968968746066086</c:v>
                </c:pt>
                <c:pt idx="204">
                  <c:v>0.39816257446459558</c:v>
                </c:pt>
                <c:pt idx="205">
                  <c:v>0.39440337752479049</c:v>
                </c:pt>
                <c:pt idx="206">
                  <c:v>0.29626036251704663</c:v>
                </c:pt>
                <c:pt idx="207">
                  <c:v>0.39187516603964739</c:v>
                </c:pt>
                <c:pt idx="208">
                  <c:v>9.3181539152380796E-2</c:v>
                </c:pt>
                <c:pt idx="209">
                  <c:v>0.1392929473615587</c:v>
                </c:pt>
                <c:pt idx="210">
                  <c:v>0.30930831474740361</c:v>
                </c:pt>
                <c:pt idx="211">
                  <c:v>0.27872885418731108</c:v>
                </c:pt>
                <c:pt idx="212">
                  <c:v>0.33881926810890239</c:v>
                </c:pt>
                <c:pt idx="213">
                  <c:v>0.39720949331191607</c:v>
                </c:pt>
                <c:pt idx="214">
                  <c:v>0.28509297578417531</c:v>
                </c:pt>
                <c:pt idx="215">
                  <c:v>0.23759411098120875</c:v>
                </c:pt>
                <c:pt idx="216">
                  <c:v>9.2390097794965154E-2</c:v>
                </c:pt>
                <c:pt idx="217">
                  <c:v>9.6964718739588313E-2</c:v>
                </c:pt>
                <c:pt idx="218">
                  <c:v>0.1666919335418893</c:v>
                </c:pt>
                <c:pt idx="219">
                  <c:v>0.27887709001767941</c:v>
                </c:pt>
                <c:pt idx="220">
                  <c:v>0.27345845222540721</c:v>
                </c:pt>
                <c:pt idx="221">
                  <c:v>0.24746520884597226</c:v>
                </c:pt>
                <c:pt idx="222">
                  <c:v>0.3905633113260954</c:v>
                </c:pt>
                <c:pt idx="223">
                  <c:v>0.39555938645497135</c:v>
                </c:pt>
                <c:pt idx="224">
                  <c:v>0.31297352449757732</c:v>
                </c:pt>
                <c:pt idx="225">
                  <c:v>0.37934817019898981</c:v>
                </c:pt>
                <c:pt idx="226">
                  <c:v>0.3951863735562533</c:v>
                </c:pt>
                <c:pt idx="227">
                  <c:v>0.28026471150767934</c:v>
                </c:pt>
                <c:pt idx="228">
                  <c:v>0.1998346648719779</c:v>
                </c:pt>
                <c:pt idx="229">
                  <c:v>0.31560579761093155</c:v>
                </c:pt>
                <c:pt idx="230">
                  <c:v>0.18495485468197581</c:v>
                </c:pt>
                <c:pt idx="231">
                  <c:v>0.31992282386478621</c:v>
                </c:pt>
                <c:pt idx="232">
                  <c:v>0.10464633583550305</c:v>
                </c:pt>
                <c:pt idx="233">
                  <c:v>0.38837673453414512</c:v>
                </c:pt>
                <c:pt idx="234">
                  <c:v>0.2895237594786858</c:v>
                </c:pt>
                <c:pt idx="235">
                  <c:v>0.21625677528547294</c:v>
                </c:pt>
                <c:pt idx="236">
                  <c:v>0.34707758323472165</c:v>
                </c:pt>
                <c:pt idx="237">
                  <c:v>0.25106672148745091</c:v>
                </c:pt>
                <c:pt idx="238">
                  <c:v>0.3416690544744036</c:v>
                </c:pt>
                <c:pt idx="239">
                  <c:v>0.38630473991949227</c:v>
                </c:pt>
                <c:pt idx="240">
                  <c:v>0.38992964309657041</c:v>
                </c:pt>
                <c:pt idx="241">
                  <c:v>0.39893384001876631</c:v>
                </c:pt>
                <c:pt idx="242">
                  <c:v>0.35245464518618441</c:v>
                </c:pt>
                <c:pt idx="243">
                  <c:v>0.39696874354970374</c:v>
                </c:pt>
                <c:pt idx="244">
                  <c:v>0.1860122349742894</c:v>
                </c:pt>
                <c:pt idx="245">
                  <c:v>6.2502709486270042E-2</c:v>
                </c:pt>
                <c:pt idx="246">
                  <c:v>0.38556234584122157</c:v>
                </c:pt>
                <c:pt idx="247">
                  <c:v>0.38879950888058928</c:v>
                </c:pt>
                <c:pt idx="248">
                  <c:v>0.3878829149671123</c:v>
                </c:pt>
                <c:pt idx="249">
                  <c:v>0.32652599792543618</c:v>
                </c:pt>
                <c:pt idx="250">
                  <c:v>4.3735680220765363E-2</c:v>
                </c:pt>
                <c:pt idx="251">
                  <c:v>0.28473638382381433</c:v>
                </c:pt>
                <c:pt idx="252">
                  <c:v>5.668009090105685E-2</c:v>
                </c:pt>
                <c:pt idx="253">
                  <c:v>0.32617585305907026</c:v>
                </c:pt>
                <c:pt idx="254">
                  <c:v>0.39077003862554299</c:v>
                </c:pt>
                <c:pt idx="255">
                  <c:v>0.19836821003458097</c:v>
                </c:pt>
                <c:pt idx="256">
                  <c:v>0.25519333296042318</c:v>
                </c:pt>
                <c:pt idx="257">
                  <c:v>0.35784344271135943</c:v>
                </c:pt>
                <c:pt idx="258">
                  <c:v>9.4571136648422177E-2</c:v>
                </c:pt>
                <c:pt idx="259">
                  <c:v>0.23529017506806973</c:v>
                </c:pt>
                <c:pt idx="260">
                  <c:v>0.38193267777618095</c:v>
                </c:pt>
                <c:pt idx="261">
                  <c:v>0.38361972361579944</c:v>
                </c:pt>
                <c:pt idx="262">
                  <c:v>8.912849616174752E-2</c:v>
                </c:pt>
                <c:pt idx="263">
                  <c:v>0.30143924519472182</c:v>
                </c:pt>
                <c:pt idx="264">
                  <c:v>0.33106629758421635</c:v>
                </c:pt>
                <c:pt idx="265">
                  <c:v>0.19155888097529505</c:v>
                </c:pt>
                <c:pt idx="266">
                  <c:v>0.13005446146487651</c:v>
                </c:pt>
                <c:pt idx="267">
                  <c:v>0.17908461326917771</c:v>
                </c:pt>
                <c:pt idx="268">
                  <c:v>9.2793213100935773E-2</c:v>
                </c:pt>
                <c:pt idx="269">
                  <c:v>5.9449029208868062E-2</c:v>
                </c:pt>
                <c:pt idx="270">
                  <c:v>0.3897001665461397</c:v>
                </c:pt>
                <c:pt idx="271">
                  <c:v>0.36529069808344333</c:v>
                </c:pt>
                <c:pt idx="272">
                  <c:v>0.38202460952280004</c:v>
                </c:pt>
                <c:pt idx="273">
                  <c:v>0.12588761228116543</c:v>
                </c:pt>
                <c:pt idx="274">
                  <c:v>0.39276496608890105</c:v>
                </c:pt>
                <c:pt idx="275">
                  <c:v>0.35457086229941964</c:v>
                </c:pt>
                <c:pt idx="276">
                  <c:v>0.39665374466826858</c:v>
                </c:pt>
                <c:pt idx="277">
                  <c:v>0.37069081771115192</c:v>
                </c:pt>
                <c:pt idx="278">
                  <c:v>0.17696834742230885</c:v>
                </c:pt>
                <c:pt idx="279">
                  <c:v>0.29658040467512276</c:v>
                </c:pt>
                <c:pt idx="280">
                  <c:v>0.39550309806577305</c:v>
                </c:pt>
                <c:pt idx="281">
                  <c:v>0.37578536888403918</c:v>
                </c:pt>
                <c:pt idx="282">
                  <c:v>0.28319415912649393</c:v>
                </c:pt>
                <c:pt idx="283">
                  <c:v>0.3923832961491856</c:v>
                </c:pt>
                <c:pt idx="284">
                  <c:v>0.31586210033475898</c:v>
                </c:pt>
                <c:pt idx="285">
                  <c:v>0.17776926187397787</c:v>
                </c:pt>
                <c:pt idx="286">
                  <c:v>0.23919714606364972</c:v>
                </c:pt>
                <c:pt idx="287">
                  <c:v>0.39052410158078738</c:v>
                </c:pt>
                <c:pt idx="288">
                  <c:v>0.17748408758833756</c:v>
                </c:pt>
                <c:pt idx="289">
                  <c:v>0.24185249423588046</c:v>
                </c:pt>
                <c:pt idx="290">
                  <c:v>0.26847829597555667</c:v>
                </c:pt>
                <c:pt idx="291">
                  <c:v>0.39843400504197024</c:v>
                </c:pt>
                <c:pt idx="292">
                  <c:v>0.2560031862574963</c:v>
                </c:pt>
                <c:pt idx="293">
                  <c:v>0.37687777146627638</c:v>
                </c:pt>
                <c:pt idx="294">
                  <c:v>2.1015918643134464E-2</c:v>
                </c:pt>
                <c:pt idx="295">
                  <c:v>0.29939453821072087</c:v>
                </c:pt>
                <c:pt idx="296">
                  <c:v>0.31108496788577555</c:v>
                </c:pt>
                <c:pt idx="297">
                  <c:v>0.14135306832047884</c:v>
                </c:pt>
                <c:pt idx="298">
                  <c:v>0.39227239442126277</c:v>
                </c:pt>
                <c:pt idx="299">
                  <c:v>0.39761539818556019</c:v>
                </c:pt>
                <c:pt idx="300">
                  <c:v>0.39507782017691873</c:v>
                </c:pt>
                <c:pt idx="301">
                  <c:v>0.36296776022106531</c:v>
                </c:pt>
                <c:pt idx="302">
                  <c:v>0.15597418826608792</c:v>
                </c:pt>
                <c:pt idx="303">
                  <c:v>0.13055638173389669</c:v>
                </c:pt>
                <c:pt idx="304">
                  <c:v>0.21828085751918849</c:v>
                </c:pt>
                <c:pt idx="305">
                  <c:v>0.39885337396079079</c:v>
                </c:pt>
                <c:pt idx="306">
                  <c:v>0.38020433022851474</c:v>
                </c:pt>
                <c:pt idx="307">
                  <c:v>0.33179231495565964</c:v>
                </c:pt>
                <c:pt idx="308">
                  <c:v>0.26610038779328143</c:v>
                </c:pt>
                <c:pt idx="309">
                  <c:v>0.38307840046077135</c:v>
                </c:pt>
                <c:pt idx="310">
                  <c:v>0.19574807546601095</c:v>
                </c:pt>
                <c:pt idx="311">
                  <c:v>0.30869067123045901</c:v>
                </c:pt>
                <c:pt idx="312">
                  <c:v>0.39694339438155385</c:v>
                </c:pt>
                <c:pt idx="313">
                  <c:v>0.39893019456720918</c:v>
                </c:pt>
                <c:pt idx="314">
                  <c:v>0.25947971393347014</c:v>
                </c:pt>
                <c:pt idx="315">
                  <c:v>0.39791558910741948</c:v>
                </c:pt>
                <c:pt idx="316">
                  <c:v>0.17507958867111797</c:v>
                </c:pt>
                <c:pt idx="317">
                  <c:v>0.14777689858620299</c:v>
                </c:pt>
                <c:pt idx="318">
                  <c:v>5.6399607466067238E-2</c:v>
                </c:pt>
                <c:pt idx="319">
                  <c:v>8.0258324285787788E-2</c:v>
                </c:pt>
                <c:pt idx="320">
                  <c:v>0.30917114236463644</c:v>
                </c:pt>
                <c:pt idx="321">
                  <c:v>0.29311880038159727</c:v>
                </c:pt>
                <c:pt idx="322">
                  <c:v>3.5251379575908626E-2</c:v>
                </c:pt>
                <c:pt idx="323">
                  <c:v>0.3871760657283243</c:v>
                </c:pt>
                <c:pt idx="324">
                  <c:v>0.27739061233164941</c:v>
                </c:pt>
                <c:pt idx="325">
                  <c:v>0.14438259138461138</c:v>
                </c:pt>
                <c:pt idx="326">
                  <c:v>0.180490681204071</c:v>
                </c:pt>
                <c:pt idx="327">
                  <c:v>0.34065331528167447</c:v>
                </c:pt>
                <c:pt idx="328">
                  <c:v>0.37852806966565322</c:v>
                </c:pt>
                <c:pt idx="329">
                  <c:v>0.23704774872295564</c:v>
                </c:pt>
                <c:pt idx="330">
                  <c:v>0.1350328215155471</c:v>
                </c:pt>
                <c:pt idx="331">
                  <c:v>0.35550226679525737</c:v>
                </c:pt>
                <c:pt idx="332">
                  <c:v>0.38566378999135681</c:v>
                </c:pt>
                <c:pt idx="333">
                  <c:v>0.38899256660497056</c:v>
                </c:pt>
                <c:pt idx="334">
                  <c:v>0.34006382841822619</c:v>
                </c:pt>
                <c:pt idx="335">
                  <c:v>0.30359512425115126</c:v>
                </c:pt>
                <c:pt idx="336">
                  <c:v>0.39826395186811125</c:v>
                </c:pt>
                <c:pt idx="337">
                  <c:v>0.35076968826681648</c:v>
                </c:pt>
                <c:pt idx="338">
                  <c:v>0.2976918129924051</c:v>
                </c:pt>
                <c:pt idx="339">
                  <c:v>0.11828743241957854</c:v>
                </c:pt>
                <c:pt idx="340">
                  <c:v>0.13466346857864075</c:v>
                </c:pt>
                <c:pt idx="341">
                  <c:v>0.3987592733927221</c:v>
                </c:pt>
                <c:pt idx="342">
                  <c:v>0.3784677068517836</c:v>
                </c:pt>
                <c:pt idx="343">
                  <c:v>0.39756462729836606</c:v>
                </c:pt>
                <c:pt idx="344">
                  <c:v>5.8899814100440172E-2</c:v>
                </c:pt>
                <c:pt idx="345">
                  <c:v>0.33536641647695481</c:v>
                </c:pt>
                <c:pt idx="346">
                  <c:v>0.24661873641915982</c:v>
                </c:pt>
                <c:pt idx="347">
                  <c:v>0.38388546206592278</c:v>
                </c:pt>
                <c:pt idx="348">
                  <c:v>0.39277005034951895</c:v>
                </c:pt>
                <c:pt idx="349">
                  <c:v>0.32686747037459785</c:v>
                </c:pt>
                <c:pt idx="350">
                  <c:v>7.4347044430366147E-2</c:v>
                </c:pt>
                <c:pt idx="351">
                  <c:v>0.38247359404690784</c:v>
                </c:pt>
                <c:pt idx="352">
                  <c:v>0.11353615327070909</c:v>
                </c:pt>
                <c:pt idx="353">
                  <c:v>3.832870490227009E-2</c:v>
                </c:pt>
                <c:pt idx="354">
                  <c:v>0.39153310079912063</c:v>
                </c:pt>
                <c:pt idx="355">
                  <c:v>0.39109427191826773</c:v>
                </c:pt>
                <c:pt idx="356">
                  <c:v>0.39551378262835873</c:v>
                </c:pt>
                <c:pt idx="357">
                  <c:v>0.36028433075059435</c:v>
                </c:pt>
                <c:pt idx="358">
                  <c:v>0.21243868842306879</c:v>
                </c:pt>
                <c:pt idx="359">
                  <c:v>0.33784303987288333</c:v>
                </c:pt>
                <c:pt idx="360">
                  <c:v>0.25717019520980666</c:v>
                </c:pt>
                <c:pt idx="361">
                  <c:v>0.13295258176972086</c:v>
                </c:pt>
                <c:pt idx="362">
                  <c:v>0.2199859123741422</c:v>
                </c:pt>
                <c:pt idx="363">
                  <c:v>0.34404472780381284</c:v>
                </c:pt>
                <c:pt idx="364">
                  <c:v>0.39258848207239416</c:v>
                </c:pt>
                <c:pt idx="365">
                  <c:v>0.32694004215896849</c:v>
                </c:pt>
                <c:pt idx="366">
                  <c:v>0.18500233430491889</c:v>
                </c:pt>
                <c:pt idx="367">
                  <c:v>0.34288808827012701</c:v>
                </c:pt>
                <c:pt idx="368">
                  <c:v>5.6537065456112541E-2</c:v>
                </c:pt>
                <c:pt idx="369">
                  <c:v>0.31530500276621676</c:v>
                </c:pt>
                <c:pt idx="370">
                  <c:v>0.3071129666623984</c:v>
                </c:pt>
                <c:pt idx="371">
                  <c:v>0.37334247759022032</c:v>
                </c:pt>
                <c:pt idx="372">
                  <c:v>0.14830905957607809</c:v>
                </c:pt>
                <c:pt idx="373">
                  <c:v>0.18322668145031754</c:v>
                </c:pt>
                <c:pt idx="374">
                  <c:v>0.24572463838402109</c:v>
                </c:pt>
                <c:pt idx="375">
                  <c:v>0.16769167787794853</c:v>
                </c:pt>
                <c:pt idx="376">
                  <c:v>0.28714445140917966</c:v>
                </c:pt>
                <c:pt idx="377">
                  <c:v>0.39790753786579358</c:v>
                </c:pt>
                <c:pt idx="378">
                  <c:v>0.33434747111952418</c:v>
                </c:pt>
                <c:pt idx="379">
                  <c:v>0.3757402127806117</c:v>
                </c:pt>
                <c:pt idx="380">
                  <c:v>0.39574251119115939</c:v>
                </c:pt>
                <c:pt idx="381">
                  <c:v>0.36167222838398705</c:v>
                </c:pt>
                <c:pt idx="382">
                  <c:v>0.3343701984968705</c:v>
                </c:pt>
                <c:pt idx="383">
                  <c:v>0.37060885334016713</c:v>
                </c:pt>
                <c:pt idx="384">
                  <c:v>0.28802602049062637</c:v>
                </c:pt>
                <c:pt idx="385">
                  <c:v>0.28045725678345995</c:v>
                </c:pt>
                <c:pt idx="386">
                  <c:v>0.13396437654626511</c:v>
                </c:pt>
                <c:pt idx="387">
                  <c:v>0.29353739209177904</c:v>
                </c:pt>
                <c:pt idx="388">
                  <c:v>0.23777939353152885</c:v>
                </c:pt>
                <c:pt idx="389">
                  <c:v>0.17473970466990074</c:v>
                </c:pt>
                <c:pt idx="390">
                  <c:v>0.34507142689609793</c:v>
                </c:pt>
                <c:pt idx="391">
                  <c:v>0.25648131532763641</c:v>
                </c:pt>
                <c:pt idx="392">
                  <c:v>0.2727696137340771</c:v>
                </c:pt>
                <c:pt idx="393">
                  <c:v>0.36640574378064822</c:v>
                </c:pt>
                <c:pt idx="394">
                  <c:v>0.17281528520509631</c:v>
                </c:pt>
                <c:pt idx="395">
                  <c:v>0.21205576949714933</c:v>
                </c:pt>
                <c:pt idx="396">
                  <c:v>0.16472018873615737</c:v>
                </c:pt>
                <c:pt idx="397">
                  <c:v>0.25219403830085951</c:v>
                </c:pt>
                <c:pt idx="398">
                  <c:v>0.19783839463958949</c:v>
                </c:pt>
                <c:pt idx="399">
                  <c:v>0.13536738419148897</c:v>
                </c:pt>
                <c:pt idx="400">
                  <c:v>0.37260936931969096</c:v>
                </c:pt>
                <c:pt idx="401">
                  <c:v>0.39376715583752248</c:v>
                </c:pt>
                <c:pt idx="402">
                  <c:v>0.16022925940724705</c:v>
                </c:pt>
                <c:pt idx="403">
                  <c:v>0.39877343770819268</c:v>
                </c:pt>
                <c:pt idx="404">
                  <c:v>0.10457580929916993</c:v>
                </c:pt>
                <c:pt idx="405">
                  <c:v>0.37379794564042529</c:v>
                </c:pt>
                <c:pt idx="406">
                  <c:v>0.36831031156474719</c:v>
                </c:pt>
                <c:pt idx="407">
                  <c:v>0.33047663728222004</c:v>
                </c:pt>
                <c:pt idx="408">
                  <c:v>0.1559568253131777</c:v>
                </c:pt>
                <c:pt idx="409">
                  <c:v>6.1705086072295301E-2</c:v>
                </c:pt>
                <c:pt idx="410">
                  <c:v>0.36520617888303558</c:v>
                </c:pt>
                <c:pt idx="411">
                  <c:v>0.37982699916221591</c:v>
                </c:pt>
                <c:pt idx="412">
                  <c:v>0.37659203889166393</c:v>
                </c:pt>
                <c:pt idx="413">
                  <c:v>0.39698583631790246</c:v>
                </c:pt>
                <c:pt idx="414">
                  <c:v>0.10982567920702217</c:v>
                </c:pt>
                <c:pt idx="415">
                  <c:v>0.37031626931759853</c:v>
                </c:pt>
                <c:pt idx="416">
                  <c:v>0.33935449184879618</c:v>
                </c:pt>
                <c:pt idx="417">
                  <c:v>0.19836579377002009</c:v>
                </c:pt>
                <c:pt idx="418">
                  <c:v>0.38234210862425677</c:v>
                </c:pt>
                <c:pt idx="419">
                  <c:v>0.26805059687031946</c:v>
                </c:pt>
                <c:pt idx="420">
                  <c:v>0.26075744762617936</c:v>
                </c:pt>
                <c:pt idx="421">
                  <c:v>0.34650345704068702</c:v>
                </c:pt>
                <c:pt idx="422">
                  <c:v>6.3713874189277542E-2</c:v>
                </c:pt>
                <c:pt idx="423">
                  <c:v>0.39742421923284216</c:v>
                </c:pt>
                <c:pt idx="424">
                  <c:v>0.34901804120190943</c:v>
                </c:pt>
                <c:pt idx="425">
                  <c:v>0.16922618915590809</c:v>
                </c:pt>
                <c:pt idx="426">
                  <c:v>0.1857916005796694</c:v>
                </c:pt>
                <c:pt idx="427">
                  <c:v>0.34023159988929758</c:v>
                </c:pt>
                <c:pt idx="428">
                  <c:v>0.20161647626106335</c:v>
                </c:pt>
                <c:pt idx="429">
                  <c:v>0.16044885042307239</c:v>
                </c:pt>
                <c:pt idx="430">
                  <c:v>0.20180341971771948</c:v>
                </c:pt>
                <c:pt idx="431">
                  <c:v>0.36694859643497324</c:v>
                </c:pt>
                <c:pt idx="432">
                  <c:v>0.3902895836903304</c:v>
                </c:pt>
                <c:pt idx="433">
                  <c:v>0.38331831731639299</c:v>
                </c:pt>
                <c:pt idx="434">
                  <c:v>0.16424692275221681</c:v>
                </c:pt>
                <c:pt idx="435">
                  <c:v>0.15796737669290878</c:v>
                </c:pt>
                <c:pt idx="436">
                  <c:v>0.28849163907712333</c:v>
                </c:pt>
                <c:pt idx="437">
                  <c:v>0.39687356716822142</c:v>
                </c:pt>
                <c:pt idx="438">
                  <c:v>0.34690497404932391</c:v>
                </c:pt>
                <c:pt idx="439">
                  <c:v>0.39627377669482239</c:v>
                </c:pt>
                <c:pt idx="440">
                  <c:v>0.34228788316905162</c:v>
                </c:pt>
                <c:pt idx="441">
                  <c:v>0.24972437756601756</c:v>
                </c:pt>
                <c:pt idx="442">
                  <c:v>0.34818663004541428</c:v>
                </c:pt>
                <c:pt idx="443">
                  <c:v>0.35084456682592063</c:v>
                </c:pt>
                <c:pt idx="444">
                  <c:v>0.39804517442746584</c:v>
                </c:pt>
                <c:pt idx="445">
                  <c:v>0.30057728350304325</c:v>
                </c:pt>
                <c:pt idx="446">
                  <c:v>0.37342157312603741</c:v>
                </c:pt>
                <c:pt idx="447">
                  <c:v>0.20479585491933242</c:v>
                </c:pt>
                <c:pt idx="448">
                  <c:v>0.38752188826751949</c:v>
                </c:pt>
                <c:pt idx="449">
                  <c:v>0.31007145411332604</c:v>
                </c:pt>
                <c:pt idx="450">
                  <c:v>0.17907557853952463</c:v>
                </c:pt>
                <c:pt idx="451">
                  <c:v>0.15128661973307023</c:v>
                </c:pt>
                <c:pt idx="452">
                  <c:v>0.35677845342560427</c:v>
                </c:pt>
                <c:pt idx="453">
                  <c:v>0.36390361640844354</c:v>
                </c:pt>
                <c:pt idx="454">
                  <c:v>0.32720575286609382</c:v>
                </c:pt>
                <c:pt idx="455">
                  <c:v>0.34986111144808385</c:v>
                </c:pt>
                <c:pt idx="456">
                  <c:v>0.34987550177008159</c:v>
                </c:pt>
                <c:pt idx="457">
                  <c:v>0.38735183841039833</c:v>
                </c:pt>
                <c:pt idx="458">
                  <c:v>0.39892473850225213</c:v>
                </c:pt>
                <c:pt idx="459">
                  <c:v>0.17981639941757838</c:v>
                </c:pt>
                <c:pt idx="460">
                  <c:v>0.39894134569727663</c:v>
                </c:pt>
                <c:pt idx="461">
                  <c:v>0.13652822642850648</c:v>
                </c:pt>
                <c:pt idx="462">
                  <c:v>2.0851925156379045E-2</c:v>
                </c:pt>
                <c:pt idx="463">
                  <c:v>0.35790087776321866</c:v>
                </c:pt>
                <c:pt idx="464">
                  <c:v>0.124383637241612</c:v>
                </c:pt>
                <c:pt idx="465">
                  <c:v>0.30617317094951618</c:v>
                </c:pt>
                <c:pt idx="466">
                  <c:v>0.23650873352985888</c:v>
                </c:pt>
                <c:pt idx="467">
                  <c:v>0.26250392505976805</c:v>
                </c:pt>
                <c:pt idx="468">
                  <c:v>0.20598423986705564</c:v>
                </c:pt>
                <c:pt idx="469">
                  <c:v>0.32546005029044606</c:v>
                </c:pt>
                <c:pt idx="470">
                  <c:v>0.15155250650926216</c:v>
                </c:pt>
                <c:pt idx="471">
                  <c:v>0.387884797306422</c:v>
                </c:pt>
                <c:pt idx="472">
                  <c:v>0.34624965393509932</c:v>
                </c:pt>
                <c:pt idx="473">
                  <c:v>0.20290090906055053</c:v>
                </c:pt>
                <c:pt idx="474">
                  <c:v>0.3882262517002909</c:v>
                </c:pt>
                <c:pt idx="475">
                  <c:v>0.37756813719135562</c:v>
                </c:pt>
                <c:pt idx="476">
                  <c:v>0.38011241926328643</c:v>
                </c:pt>
                <c:pt idx="477">
                  <c:v>9.4727737487003166E-2</c:v>
                </c:pt>
                <c:pt idx="478">
                  <c:v>0.321459596572435</c:v>
                </c:pt>
                <c:pt idx="479">
                  <c:v>3.5233458776118692E-2</c:v>
                </c:pt>
                <c:pt idx="480">
                  <c:v>0.39879334569398334</c:v>
                </c:pt>
                <c:pt idx="481">
                  <c:v>0.36639330085381844</c:v>
                </c:pt>
                <c:pt idx="482">
                  <c:v>0.13452411868462669</c:v>
                </c:pt>
                <c:pt idx="483">
                  <c:v>0.32787191822352696</c:v>
                </c:pt>
                <c:pt idx="484">
                  <c:v>0.16294753128347983</c:v>
                </c:pt>
                <c:pt idx="485">
                  <c:v>0.39666164502687895</c:v>
                </c:pt>
                <c:pt idx="486">
                  <c:v>0.39858071792535099</c:v>
                </c:pt>
                <c:pt idx="487">
                  <c:v>0.18251648053983319</c:v>
                </c:pt>
                <c:pt idx="488">
                  <c:v>6.8158113907257872E-2</c:v>
                </c:pt>
                <c:pt idx="489">
                  <c:v>0.36871893530088523</c:v>
                </c:pt>
                <c:pt idx="490">
                  <c:v>0.34214812934703542</c:v>
                </c:pt>
                <c:pt idx="491">
                  <c:v>0.20298070923843181</c:v>
                </c:pt>
                <c:pt idx="492">
                  <c:v>0.38990031540502751</c:v>
                </c:pt>
                <c:pt idx="493">
                  <c:v>0.2119736323409605</c:v>
                </c:pt>
                <c:pt idx="494">
                  <c:v>0.14054360641282024</c:v>
                </c:pt>
                <c:pt idx="495">
                  <c:v>0.31200205620960314</c:v>
                </c:pt>
                <c:pt idx="496">
                  <c:v>0.39488398999825025</c:v>
                </c:pt>
                <c:pt idx="497">
                  <c:v>0.23101478339547013</c:v>
                </c:pt>
                <c:pt idx="498">
                  <c:v>0.16442027727745848</c:v>
                </c:pt>
                <c:pt idx="499">
                  <c:v>0.39648170144541506</c:v>
                </c:pt>
                <c:pt idx="500">
                  <c:v>0.39892375415260123</c:v>
                </c:pt>
                <c:pt idx="501">
                  <c:v>5.8214209308058769E-2</c:v>
                </c:pt>
                <c:pt idx="502">
                  <c:v>0.34166627769841063</c:v>
                </c:pt>
                <c:pt idx="503">
                  <c:v>0.39279210672833653</c:v>
                </c:pt>
                <c:pt idx="504">
                  <c:v>0.37775748406994503</c:v>
                </c:pt>
                <c:pt idx="505">
                  <c:v>0.18963273579488596</c:v>
                </c:pt>
                <c:pt idx="506">
                  <c:v>0.37866538164746288</c:v>
                </c:pt>
                <c:pt idx="507">
                  <c:v>0.3167662005660013</c:v>
                </c:pt>
                <c:pt idx="508">
                  <c:v>0.10310602388554461</c:v>
                </c:pt>
                <c:pt idx="509">
                  <c:v>0.37785118731342654</c:v>
                </c:pt>
                <c:pt idx="510">
                  <c:v>0.39475768707906589</c:v>
                </c:pt>
                <c:pt idx="511">
                  <c:v>0.32681913563532022</c:v>
                </c:pt>
                <c:pt idx="512">
                  <c:v>8.3389074528091953E-2</c:v>
                </c:pt>
                <c:pt idx="513">
                  <c:v>0.31655485614024026</c:v>
                </c:pt>
                <c:pt idx="514">
                  <c:v>0.38085538570237343</c:v>
                </c:pt>
                <c:pt idx="515">
                  <c:v>0.12332428162645956</c:v>
                </c:pt>
                <c:pt idx="516">
                  <c:v>0.39795380527700658</c:v>
                </c:pt>
                <c:pt idx="517">
                  <c:v>0.34009235252122683</c:v>
                </c:pt>
                <c:pt idx="518">
                  <c:v>0.39890276182241508</c:v>
                </c:pt>
                <c:pt idx="519">
                  <c:v>0.3960201692897441</c:v>
                </c:pt>
                <c:pt idx="520">
                  <c:v>0.39822823850064937</c:v>
                </c:pt>
                <c:pt idx="521">
                  <c:v>0.35579923088606857</c:v>
                </c:pt>
                <c:pt idx="522">
                  <c:v>7.7739154460399307E-2</c:v>
                </c:pt>
                <c:pt idx="523">
                  <c:v>0.17865368026456388</c:v>
                </c:pt>
                <c:pt idx="524">
                  <c:v>0.39847944283335635</c:v>
                </c:pt>
                <c:pt idx="525">
                  <c:v>0.39590113102109264</c:v>
                </c:pt>
                <c:pt idx="526">
                  <c:v>0.24841050067828577</c:v>
                </c:pt>
                <c:pt idx="527">
                  <c:v>0.14606074547830275</c:v>
                </c:pt>
                <c:pt idx="528">
                  <c:v>0.38416433558088608</c:v>
                </c:pt>
                <c:pt idx="529">
                  <c:v>0.3841424775497097</c:v>
                </c:pt>
                <c:pt idx="530">
                  <c:v>0.17881760076010528</c:v>
                </c:pt>
                <c:pt idx="531">
                  <c:v>0.35241381366223867</c:v>
                </c:pt>
                <c:pt idx="532">
                  <c:v>0.29239805588383139</c:v>
                </c:pt>
                <c:pt idx="533">
                  <c:v>0.34560596372445063</c:v>
                </c:pt>
                <c:pt idx="534">
                  <c:v>0.24172845443032542</c:v>
                </c:pt>
                <c:pt idx="535">
                  <c:v>0.28024841872542916</c:v>
                </c:pt>
                <c:pt idx="536">
                  <c:v>0.16722644539301545</c:v>
                </c:pt>
                <c:pt idx="537">
                  <c:v>0.23864041175405609</c:v>
                </c:pt>
                <c:pt idx="538">
                  <c:v>0.30361373468098835</c:v>
                </c:pt>
                <c:pt idx="539">
                  <c:v>0.35840458634359862</c:v>
                </c:pt>
                <c:pt idx="540">
                  <c:v>0.218028781047551</c:v>
                </c:pt>
                <c:pt idx="541">
                  <c:v>0.34993839370552454</c:v>
                </c:pt>
                <c:pt idx="542">
                  <c:v>0.39599388118552159</c:v>
                </c:pt>
                <c:pt idx="543">
                  <c:v>4.9267940719433891E-2</c:v>
                </c:pt>
                <c:pt idx="544">
                  <c:v>0.18843263446333677</c:v>
                </c:pt>
                <c:pt idx="545">
                  <c:v>0.24081345269433183</c:v>
                </c:pt>
                <c:pt idx="546">
                  <c:v>0.35996511720129859</c:v>
                </c:pt>
                <c:pt idx="547">
                  <c:v>0.11081555523080952</c:v>
                </c:pt>
                <c:pt idx="548">
                  <c:v>0.24281748660893349</c:v>
                </c:pt>
                <c:pt idx="549">
                  <c:v>0.37447514798403664</c:v>
                </c:pt>
                <c:pt idx="550">
                  <c:v>0.17532120738837725</c:v>
                </c:pt>
                <c:pt idx="551">
                  <c:v>3.3022077175587465E-2</c:v>
                </c:pt>
                <c:pt idx="552">
                  <c:v>0.34001099860898709</c:v>
                </c:pt>
                <c:pt idx="553">
                  <c:v>0.39442393219046146</c:v>
                </c:pt>
                <c:pt idx="554">
                  <c:v>0.28476455220553598</c:v>
                </c:pt>
                <c:pt idx="555">
                  <c:v>3.1806543809604987E-2</c:v>
                </c:pt>
                <c:pt idx="556">
                  <c:v>0.30127822086833822</c:v>
                </c:pt>
                <c:pt idx="557">
                  <c:v>0.13343690409870718</c:v>
                </c:pt>
                <c:pt idx="558">
                  <c:v>0.39185210527669784</c:v>
                </c:pt>
                <c:pt idx="559">
                  <c:v>0.38493600282854951</c:v>
                </c:pt>
                <c:pt idx="560">
                  <c:v>0.36953477546983138</c:v>
                </c:pt>
                <c:pt idx="561">
                  <c:v>0.39273031993792051</c:v>
                </c:pt>
                <c:pt idx="562">
                  <c:v>0.39566504744132314</c:v>
                </c:pt>
                <c:pt idx="563">
                  <c:v>0.19259282989375351</c:v>
                </c:pt>
                <c:pt idx="564">
                  <c:v>0.32922588506818617</c:v>
                </c:pt>
                <c:pt idx="565">
                  <c:v>0.11548121851071892</c:v>
                </c:pt>
                <c:pt idx="566">
                  <c:v>0.3693204114174114</c:v>
                </c:pt>
                <c:pt idx="567">
                  <c:v>0.35059086509692367</c:v>
                </c:pt>
                <c:pt idx="568">
                  <c:v>0.35561320715395689</c:v>
                </c:pt>
                <c:pt idx="569">
                  <c:v>0.15142599347876057</c:v>
                </c:pt>
                <c:pt idx="570">
                  <c:v>0.17606129619881866</c:v>
                </c:pt>
                <c:pt idx="571">
                  <c:v>1.9067625989216373E-2</c:v>
                </c:pt>
                <c:pt idx="572">
                  <c:v>0.29830486183722088</c:v>
                </c:pt>
                <c:pt idx="573">
                  <c:v>0.19933882423610352</c:v>
                </c:pt>
                <c:pt idx="574">
                  <c:v>0.33967588308892749</c:v>
                </c:pt>
                <c:pt idx="575">
                  <c:v>4.6707274295569583E-2</c:v>
                </c:pt>
                <c:pt idx="576">
                  <c:v>0.36292128558767284</c:v>
                </c:pt>
                <c:pt idx="577">
                  <c:v>0.39438708976267428</c:v>
                </c:pt>
                <c:pt idx="578">
                  <c:v>1.5140943343508817E-2</c:v>
                </c:pt>
                <c:pt idx="579">
                  <c:v>0.39894227004975003</c:v>
                </c:pt>
                <c:pt idx="580">
                  <c:v>0.1651134959795946</c:v>
                </c:pt>
                <c:pt idx="581">
                  <c:v>0.37940605872211441</c:v>
                </c:pt>
                <c:pt idx="582">
                  <c:v>0.37913153441527353</c:v>
                </c:pt>
                <c:pt idx="583">
                  <c:v>0.39836247638304023</c:v>
                </c:pt>
                <c:pt idx="584">
                  <c:v>0.31483086697321261</c:v>
                </c:pt>
                <c:pt idx="585">
                  <c:v>6.263222813024924E-2</c:v>
                </c:pt>
                <c:pt idx="586">
                  <c:v>0.27362116255937963</c:v>
                </c:pt>
                <c:pt idx="587">
                  <c:v>0.37460854821506606</c:v>
                </c:pt>
                <c:pt idx="588">
                  <c:v>0.38009753204076802</c:v>
                </c:pt>
                <c:pt idx="589">
                  <c:v>0.12865861831882294</c:v>
                </c:pt>
                <c:pt idx="590">
                  <c:v>0.21717242632120404</c:v>
                </c:pt>
                <c:pt idx="591">
                  <c:v>0.336362899491089</c:v>
                </c:pt>
                <c:pt idx="592">
                  <c:v>0.15739829891177248</c:v>
                </c:pt>
                <c:pt idx="593">
                  <c:v>0.39191812303472895</c:v>
                </c:pt>
                <c:pt idx="594">
                  <c:v>0.13454344482610389</c:v>
                </c:pt>
                <c:pt idx="595">
                  <c:v>0.34256499744928826</c:v>
                </c:pt>
                <c:pt idx="596">
                  <c:v>0.10159641973877215</c:v>
                </c:pt>
                <c:pt idx="597">
                  <c:v>0.29890216515200208</c:v>
                </c:pt>
                <c:pt idx="598">
                  <c:v>0.39784880840820136</c:v>
                </c:pt>
                <c:pt idx="599">
                  <c:v>6.4880727907143693E-2</c:v>
                </c:pt>
                <c:pt idx="600">
                  <c:v>0.19111365507212516</c:v>
                </c:pt>
                <c:pt idx="601">
                  <c:v>0.29858826997965876</c:v>
                </c:pt>
                <c:pt idx="602">
                  <c:v>0.27899157943423675</c:v>
                </c:pt>
                <c:pt idx="603">
                  <c:v>0.18167300149415122</c:v>
                </c:pt>
                <c:pt idx="604">
                  <c:v>0.36145455368159529</c:v>
                </c:pt>
                <c:pt idx="605">
                  <c:v>0.30689774465886205</c:v>
                </c:pt>
                <c:pt idx="606">
                  <c:v>0.30414144800884668</c:v>
                </c:pt>
                <c:pt idx="607">
                  <c:v>0.31106610393355388</c:v>
                </c:pt>
                <c:pt idx="608">
                  <c:v>0.33650057852971554</c:v>
                </c:pt>
                <c:pt idx="609">
                  <c:v>0.10807889284451037</c:v>
                </c:pt>
                <c:pt idx="610">
                  <c:v>0.35036114434888044</c:v>
                </c:pt>
                <c:pt idx="611">
                  <c:v>0.28821881196329746</c:v>
                </c:pt>
                <c:pt idx="612">
                  <c:v>0.37177399105104314</c:v>
                </c:pt>
                <c:pt idx="613">
                  <c:v>6.8608271454906306E-2</c:v>
                </c:pt>
                <c:pt idx="614">
                  <c:v>0.27790260694840385</c:v>
                </c:pt>
                <c:pt idx="615">
                  <c:v>0.10705149945616341</c:v>
                </c:pt>
                <c:pt idx="616">
                  <c:v>0.38196650074040184</c:v>
                </c:pt>
                <c:pt idx="617">
                  <c:v>0.27299553479578137</c:v>
                </c:pt>
                <c:pt idx="618">
                  <c:v>0.3724263489551411</c:v>
                </c:pt>
                <c:pt idx="619">
                  <c:v>0.32520047374319494</c:v>
                </c:pt>
                <c:pt idx="620">
                  <c:v>0.15196108692753013</c:v>
                </c:pt>
                <c:pt idx="621">
                  <c:v>0.35969942390695708</c:v>
                </c:pt>
                <c:pt idx="622">
                  <c:v>0.38534773500001474</c:v>
                </c:pt>
                <c:pt idx="623">
                  <c:v>0.12715906486484979</c:v>
                </c:pt>
                <c:pt idx="624">
                  <c:v>0.1991469396501386</c:v>
                </c:pt>
                <c:pt idx="625">
                  <c:v>0.39835697081286731</c:v>
                </c:pt>
                <c:pt idx="626">
                  <c:v>0.39891825760722205</c:v>
                </c:pt>
                <c:pt idx="627">
                  <c:v>0.36112645617547279</c:v>
                </c:pt>
                <c:pt idx="628">
                  <c:v>0.38603069513115712</c:v>
                </c:pt>
                <c:pt idx="629">
                  <c:v>6.5166914018522135E-2</c:v>
                </c:pt>
                <c:pt idx="630">
                  <c:v>0.39860217200764853</c:v>
                </c:pt>
                <c:pt idx="631">
                  <c:v>0.23109397866675352</c:v>
                </c:pt>
                <c:pt idx="632">
                  <c:v>6.6557262061641614E-2</c:v>
                </c:pt>
                <c:pt idx="633">
                  <c:v>0.32094996235065848</c:v>
                </c:pt>
                <c:pt idx="634">
                  <c:v>0.24859577653930831</c:v>
                </c:pt>
                <c:pt idx="635">
                  <c:v>0.37826941429694205</c:v>
                </c:pt>
                <c:pt idx="636">
                  <c:v>0.38768541491924113</c:v>
                </c:pt>
                <c:pt idx="637">
                  <c:v>0.37782805419858934</c:v>
                </c:pt>
                <c:pt idx="638">
                  <c:v>0.31198467552185316</c:v>
                </c:pt>
                <c:pt idx="639">
                  <c:v>0.35850281820283669</c:v>
                </c:pt>
                <c:pt idx="640">
                  <c:v>0.24014128158751105</c:v>
                </c:pt>
                <c:pt idx="641">
                  <c:v>0.38674988175781905</c:v>
                </c:pt>
                <c:pt idx="642">
                  <c:v>9.4717425815776968E-2</c:v>
                </c:pt>
                <c:pt idx="643">
                  <c:v>0.38896983513901451</c:v>
                </c:pt>
                <c:pt idx="644">
                  <c:v>0.13639862237097725</c:v>
                </c:pt>
                <c:pt idx="645">
                  <c:v>0.39437059186109208</c:v>
                </c:pt>
                <c:pt idx="646">
                  <c:v>0.29000364714518539</c:v>
                </c:pt>
                <c:pt idx="647">
                  <c:v>0.23407083406621129</c:v>
                </c:pt>
                <c:pt idx="648">
                  <c:v>0.19707838075940332</c:v>
                </c:pt>
                <c:pt idx="649">
                  <c:v>0.38814852714782366</c:v>
                </c:pt>
                <c:pt idx="650">
                  <c:v>0.34759986203233051</c:v>
                </c:pt>
                <c:pt idx="651">
                  <c:v>0.39751934109550563</c:v>
                </c:pt>
                <c:pt idx="652">
                  <c:v>7.265217990432353E-2</c:v>
                </c:pt>
                <c:pt idx="653">
                  <c:v>5.546975760019715E-2</c:v>
                </c:pt>
                <c:pt idx="654">
                  <c:v>8.328047329633903E-2</c:v>
                </c:pt>
                <c:pt idx="655">
                  <c:v>0.39775451953480961</c:v>
                </c:pt>
                <c:pt idx="656">
                  <c:v>0.37236464320975554</c:v>
                </c:pt>
                <c:pt idx="657">
                  <c:v>0.20611609803961586</c:v>
                </c:pt>
                <c:pt idx="658">
                  <c:v>0.37309765651289634</c:v>
                </c:pt>
                <c:pt idx="659">
                  <c:v>0.39693058803059378</c:v>
                </c:pt>
                <c:pt idx="660">
                  <c:v>0.12747254921588752</c:v>
                </c:pt>
                <c:pt idx="661">
                  <c:v>0.36706248370902261</c:v>
                </c:pt>
                <c:pt idx="662">
                  <c:v>0.34868151425131239</c:v>
                </c:pt>
                <c:pt idx="663">
                  <c:v>0.3508689377860279</c:v>
                </c:pt>
                <c:pt idx="664">
                  <c:v>0.38209201243283891</c:v>
                </c:pt>
                <c:pt idx="665">
                  <c:v>0.21827212413177904</c:v>
                </c:pt>
                <c:pt idx="666">
                  <c:v>0.37655619094051473</c:v>
                </c:pt>
                <c:pt idx="667">
                  <c:v>0.39851240985843184</c:v>
                </c:pt>
                <c:pt idx="668">
                  <c:v>0.34013886051768433</c:v>
                </c:pt>
                <c:pt idx="669">
                  <c:v>0.39867134644602309</c:v>
                </c:pt>
                <c:pt idx="670">
                  <c:v>0.39018834741621727</c:v>
                </c:pt>
                <c:pt idx="671">
                  <c:v>0.23598292174592544</c:v>
                </c:pt>
                <c:pt idx="672">
                  <c:v>0.20293916104027929</c:v>
                </c:pt>
                <c:pt idx="673">
                  <c:v>3.0886834529204911E-2</c:v>
                </c:pt>
                <c:pt idx="674">
                  <c:v>0.10465714537766589</c:v>
                </c:pt>
                <c:pt idx="675">
                  <c:v>0.36746313795471924</c:v>
                </c:pt>
                <c:pt idx="676">
                  <c:v>0.39280635017382765</c:v>
                </c:pt>
                <c:pt idx="677">
                  <c:v>0.26937799373740073</c:v>
                </c:pt>
                <c:pt idx="678">
                  <c:v>0.37564998181220138</c:v>
                </c:pt>
                <c:pt idx="679">
                  <c:v>0.37203206088336027</c:v>
                </c:pt>
                <c:pt idx="680">
                  <c:v>0.16745336703851349</c:v>
                </c:pt>
                <c:pt idx="681">
                  <c:v>0.38025027118840043</c:v>
                </c:pt>
                <c:pt idx="682">
                  <c:v>0.38684712996711224</c:v>
                </c:pt>
                <c:pt idx="683">
                  <c:v>0.38437030682600276</c:v>
                </c:pt>
                <c:pt idx="684">
                  <c:v>0.38745107486381003</c:v>
                </c:pt>
                <c:pt idx="685">
                  <c:v>7.6739254139802288E-2</c:v>
                </c:pt>
                <c:pt idx="686">
                  <c:v>0.36188165486914969</c:v>
                </c:pt>
                <c:pt idx="687">
                  <c:v>4.4421049902490434E-2</c:v>
                </c:pt>
                <c:pt idx="688">
                  <c:v>0.37701093201164554</c:v>
                </c:pt>
                <c:pt idx="689">
                  <c:v>5.4659327205190324E-2</c:v>
                </c:pt>
                <c:pt idx="690">
                  <c:v>0.21139566490098391</c:v>
                </c:pt>
                <c:pt idx="691">
                  <c:v>0.10527756407974444</c:v>
                </c:pt>
                <c:pt idx="692">
                  <c:v>0.2957263649252625</c:v>
                </c:pt>
                <c:pt idx="693">
                  <c:v>0.39696044710929684</c:v>
                </c:pt>
                <c:pt idx="694">
                  <c:v>0.29613106590382526</c:v>
                </c:pt>
                <c:pt idx="695">
                  <c:v>0.36602815276792711</c:v>
                </c:pt>
                <c:pt idx="696">
                  <c:v>0.28765841439886691</c:v>
                </c:pt>
                <c:pt idx="697">
                  <c:v>0.3988980209528824</c:v>
                </c:pt>
                <c:pt idx="698">
                  <c:v>0.39629563358985931</c:v>
                </c:pt>
                <c:pt idx="699">
                  <c:v>0.25759959910455077</c:v>
                </c:pt>
                <c:pt idx="700">
                  <c:v>0.20983473320757123</c:v>
                </c:pt>
                <c:pt idx="701">
                  <c:v>0.39697371024901124</c:v>
                </c:pt>
                <c:pt idx="702">
                  <c:v>0.38364774714084815</c:v>
                </c:pt>
                <c:pt idx="703">
                  <c:v>0.38589199802892737</c:v>
                </c:pt>
                <c:pt idx="704">
                  <c:v>0.17350194272496811</c:v>
                </c:pt>
                <c:pt idx="705">
                  <c:v>0.31405676424891399</c:v>
                </c:pt>
                <c:pt idx="706">
                  <c:v>0.28657411529377413</c:v>
                </c:pt>
                <c:pt idx="707">
                  <c:v>0.25544289458544983</c:v>
                </c:pt>
                <c:pt idx="708">
                  <c:v>0.10602548857648007</c:v>
                </c:pt>
                <c:pt idx="709">
                  <c:v>0.37488079096683891</c:v>
                </c:pt>
                <c:pt idx="710">
                  <c:v>0.37046704369398431</c:v>
                </c:pt>
                <c:pt idx="711">
                  <c:v>0.27996568632201846</c:v>
                </c:pt>
                <c:pt idx="712">
                  <c:v>0.33750630566895334</c:v>
                </c:pt>
                <c:pt idx="713">
                  <c:v>0.36306943933909497</c:v>
                </c:pt>
                <c:pt idx="714">
                  <c:v>0.3960089211124192</c:v>
                </c:pt>
                <c:pt idx="715">
                  <c:v>0.20241679412558089</c:v>
                </c:pt>
                <c:pt idx="716">
                  <c:v>0.35195621801382332</c:v>
                </c:pt>
                <c:pt idx="717">
                  <c:v>0.30484956004279024</c:v>
                </c:pt>
                <c:pt idx="718">
                  <c:v>0.34912196594196815</c:v>
                </c:pt>
                <c:pt idx="719">
                  <c:v>0.14853698158758682</c:v>
                </c:pt>
                <c:pt idx="720">
                  <c:v>0.18708504137920362</c:v>
                </c:pt>
                <c:pt idx="721">
                  <c:v>4.7278037437470756E-2</c:v>
                </c:pt>
                <c:pt idx="722">
                  <c:v>0.37118635869289529</c:v>
                </c:pt>
                <c:pt idx="723">
                  <c:v>0.29348574068309335</c:v>
                </c:pt>
                <c:pt idx="724">
                  <c:v>0.13521337434558478</c:v>
                </c:pt>
                <c:pt idx="725">
                  <c:v>0.26225929875392839</c:v>
                </c:pt>
                <c:pt idx="726">
                  <c:v>0.38920781647773001</c:v>
                </c:pt>
                <c:pt idx="727">
                  <c:v>9.1532116567909896E-2</c:v>
                </c:pt>
                <c:pt idx="728">
                  <c:v>0.39663142091702985</c:v>
                </c:pt>
                <c:pt idx="729">
                  <c:v>0.16997135571776892</c:v>
                </c:pt>
                <c:pt idx="730">
                  <c:v>0.18544320430670971</c:v>
                </c:pt>
                <c:pt idx="731">
                  <c:v>0.38626569634363966</c:v>
                </c:pt>
                <c:pt idx="732">
                  <c:v>0.39504746326887719</c:v>
                </c:pt>
                <c:pt idx="733">
                  <c:v>0.25582286043062674</c:v>
                </c:pt>
                <c:pt idx="734">
                  <c:v>0.23313548722127078</c:v>
                </c:pt>
                <c:pt idx="735">
                  <c:v>0.34459665498890002</c:v>
                </c:pt>
                <c:pt idx="736">
                  <c:v>0.38318610535079134</c:v>
                </c:pt>
                <c:pt idx="737">
                  <c:v>0.33827864200071661</c:v>
                </c:pt>
                <c:pt idx="738">
                  <c:v>0.3862033598568701</c:v>
                </c:pt>
                <c:pt idx="739">
                  <c:v>0.39537670450618795</c:v>
                </c:pt>
                <c:pt idx="740">
                  <c:v>0.39207034129253038</c:v>
                </c:pt>
                <c:pt idx="741">
                  <c:v>0.34403001836540287</c:v>
                </c:pt>
                <c:pt idx="742">
                  <c:v>0.39064808578042759</c:v>
                </c:pt>
                <c:pt idx="743">
                  <c:v>0.3527660339666211</c:v>
                </c:pt>
                <c:pt idx="744">
                  <c:v>7.7968122992648062E-2</c:v>
                </c:pt>
                <c:pt idx="745">
                  <c:v>0.28780776529560814</c:v>
                </c:pt>
                <c:pt idx="746">
                  <c:v>0.38946259453602555</c:v>
                </c:pt>
                <c:pt idx="747">
                  <c:v>9.9907607063122378E-2</c:v>
                </c:pt>
                <c:pt idx="748">
                  <c:v>0.39139271623470612</c:v>
                </c:pt>
                <c:pt idx="749">
                  <c:v>0.39893857838166891</c:v>
                </c:pt>
                <c:pt idx="750">
                  <c:v>0.32854443571791103</c:v>
                </c:pt>
                <c:pt idx="751">
                  <c:v>0.39257962155742421</c:v>
                </c:pt>
                <c:pt idx="752">
                  <c:v>0.39889816588578608</c:v>
                </c:pt>
                <c:pt idx="753">
                  <c:v>3.8899965069047117E-2</c:v>
                </c:pt>
                <c:pt idx="754">
                  <c:v>0.16615970495441817</c:v>
                </c:pt>
                <c:pt idx="755">
                  <c:v>0.27974888478251625</c:v>
                </c:pt>
                <c:pt idx="756">
                  <c:v>0.3761442810852319</c:v>
                </c:pt>
                <c:pt idx="757">
                  <c:v>0.35216177097056406</c:v>
                </c:pt>
                <c:pt idx="758">
                  <c:v>0.29674596418362903</c:v>
                </c:pt>
                <c:pt idx="759">
                  <c:v>0.30786216234245584</c:v>
                </c:pt>
                <c:pt idx="760">
                  <c:v>0.38375693477664191</c:v>
                </c:pt>
                <c:pt idx="761">
                  <c:v>0.2433223520489772</c:v>
                </c:pt>
                <c:pt idx="762">
                  <c:v>0.11946500082662558</c:v>
                </c:pt>
                <c:pt idx="763">
                  <c:v>0.10340685418730508</c:v>
                </c:pt>
                <c:pt idx="764">
                  <c:v>0.32138927292031616</c:v>
                </c:pt>
                <c:pt idx="765">
                  <c:v>0.37018758276012997</c:v>
                </c:pt>
                <c:pt idx="766">
                  <c:v>0.35522031201096865</c:v>
                </c:pt>
                <c:pt idx="767">
                  <c:v>9.709219919313615E-2</c:v>
                </c:pt>
                <c:pt idx="768">
                  <c:v>0.20998628479885564</c:v>
                </c:pt>
                <c:pt idx="769">
                  <c:v>0.35718779692738079</c:v>
                </c:pt>
                <c:pt idx="770">
                  <c:v>7.1652542973706282E-2</c:v>
                </c:pt>
                <c:pt idx="771">
                  <c:v>0.33996128506556428</c:v>
                </c:pt>
                <c:pt idx="772">
                  <c:v>0.38575182519055468</c:v>
                </c:pt>
                <c:pt idx="773">
                  <c:v>8.519059794667358E-2</c:v>
                </c:pt>
                <c:pt idx="774">
                  <c:v>0.39862377253799558</c:v>
                </c:pt>
                <c:pt idx="775">
                  <c:v>0.36858286133414886</c:v>
                </c:pt>
                <c:pt idx="776">
                  <c:v>0.34711577175759512</c:v>
                </c:pt>
                <c:pt idx="777">
                  <c:v>0.38885895365302792</c:v>
                </c:pt>
                <c:pt idx="778">
                  <c:v>0.29833413917680118</c:v>
                </c:pt>
                <c:pt idx="779">
                  <c:v>0.17282403018212605</c:v>
                </c:pt>
                <c:pt idx="780">
                  <c:v>0.38230027194739963</c:v>
                </c:pt>
                <c:pt idx="781">
                  <c:v>0.35750858129687296</c:v>
                </c:pt>
                <c:pt idx="782">
                  <c:v>0.34749592951943037</c:v>
                </c:pt>
                <c:pt idx="783">
                  <c:v>0.22732906383137894</c:v>
                </c:pt>
                <c:pt idx="784">
                  <c:v>0.38146281617272532</c:v>
                </c:pt>
                <c:pt idx="785">
                  <c:v>0.36146108415864403</c:v>
                </c:pt>
                <c:pt idx="786">
                  <c:v>0.38701455278624736</c:v>
                </c:pt>
                <c:pt idx="787">
                  <c:v>1.16296753932944E-2</c:v>
                </c:pt>
                <c:pt idx="788">
                  <c:v>9.2556894710100937E-4</c:v>
                </c:pt>
                <c:pt idx="789">
                  <c:v>0.1915484660600375</c:v>
                </c:pt>
                <c:pt idx="790">
                  <c:v>0.38780747003194338</c:v>
                </c:pt>
                <c:pt idx="791">
                  <c:v>0.38616758150938513</c:v>
                </c:pt>
                <c:pt idx="792">
                  <c:v>0.39635749345858451</c:v>
                </c:pt>
                <c:pt idx="793">
                  <c:v>0.27271891702389017</c:v>
                </c:pt>
                <c:pt idx="794">
                  <c:v>0.23512627169943934</c:v>
                </c:pt>
                <c:pt idx="795">
                  <c:v>0.37326344366128134</c:v>
                </c:pt>
                <c:pt idx="796">
                  <c:v>0.37515267091924054</c:v>
                </c:pt>
                <c:pt idx="797">
                  <c:v>0.18450611898413793</c:v>
                </c:pt>
                <c:pt idx="798">
                  <c:v>0.26523523017331591</c:v>
                </c:pt>
                <c:pt idx="799">
                  <c:v>0.3902793212133091</c:v>
                </c:pt>
                <c:pt idx="800">
                  <c:v>0.32643611157378427</c:v>
                </c:pt>
                <c:pt idx="801">
                  <c:v>0.39181919712009389</c:v>
                </c:pt>
                <c:pt idx="802">
                  <c:v>0.29749970322404096</c:v>
                </c:pt>
                <c:pt idx="803">
                  <c:v>0.38117235297033703</c:v>
                </c:pt>
                <c:pt idx="804">
                  <c:v>0.24380384057604146</c:v>
                </c:pt>
                <c:pt idx="805">
                  <c:v>0.23780287338193351</c:v>
                </c:pt>
                <c:pt idx="806">
                  <c:v>0.24962955726753944</c:v>
                </c:pt>
                <c:pt idx="807">
                  <c:v>0.39837029646326177</c:v>
                </c:pt>
                <c:pt idx="808">
                  <c:v>4.4592561439267681E-2</c:v>
                </c:pt>
                <c:pt idx="809">
                  <c:v>0.32392798976490506</c:v>
                </c:pt>
                <c:pt idx="810">
                  <c:v>0.23881617849673595</c:v>
                </c:pt>
                <c:pt idx="811">
                  <c:v>0.39625258660588308</c:v>
                </c:pt>
                <c:pt idx="812">
                  <c:v>0.38411885146822689</c:v>
                </c:pt>
                <c:pt idx="813">
                  <c:v>0.38488137019836616</c:v>
                </c:pt>
                <c:pt idx="814">
                  <c:v>0.35680949211937985</c:v>
                </c:pt>
                <c:pt idx="815">
                  <c:v>0.39802367154219365</c:v>
                </c:pt>
                <c:pt idx="816">
                  <c:v>0.3837345542572812</c:v>
                </c:pt>
                <c:pt idx="817">
                  <c:v>0.38297227208632334</c:v>
                </c:pt>
                <c:pt idx="818">
                  <c:v>0.33939009791429425</c:v>
                </c:pt>
                <c:pt idx="819">
                  <c:v>0.3163618142297136</c:v>
                </c:pt>
                <c:pt idx="820">
                  <c:v>0.1017185143554115</c:v>
                </c:pt>
                <c:pt idx="821">
                  <c:v>0.1760897352403967</c:v>
                </c:pt>
                <c:pt idx="822">
                  <c:v>0.39655520727880988</c:v>
                </c:pt>
                <c:pt idx="823">
                  <c:v>0.20956505031048223</c:v>
                </c:pt>
                <c:pt idx="824">
                  <c:v>0.33035440840081903</c:v>
                </c:pt>
                <c:pt idx="825">
                  <c:v>0.32206763326279142</c:v>
                </c:pt>
                <c:pt idx="826">
                  <c:v>0.25244237324257096</c:v>
                </c:pt>
                <c:pt idx="827">
                  <c:v>0.30936716633707517</c:v>
                </c:pt>
                <c:pt idx="828">
                  <c:v>0.2029193724190804</c:v>
                </c:pt>
                <c:pt idx="829">
                  <c:v>0.2264327130058745</c:v>
                </c:pt>
                <c:pt idx="830">
                  <c:v>7.4040228775925199E-2</c:v>
                </c:pt>
                <c:pt idx="831">
                  <c:v>0.23438349973000919</c:v>
                </c:pt>
                <c:pt idx="832">
                  <c:v>4.4985433714676989E-2</c:v>
                </c:pt>
                <c:pt idx="833">
                  <c:v>0.37530499723776206</c:v>
                </c:pt>
                <c:pt idx="834">
                  <c:v>0.39893359739690426</c:v>
                </c:pt>
                <c:pt idx="835">
                  <c:v>0.39529182555880898</c:v>
                </c:pt>
                <c:pt idx="836">
                  <c:v>0.39671003240931957</c:v>
                </c:pt>
                <c:pt idx="837">
                  <c:v>0.37814257908227189</c:v>
                </c:pt>
                <c:pt idx="838">
                  <c:v>7.4272918061151924E-2</c:v>
                </c:pt>
                <c:pt idx="839">
                  <c:v>0.31147975443514619</c:v>
                </c:pt>
                <c:pt idx="840">
                  <c:v>0.3972598929453765</c:v>
                </c:pt>
                <c:pt idx="841">
                  <c:v>6.1274649364081037E-2</c:v>
                </c:pt>
                <c:pt idx="842">
                  <c:v>0.32925572807782577</c:v>
                </c:pt>
                <c:pt idx="843">
                  <c:v>0.15285870428960011</c:v>
                </c:pt>
                <c:pt idx="844">
                  <c:v>0.27163975327733958</c:v>
                </c:pt>
                <c:pt idx="845">
                  <c:v>0.34510186762667611</c:v>
                </c:pt>
                <c:pt idx="846">
                  <c:v>0.33908699742023457</c:v>
                </c:pt>
                <c:pt idx="847">
                  <c:v>0.38739336697268073</c:v>
                </c:pt>
                <c:pt idx="848">
                  <c:v>0.39875882797664658</c:v>
                </c:pt>
                <c:pt idx="849">
                  <c:v>0.36751223094493357</c:v>
                </c:pt>
                <c:pt idx="850">
                  <c:v>0.38159327497757073</c:v>
                </c:pt>
                <c:pt idx="851">
                  <c:v>0.27190974423721154</c:v>
                </c:pt>
                <c:pt idx="852">
                  <c:v>8.8492964239597169E-2</c:v>
                </c:pt>
                <c:pt idx="853">
                  <c:v>0.3942628609753796</c:v>
                </c:pt>
                <c:pt idx="854">
                  <c:v>4.4917177380928777E-2</c:v>
                </c:pt>
                <c:pt idx="855">
                  <c:v>7.6318074710752748E-2</c:v>
                </c:pt>
                <c:pt idx="856">
                  <c:v>0.38860866650665793</c:v>
                </c:pt>
                <c:pt idx="857">
                  <c:v>0.30008819865272751</c:v>
                </c:pt>
                <c:pt idx="858">
                  <c:v>0.34969596487900223</c:v>
                </c:pt>
                <c:pt idx="859">
                  <c:v>0.29508025102754926</c:v>
                </c:pt>
                <c:pt idx="860">
                  <c:v>0.37227431227744673</c:v>
                </c:pt>
                <c:pt idx="861">
                  <c:v>0.39893694631875792</c:v>
                </c:pt>
                <c:pt idx="862">
                  <c:v>0.26673995810808276</c:v>
                </c:pt>
                <c:pt idx="863">
                  <c:v>0.28208838583180201</c:v>
                </c:pt>
                <c:pt idx="864">
                  <c:v>0.31974168907393946</c:v>
                </c:pt>
                <c:pt idx="865">
                  <c:v>0.38107541396676237</c:v>
                </c:pt>
                <c:pt idx="866">
                  <c:v>0.22918393438347445</c:v>
                </c:pt>
                <c:pt idx="867">
                  <c:v>0.33573577222670042</c:v>
                </c:pt>
                <c:pt idx="868">
                  <c:v>0.12230855985616415</c:v>
                </c:pt>
                <c:pt idx="869">
                  <c:v>0.37090809395111679</c:v>
                </c:pt>
                <c:pt idx="870">
                  <c:v>0.39886819717723271</c:v>
                </c:pt>
                <c:pt idx="871">
                  <c:v>0.27156401958007337</c:v>
                </c:pt>
                <c:pt idx="872">
                  <c:v>0.26454484127917044</c:v>
                </c:pt>
                <c:pt idx="873">
                  <c:v>0.34915051578633993</c:v>
                </c:pt>
                <c:pt idx="874">
                  <c:v>0.37838653104009029</c:v>
                </c:pt>
                <c:pt idx="875">
                  <c:v>0.33970039143919845</c:v>
                </c:pt>
                <c:pt idx="876">
                  <c:v>0.30732710603569147</c:v>
                </c:pt>
                <c:pt idx="877">
                  <c:v>1.2353064479412996E-2</c:v>
                </c:pt>
                <c:pt idx="878">
                  <c:v>0.15424432361791371</c:v>
                </c:pt>
                <c:pt idx="879">
                  <c:v>0.22928186983212251</c:v>
                </c:pt>
                <c:pt idx="880">
                  <c:v>0.14466587215475638</c:v>
                </c:pt>
                <c:pt idx="881">
                  <c:v>0.38295364062868043</c:v>
                </c:pt>
                <c:pt idx="882">
                  <c:v>0.39891792125421693</c:v>
                </c:pt>
                <c:pt idx="883">
                  <c:v>0.24126878771940402</c:v>
                </c:pt>
                <c:pt idx="884">
                  <c:v>0.33299416182196084</c:v>
                </c:pt>
                <c:pt idx="885">
                  <c:v>0.39167797758686274</c:v>
                </c:pt>
                <c:pt idx="886">
                  <c:v>0.33792083329772649</c:v>
                </c:pt>
                <c:pt idx="887">
                  <c:v>0.32416819169441879</c:v>
                </c:pt>
                <c:pt idx="888">
                  <c:v>0.2953747059538871</c:v>
                </c:pt>
                <c:pt idx="889">
                  <c:v>0.39848011430852315</c:v>
                </c:pt>
                <c:pt idx="890">
                  <c:v>1.7349578283155361E-2</c:v>
                </c:pt>
                <c:pt idx="891">
                  <c:v>0.39891232947801619</c:v>
                </c:pt>
                <c:pt idx="892">
                  <c:v>0.10727312639295146</c:v>
                </c:pt>
                <c:pt idx="893">
                  <c:v>0.37219621930175645</c:v>
                </c:pt>
                <c:pt idx="894">
                  <c:v>4.0554585413365075E-2</c:v>
                </c:pt>
                <c:pt idx="895">
                  <c:v>0.21819792433555404</c:v>
                </c:pt>
                <c:pt idx="896">
                  <c:v>0.34181074585461446</c:v>
                </c:pt>
                <c:pt idx="897">
                  <c:v>0.21207189489495176</c:v>
                </c:pt>
                <c:pt idx="898">
                  <c:v>0.10354386122046887</c:v>
                </c:pt>
                <c:pt idx="899">
                  <c:v>0.15343172586852707</c:v>
                </c:pt>
                <c:pt idx="900">
                  <c:v>0.1237589334167921</c:v>
                </c:pt>
                <c:pt idx="901">
                  <c:v>0.27706396108170789</c:v>
                </c:pt>
                <c:pt idx="902">
                  <c:v>1.8813590054235916E-2</c:v>
                </c:pt>
                <c:pt idx="903">
                  <c:v>0.23865783674201019</c:v>
                </c:pt>
                <c:pt idx="904">
                  <c:v>2.9449220469628213E-2</c:v>
                </c:pt>
                <c:pt idx="905">
                  <c:v>0.35536455068940914</c:v>
                </c:pt>
                <c:pt idx="906">
                  <c:v>0.34537847034988312</c:v>
                </c:pt>
                <c:pt idx="907">
                  <c:v>0.170397363827895</c:v>
                </c:pt>
                <c:pt idx="908">
                  <c:v>5.5901985241534141E-2</c:v>
                </c:pt>
                <c:pt idx="909">
                  <c:v>0.38240636782656745</c:v>
                </c:pt>
                <c:pt idx="910">
                  <c:v>5.6418419567310002E-2</c:v>
                </c:pt>
                <c:pt idx="911">
                  <c:v>0.33318072942907689</c:v>
                </c:pt>
                <c:pt idx="912">
                  <c:v>0.39097051127071131</c:v>
                </c:pt>
                <c:pt idx="913">
                  <c:v>0.18196148070397852</c:v>
                </c:pt>
                <c:pt idx="914">
                  <c:v>0.39847955299953852</c:v>
                </c:pt>
                <c:pt idx="915">
                  <c:v>0.31013744977321178</c:v>
                </c:pt>
                <c:pt idx="916">
                  <c:v>0.38592785131506974</c:v>
                </c:pt>
                <c:pt idx="917">
                  <c:v>0.38786649583980543</c:v>
                </c:pt>
                <c:pt idx="918">
                  <c:v>0.14218918106872705</c:v>
                </c:pt>
                <c:pt idx="919">
                  <c:v>4.5679798167381776E-2</c:v>
                </c:pt>
                <c:pt idx="920">
                  <c:v>0.30854465682633531</c:v>
                </c:pt>
                <c:pt idx="921">
                  <c:v>0.13992136005795172</c:v>
                </c:pt>
                <c:pt idx="922">
                  <c:v>0.20145886069022229</c:v>
                </c:pt>
                <c:pt idx="923">
                  <c:v>0.39884182838030741</c:v>
                </c:pt>
                <c:pt idx="924">
                  <c:v>0.23087872041176549</c:v>
                </c:pt>
                <c:pt idx="925">
                  <c:v>0.3965597687474739</c:v>
                </c:pt>
                <c:pt idx="926">
                  <c:v>0.18129324451594622</c:v>
                </c:pt>
                <c:pt idx="927">
                  <c:v>0.29148721550613776</c:v>
                </c:pt>
                <c:pt idx="928">
                  <c:v>0.11778229560130989</c:v>
                </c:pt>
                <c:pt idx="929">
                  <c:v>0.38578349649069632</c:v>
                </c:pt>
                <c:pt idx="930">
                  <c:v>0.3898216399243663</c:v>
                </c:pt>
                <c:pt idx="931">
                  <c:v>0.20145868668165734</c:v>
                </c:pt>
                <c:pt idx="932">
                  <c:v>0.31342466253310192</c:v>
                </c:pt>
                <c:pt idx="933">
                  <c:v>0.19102301059456928</c:v>
                </c:pt>
                <c:pt idx="934">
                  <c:v>0.37360873188857047</c:v>
                </c:pt>
                <c:pt idx="935">
                  <c:v>0.39852784150337889</c:v>
                </c:pt>
                <c:pt idx="936">
                  <c:v>0.15377339431759141</c:v>
                </c:pt>
                <c:pt idx="937">
                  <c:v>6.4302946020310808E-2</c:v>
                </c:pt>
                <c:pt idx="938">
                  <c:v>0.37064788645936564</c:v>
                </c:pt>
                <c:pt idx="939">
                  <c:v>0.36602287023753871</c:v>
                </c:pt>
                <c:pt idx="940">
                  <c:v>5.383407705000598E-2</c:v>
                </c:pt>
                <c:pt idx="941">
                  <c:v>0.37533692125692214</c:v>
                </c:pt>
                <c:pt idx="942">
                  <c:v>3.008701132445022E-2</c:v>
                </c:pt>
                <c:pt idx="943">
                  <c:v>0.14877184344988109</c:v>
                </c:pt>
                <c:pt idx="944">
                  <c:v>0.34039278060391942</c:v>
                </c:pt>
                <c:pt idx="945">
                  <c:v>0.23419104218658088</c:v>
                </c:pt>
                <c:pt idx="946">
                  <c:v>0.3665593657978175</c:v>
                </c:pt>
                <c:pt idx="947">
                  <c:v>0.35735037034134853</c:v>
                </c:pt>
                <c:pt idx="948">
                  <c:v>0.32663099273903079</c:v>
                </c:pt>
                <c:pt idx="949">
                  <c:v>4.3070883992454796E-2</c:v>
                </c:pt>
                <c:pt idx="950">
                  <c:v>0.36188340750436765</c:v>
                </c:pt>
                <c:pt idx="951">
                  <c:v>0.21788326687233614</c:v>
                </c:pt>
                <c:pt idx="952">
                  <c:v>3.2201575087516879E-2</c:v>
                </c:pt>
                <c:pt idx="953">
                  <c:v>0.36871852762212204</c:v>
                </c:pt>
                <c:pt idx="954">
                  <c:v>0.33538020605630559</c:v>
                </c:pt>
                <c:pt idx="955">
                  <c:v>0.37423699393232795</c:v>
                </c:pt>
                <c:pt idx="956">
                  <c:v>0.37781926220847245</c:v>
                </c:pt>
                <c:pt idx="957">
                  <c:v>0.39404106229986097</c:v>
                </c:pt>
                <c:pt idx="958">
                  <c:v>0.38957710848386545</c:v>
                </c:pt>
                <c:pt idx="959">
                  <c:v>0.36100102684177082</c:v>
                </c:pt>
                <c:pt idx="960">
                  <c:v>0.29344642784672398</c:v>
                </c:pt>
                <c:pt idx="961">
                  <c:v>0.26138113759542281</c:v>
                </c:pt>
                <c:pt idx="962">
                  <c:v>0.2675962382342682</c:v>
                </c:pt>
                <c:pt idx="963">
                  <c:v>0.3989207249945067</c:v>
                </c:pt>
                <c:pt idx="964">
                  <c:v>0.23463100401190173</c:v>
                </c:pt>
                <c:pt idx="965">
                  <c:v>0.32814379460505594</c:v>
                </c:pt>
                <c:pt idx="966">
                  <c:v>0.23281932836924957</c:v>
                </c:pt>
                <c:pt idx="967">
                  <c:v>0.29460048372852932</c:v>
                </c:pt>
                <c:pt idx="968">
                  <c:v>0.21520838548496929</c:v>
                </c:pt>
                <c:pt idx="969">
                  <c:v>0.14731375960667648</c:v>
                </c:pt>
                <c:pt idx="970">
                  <c:v>0.39174085582567875</c:v>
                </c:pt>
                <c:pt idx="971">
                  <c:v>0.36760740000871162</c:v>
                </c:pt>
                <c:pt idx="972">
                  <c:v>0.10062341537132009</c:v>
                </c:pt>
                <c:pt idx="973">
                  <c:v>0.39816416890427081</c:v>
                </c:pt>
                <c:pt idx="974">
                  <c:v>0.362207712309908</c:v>
                </c:pt>
                <c:pt idx="975">
                  <c:v>0.33592900849638802</c:v>
                </c:pt>
                <c:pt idx="976">
                  <c:v>0.38101765872127696</c:v>
                </c:pt>
                <c:pt idx="977">
                  <c:v>0.38134151279274336</c:v>
                </c:pt>
                <c:pt idx="978">
                  <c:v>0.33190477596199969</c:v>
                </c:pt>
                <c:pt idx="979">
                  <c:v>0.10643873499332192</c:v>
                </c:pt>
                <c:pt idx="980">
                  <c:v>0.35711915803269362</c:v>
                </c:pt>
                <c:pt idx="981">
                  <c:v>0.18197434501045454</c:v>
                </c:pt>
                <c:pt idx="982">
                  <c:v>0.19170523153363681</c:v>
                </c:pt>
                <c:pt idx="983">
                  <c:v>0.30041898480988283</c:v>
                </c:pt>
                <c:pt idx="984">
                  <c:v>0.22735617456458079</c:v>
                </c:pt>
                <c:pt idx="985">
                  <c:v>0.25842553916575045</c:v>
                </c:pt>
                <c:pt idx="986">
                  <c:v>0.39667752845809667</c:v>
                </c:pt>
                <c:pt idx="987">
                  <c:v>0.18461935484909631</c:v>
                </c:pt>
                <c:pt idx="988">
                  <c:v>0.30398512716231035</c:v>
                </c:pt>
                <c:pt idx="989">
                  <c:v>0.13577649395939714</c:v>
                </c:pt>
                <c:pt idx="990">
                  <c:v>0.39281496030103108</c:v>
                </c:pt>
                <c:pt idx="991">
                  <c:v>8.9522331591039728E-2</c:v>
                </c:pt>
                <c:pt idx="992">
                  <c:v>0.30990863302259475</c:v>
                </c:pt>
                <c:pt idx="993">
                  <c:v>0.39802214908517281</c:v>
                </c:pt>
                <c:pt idx="994">
                  <c:v>0.36796157146150094</c:v>
                </c:pt>
                <c:pt idx="995">
                  <c:v>0.39858274765356438</c:v>
                </c:pt>
                <c:pt idx="996">
                  <c:v>0.2264995112051775</c:v>
                </c:pt>
                <c:pt idx="997">
                  <c:v>0.16936981332543313</c:v>
                </c:pt>
                <c:pt idx="998">
                  <c:v>5.200271155428323E-2</c:v>
                </c:pt>
                <c:pt idx="999">
                  <c:v>0.38537596452681389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3-D343-8A6E-67961E4B6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880559"/>
        <c:axId val="1343075567"/>
      </c:scatterChart>
      <c:valAx>
        <c:axId val="129988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075567"/>
        <c:crosses val="autoZero"/>
        <c:crossBetween val="midCat"/>
      </c:valAx>
      <c:valAx>
        <c:axId val="134307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p(x)</a:t>
                </a:r>
              </a:p>
            </c:rich>
          </c:tx>
          <c:layout>
            <c:manualLayout>
              <c:xMode val="edge"/>
              <c:yMode val="edge"/>
              <c:x val="0.35103244837758113"/>
              <c:y val="0.303048264800233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880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Paths compared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path(ckls)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Model!$H$6:$H$1005</c:f>
              <c:numCache>
                <c:formatCode>General</c:formatCode>
                <c:ptCount val="1000"/>
                <c:pt idx="0">
                  <c:v>0.01</c:v>
                </c:pt>
                <c:pt idx="1">
                  <c:v>1.0954535676558975E-2</c:v>
                </c:pt>
                <c:pt idx="2">
                  <c:v>8.6675150883311763E-3</c:v>
                </c:pt>
                <c:pt idx="3">
                  <c:v>6.538674797763354E-3</c:v>
                </c:pt>
                <c:pt idx="4">
                  <c:v>3.1033389535666421E-3</c:v>
                </c:pt>
                <c:pt idx="5">
                  <c:v>3.2833034208549616E-4</c:v>
                </c:pt>
                <c:pt idx="6">
                  <c:v>-3.4757129126977491E-3</c:v>
                </c:pt>
                <c:pt idx="7">
                  <c:v>-5.8537329002536507E-3</c:v>
                </c:pt>
                <c:pt idx="8">
                  <c:v>-8.4438910018996872E-3</c:v>
                </c:pt>
                <c:pt idx="9">
                  <c:v>-9.6342975123785979E-3</c:v>
                </c:pt>
                <c:pt idx="10">
                  <c:v>-1.1676321227512276E-2</c:v>
                </c:pt>
                <c:pt idx="11">
                  <c:v>-8.737605637286143E-3</c:v>
                </c:pt>
                <c:pt idx="12">
                  <c:v>-3.7187986809821593E-3</c:v>
                </c:pt>
                <c:pt idx="13">
                  <c:v>-6.1275758797538077E-3</c:v>
                </c:pt>
                <c:pt idx="14">
                  <c:v>-6.3383501597362238E-3</c:v>
                </c:pt>
                <c:pt idx="15">
                  <c:v>-7.105147509546811E-3</c:v>
                </c:pt>
                <c:pt idx="16">
                  <c:v>-9.6166650338991543E-3</c:v>
                </c:pt>
                <c:pt idx="17">
                  <c:v>-4.9373851279361893E-3</c:v>
                </c:pt>
                <c:pt idx="18">
                  <c:v>1.4444686156106579E-3</c:v>
                </c:pt>
                <c:pt idx="19">
                  <c:v>3.2919784308257068E-3</c:v>
                </c:pt>
                <c:pt idx="20">
                  <c:v>3.3494443733947938E-3</c:v>
                </c:pt>
                <c:pt idx="21">
                  <c:v>3.2914820705638877E-3</c:v>
                </c:pt>
                <c:pt idx="22">
                  <c:v>-4.6789564357672909E-4</c:v>
                </c:pt>
                <c:pt idx="23">
                  <c:v>-3.4289826235330504E-3</c:v>
                </c:pt>
                <c:pt idx="24">
                  <c:v>-1.2712929711090316E-3</c:v>
                </c:pt>
                <c:pt idx="25">
                  <c:v>1.8902244728560343E-3</c:v>
                </c:pt>
                <c:pt idx="26">
                  <c:v>7.0957485103373226E-3</c:v>
                </c:pt>
                <c:pt idx="27">
                  <c:v>5.7256286112012797E-3</c:v>
                </c:pt>
                <c:pt idx="28">
                  <c:v>7.8561697186685098E-3</c:v>
                </c:pt>
                <c:pt idx="29">
                  <c:v>1.962671593926494E-3</c:v>
                </c:pt>
                <c:pt idx="30">
                  <c:v>1.6298135003942082E-3</c:v>
                </c:pt>
                <c:pt idx="31">
                  <c:v>-4.2484918574408701E-3</c:v>
                </c:pt>
                <c:pt idx="32">
                  <c:v>-8.4954101299595346E-3</c:v>
                </c:pt>
                <c:pt idx="33">
                  <c:v>-8.3622574070898528E-3</c:v>
                </c:pt>
                <c:pt idx="34">
                  <c:v>-8.5210959951391094E-3</c:v>
                </c:pt>
                <c:pt idx="35">
                  <c:v>-5.2627726748154307E-3</c:v>
                </c:pt>
                <c:pt idx="36">
                  <c:v>-8.66357102914392E-3</c:v>
                </c:pt>
                <c:pt idx="37">
                  <c:v>-9.2112839096163343E-3</c:v>
                </c:pt>
                <c:pt idx="38">
                  <c:v>-4.7729507092433166E-3</c:v>
                </c:pt>
                <c:pt idx="39">
                  <c:v>-8.4645680975118549E-3</c:v>
                </c:pt>
                <c:pt idx="40">
                  <c:v>-4.4977606243387881E-3</c:v>
                </c:pt>
                <c:pt idx="41">
                  <c:v>-4.8534619175683693E-3</c:v>
                </c:pt>
                <c:pt idx="42">
                  <c:v>-7.0420955903155282E-3</c:v>
                </c:pt>
                <c:pt idx="43">
                  <c:v>-8.075597736425015E-3</c:v>
                </c:pt>
                <c:pt idx="44">
                  <c:v>-5.474947153205182E-3</c:v>
                </c:pt>
                <c:pt idx="45">
                  <c:v>-6.2797792307238004E-3</c:v>
                </c:pt>
                <c:pt idx="46">
                  <c:v>-5.7552925104687822E-3</c:v>
                </c:pt>
                <c:pt idx="47">
                  <c:v>3.0644322235020326E-3</c:v>
                </c:pt>
                <c:pt idx="48">
                  <c:v>-1.9351263733972121E-3</c:v>
                </c:pt>
                <c:pt idx="49">
                  <c:v>-3.2479413805674429E-3</c:v>
                </c:pt>
                <c:pt idx="50">
                  <c:v>-5.6870488869392548E-5</c:v>
                </c:pt>
                <c:pt idx="51">
                  <c:v>-1.0664346169889608E-3</c:v>
                </c:pt>
                <c:pt idx="52">
                  <c:v>-3.5703300995969388E-3</c:v>
                </c:pt>
                <c:pt idx="53">
                  <c:v>-1.3697235795405572E-3</c:v>
                </c:pt>
                <c:pt idx="54">
                  <c:v>1.0299647836908713E-3</c:v>
                </c:pt>
                <c:pt idx="55">
                  <c:v>-4.641781281962961E-3</c:v>
                </c:pt>
                <c:pt idx="56">
                  <c:v>-3.8023763295192206E-3</c:v>
                </c:pt>
                <c:pt idx="57">
                  <c:v>2.846188562652742E-3</c:v>
                </c:pt>
                <c:pt idx="58">
                  <c:v>4.5628619527833345E-3</c:v>
                </c:pt>
                <c:pt idx="59">
                  <c:v>5.0040631289803572E-4</c:v>
                </c:pt>
                <c:pt idx="60">
                  <c:v>-4.9413003756947212E-4</c:v>
                </c:pt>
                <c:pt idx="61">
                  <c:v>1.0268763216828717E-3</c:v>
                </c:pt>
                <c:pt idx="62">
                  <c:v>7.1123619194015265E-4</c:v>
                </c:pt>
                <c:pt idx="63">
                  <c:v>3.716689566416723E-3</c:v>
                </c:pt>
                <c:pt idx="64">
                  <c:v>4.8311534054246499E-3</c:v>
                </c:pt>
                <c:pt idx="65">
                  <c:v>6.8087617875534313E-3</c:v>
                </c:pt>
                <c:pt idx="66">
                  <c:v>5.0511783279425255E-3</c:v>
                </c:pt>
                <c:pt idx="67">
                  <c:v>7.6819933650900396E-3</c:v>
                </c:pt>
                <c:pt idx="68">
                  <c:v>1.0934171738804087E-2</c:v>
                </c:pt>
                <c:pt idx="69">
                  <c:v>6.5784917358357739E-3</c:v>
                </c:pt>
                <c:pt idx="70">
                  <c:v>1.7846800056241013E-3</c:v>
                </c:pt>
                <c:pt idx="71">
                  <c:v>-3.0864809566039783E-3</c:v>
                </c:pt>
                <c:pt idx="72">
                  <c:v>-8.1765171148968432E-3</c:v>
                </c:pt>
                <c:pt idx="73">
                  <c:v>-7.1641904206566753E-3</c:v>
                </c:pt>
                <c:pt idx="74">
                  <c:v>-7.9039410560687636E-3</c:v>
                </c:pt>
                <c:pt idx="75">
                  <c:v>-5.1103755919921258E-3</c:v>
                </c:pt>
                <c:pt idx="76">
                  <c:v>-7.1812805779205759E-3</c:v>
                </c:pt>
                <c:pt idx="77">
                  <c:v>-1.3210892605440743E-3</c:v>
                </c:pt>
                <c:pt idx="78">
                  <c:v>3.3967801970876191E-6</c:v>
                </c:pt>
                <c:pt idx="79">
                  <c:v>-8.0399632318045621E-4</c:v>
                </c:pt>
                <c:pt idx="80">
                  <c:v>-3.3510407137437291E-3</c:v>
                </c:pt>
                <c:pt idx="81">
                  <c:v>3.901695282535686E-4</c:v>
                </c:pt>
                <c:pt idx="82">
                  <c:v>4.5069238502855212E-3</c:v>
                </c:pt>
                <c:pt idx="83">
                  <c:v>2.1759351304586221E-3</c:v>
                </c:pt>
                <c:pt idx="84">
                  <c:v>4.0272817905953216E-3</c:v>
                </c:pt>
                <c:pt idx="85">
                  <c:v>5.2796726809989578E-3</c:v>
                </c:pt>
                <c:pt idx="86">
                  <c:v>6.5840150097975017E-5</c:v>
                </c:pt>
                <c:pt idx="87">
                  <c:v>1.5151546192864018E-3</c:v>
                </c:pt>
                <c:pt idx="88">
                  <c:v>1.64632995996091E-4</c:v>
                </c:pt>
                <c:pt idx="89">
                  <c:v>-2.1411018279186025E-3</c:v>
                </c:pt>
                <c:pt idx="90">
                  <c:v>-2.973340088128875E-3</c:v>
                </c:pt>
                <c:pt idx="91">
                  <c:v>-4.7489118142846568E-3</c:v>
                </c:pt>
                <c:pt idx="92">
                  <c:v>-9.2916065590971722E-3</c:v>
                </c:pt>
                <c:pt idx="93">
                  <c:v>-1.0100624508313755E-2</c:v>
                </c:pt>
                <c:pt idx="94">
                  <c:v>-8.8129265389746709E-3</c:v>
                </c:pt>
                <c:pt idx="95">
                  <c:v>-4.3135087202377277E-3</c:v>
                </c:pt>
                <c:pt idx="96">
                  <c:v>-3.1272690889197576E-3</c:v>
                </c:pt>
                <c:pt idx="97">
                  <c:v>-3.9833251062702645E-3</c:v>
                </c:pt>
                <c:pt idx="98">
                  <c:v>-4.8332897466264067E-3</c:v>
                </c:pt>
                <c:pt idx="99">
                  <c:v>-4.3020155757689882E-3</c:v>
                </c:pt>
                <c:pt idx="100">
                  <c:v>-6.9255797207026688E-3</c:v>
                </c:pt>
                <c:pt idx="101">
                  <c:v>-7.2478177397803092E-3</c:v>
                </c:pt>
                <c:pt idx="102">
                  <c:v>-9.2759268095171758E-3</c:v>
                </c:pt>
                <c:pt idx="103">
                  <c:v>-1.0125609491311409E-2</c:v>
                </c:pt>
                <c:pt idx="104">
                  <c:v>-5.1436915265652252E-3</c:v>
                </c:pt>
                <c:pt idx="105">
                  <c:v>-5.0401494153318096E-3</c:v>
                </c:pt>
                <c:pt idx="106">
                  <c:v>-1.5122163075268133E-3</c:v>
                </c:pt>
                <c:pt idx="107">
                  <c:v>8.5142483056119484E-5</c:v>
                </c:pt>
                <c:pt idx="108">
                  <c:v>-1.7593496360439895E-4</c:v>
                </c:pt>
                <c:pt idx="109">
                  <c:v>5.2517331757105179E-3</c:v>
                </c:pt>
                <c:pt idx="110">
                  <c:v>8.4851844042160111E-3</c:v>
                </c:pt>
                <c:pt idx="111">
                  <c:v>8.6481846182419938E-3</c:v>
                </c:pt>
                <c:pt idx="112">
                  <c:v>7.2729085471073176E-3</c:v>
                </c:pt>
                <c:pt idx="113">
                  <c:v>4.936282086495083E-3</c:v>
                </c:pt>
                <c:pt idx="114">
                  <c:v>4.9837160965863769E-3</c:v>
                </c:pt>
                <c:pt idx="115">
                  <c:v>1.0031987848028074E-2</c:v>
                </c:pt>
                <c:pt idx="116">
                  <c:v>9.3857382348677496E-3</c:v>
                </c:pt>
                <c:pt idx="117">
                  <c:v>6.6126422999524884E-3</c:v>
                </c:pt>
                <c:pt idx="118">
                  <c:v>3.4184570680986489E-3</c:v>
                </c:pt>
                <c:pt idx="119">
                  <c:v>5.8602957130780052E-3</c:v>
                </c:pt>
                <c:pt idx="120">
                  <c:v>3.9835044108373517E-3</c:v>
                </c:pt>
                <c:pt idx="121">
                  <c:v>4.5411423918177499E-3</c:v>
                </c:pt>
                <c:pt idx="122">
                  <c:v>6.2989967941430684E-3</c:v>
                </c:pt>
                <c:pt idx="123">
                  <c:v>7.2428479855233558E-3</c:v>
                </c:pt>
                <c:pt idx="124">
                  <c:v>6.6580616327129296E-3</c:v>
                </c:pt>
                <c:pt idx="125">
                  <c:v>4.2601338722511517E-3</c:v>
                </c:pt>
                <c:pt idx="126">
                  <c:v>5.0640897080186905E-3</c:v>
                </c:pt>
                <c:pt idx="127">
                  <c:v>1.3117791991144465E-2</c:v>
                </c:pt>
                <c:pt idx="128">
                  <c:v>1.3013161545295086E-2</c:v>
                </c:pt>
                <c:pt idx="129">
                  <c:v>1.4019477391466206E-2</c:v>
                </c:pt>
                <c:pt idx="130">
                  <c:v>1.2198258556719176E-2</c:v>
                </c:pt>
                <c:pt idx="131">
                  <c:v>4.991053480749197E-3</c:v>
                </c:pt>
                <c:pt idx="132">
                  <c:v>7.0288008783699991E-3</c:v>
                </c:pt>
                <c:pt idx="133">
                  <c:v>9.4160885576934986E-3</c:v>
                </c:pt>
                <c:pt idx="134">
                  <c:v>4.9481042009305969E-3</c:v>
                </c:pt>
                <c:pt idx="135">
                  <c:v>5.376474536519826E-3</c:v>
                </c:pt>
                <c:pt idx="136">
                  <c:v>1.3566041863915617E-2</c:v>
                </c:pt>
                <c:pt idx="137">
                  <c:v>1.3032909175856883E-2</c:v>
                </c:pt>
                <c:pt idx="138">
                  <c:v>1.6674475453700124E-2</c:v>
                </c:pt>
                <c:pt idx="139">
                  <c:v>1.2631257112273517E-2</c:v>
                </c:pt>
                <c:pt idx="140">
                  <c:v>1.0434146899315813E-2</c:v>
                </c:pt>
                <c:pt idx="141">
                  <c:v>1.1025734744942501E-2</c:v>
                </c:pt>
                <c:pt idx="142">
                  <c:v>1.1218028161598045E-2</c:v>
                </c:pt>
                <c:pt idx="143">
                  <c:v>1.4567467135460626E-2</c:v>
                </c:pt>
                <c:pt idx="144">
                  <c:v>1.7264065295767014E-2</c:v>
                </c:pt>
                <c:pt idx="145">
                  <c:v>1.6061177817072083E-2</c:v>
                </c:pt>
                <c:pt idx="146">
                  <c:v>1.7230113181259304E-2</c:v>
                </c:pt>
                <c:pt idx="147">
                  <c:v>1.6635394418306599E-2</c:v>
                </c:pt>
                <c:pt idx="148">
                  <c:v>1.4118935135932079E-2</c:v>
                </c:pt>
                <c:pt idx="149">
                  <c:v>1.1906150853309231E-2</c:v>
                </c:pt>
                <c:pt idx="150">
                  <c:v>1.2421144091036236E-2</c:v>
                </c:pt>
                <c:pt idx="151">
                  <c:v>1.1826120721922994E-2</c:v>
                </c:pt>
                <c:pt idx="152">
                  <c:v>1.2673785403413398E-2</c:v>
                </c:pt>
                <c:pt idx="153">
                  <c:v>1.2646307375995949E-2</c:v>
                </c:pt>
                <c:pt idx="154">
                  <c:v>1.6475130490499524E-2</c:v>
                </c:pt>
                <c:pt idx="155">
                  <c:v>1.1422801075323563E-2</c:v>
                </c:pt>
                <c:pt idx="156">
                  <c:v>9.607547398909096E-3</c:v>
                </c:pt>
                <c:pt idx="157">
                  <c:v>5.7974410811148114E-3</c:v>
                </c:pt>
                <c:pt idx="158">
                  <c:v>4.7769448901017926E-3</c:v>
                </c:pt>
                <c:pt idx="159">
                  <c:v>-2.6984768378996611E-3</c:v>
                </c:pt>
                <c:pt idx="160">
                  <c:v>-7.5565170424872225E-4</c:v>
                </c:pt>
                <c:pt idx="161">
                  <c:v>-2.2772469511725874E-3</c:v>
                </c:pt>
                <c:pt idx="162">
                  <c:v>-3.8178448177843337E-3</c:v>
                </c:pt>
                <c:pt idx="163">
                  <c:v>-4.9452689728596028E-3</c:v>
                </c:pt>
                <c:pt idx="164">
                  <c:v>-8.1160228740541594E-3</c:v>
                </c:pt>
                <c:pt idx="165">
                  <c:v>-3.2785290091571807E-3</c:v>
                </c:pt>
                <c:pt idx="166">
                  <c:v>1.2032751434238849E-4</c:v>
                </c:pt>
                <c:pt idx="167">
                  <c:v>1.1178021399721996E-3</c:v>
                </c:pt>
                <c:pt idx="168">
                  <c:v>1.9389399049566224E-3</c:v>
                </c:pt>
                <c:pt idx="169">
                  <c:v>8.3608629625132186E-3</c:v>
                </c:pt>
                <c:pt idx="170">
                  <c:v>9.7953051890414013E-3</c:v>
                </c:pt>
                <c:pt idx="171">
                  <c:v>1.3707167939978403E-2</c:v>
                </c:pt>
                <c:pt idx="172">
                  <c:v>1.2741150334252363E-2</c:v>
                </c:pt>
                <c:pt idx="173">
                  <c:v>1.3366135201158848E-2</c:v>
                </c:pt>
                <c:pt idx="174">
                  <c:v>6.0176735558985566E-3</c:v>
                </c:pt>
                <c:pt idx="175">
                  <c:v>4.2353182223086646E-3</c:v>
                </c:pt>
                <c:pt idx="176">
                  <c:v>-7.7844263244135521E-4</c:v>
                </c:pt>
                <c:pt idx="177">
                  <c:v>-2.5250811265442874E-3</c:v>
                </c:pt>
                <c:pt idx="178">
                  <c:v>-1.3841950678638527E-3</c:v>
                </c:pt>
                <c:pt idx="179">
                  <c:v>4.4838814428191315E-3</c:v>
                </c:pt>
                <c:pt idx="180">
                  <c:v>5.9965317440202502E-3</c:v>
                </c:pt>
                <c:pt idx="181">
                  <c:v>9.5957599952237512E-3</c:v>
                </c:pt>
                <c:pt idx="182">
                  <c:v>1.3170314821123841E-2</c:v>
                </c:pt>
                <c:pt idx="183">
                  <c:v>1.6533850826604628E-2</c:v>
                </c:pt>
                <c:pt idx="184">
                  <c:v>1.2185930433301979E-2</c:v>
                </c:pt>
                <c:pt idx="185">
                  <c:v>1.0294761820248591E-2</c:v>
                </c:pt>
                <c:pt idx="186">
                  <c:v>3.2724405931648173E-3</c:v>
                </c:pt>
                <c:pt idx="187">
                  <c:v>9.714355335754747E-4</c:v>
                </c:pt>
                <c:pt idx="188">
                  <c:v>2.6992998159957654E-3</c:v>
                </c:pt>
                <c:pt idx="189">
                  <c:v>1.3611620418471774E-3</c:v>
                </c:pt>
                <c:pt idx="190">
                  <c:v>2.4329701154312449E-3</c:v>
                </c:pt>
                <c:pt idx="191">
                  <c:v>-1.3297581742021877E-3</c:v>
                </c:pt>
                <c:pt idx="192">
                  <c:v>-2.9816241516727074E-3</c:v>
                </c:pt>
                <c:pt idx="193">
                  <c:v>3.6494282507282781E-4</c:v>
                </c:pt>
                <c:pt idx="194">
                  <c:v>9.6253851818994159E-3</c:v>
                </c:pt>
                <c:pt idx="195">
                  <c:v>6.9567304996601496E-3</c:v>
                </c:pt>
                <c:pt idx="196">
                  <c:v>8.2361403458794079E-3</c:v>
                </c:pt>
                <c:pt idx="197">
                  <c:v>1.1650381877265695E-2</c:v>
                </c:pt>
                <c:pt idx="198">
                  <c:v>8.6588127473318163E-3</c:v>
                </c:pt>
                <c:pt idx="199">
                  <c:v>1.1304829676274124E-2</c:v>
                </c:pt>
                <c:pt idx="200">
                  <c:v>1.3138413012429365E-2</c:v>
                </c:pt>
                <c:pt idx="201">
                  <c:v>1.3869938358592019E-2</c:v>
                </c:pt>
                <c:pt idx="202">
                  <c:v>1.4048600984097293E-2</c:v>
                </c:pt>
                <c:pt idx="203">
                  <c:v>1.6685907956178254E-2</c:v>
                </c:pt>
                <c:pt idx="204">
                  <c:v>1.9886328424149346E-2</c:v>
                </c:pt>
                <c:pt idx="205">
                  <c:v>2.0092145015879952E-2</c:v>
                </c:pt>
                <c:pt idx="206">
                  <c:v>1.9621751868081634E-2</c:v>
                </c:pt>
                <c:pt idx="207">
                  <c:v>1.7190207454152388E-2</c:v>
                </c:pt>
                <c:pt idx="208">
                  <c:v>1.7796374888927245E-2</c:v>
                </c:pt>
                <c:pt idx="209">
                  <c:v>2.3197678083122036E-2</c:v>
                </c:pt>
                <c:pt idx="210">
                  <c:v>1.8617902603466598E-2</c:v>
                </c:pt>
                <c:pt idx="211">
                  <c:v>1.6370034678553236E-2</c:v>
                </c:pt>
                <c:pt idx="212">
                  <c:v>1.3700423495604463E-2</c:v>
                </c:pt>
                <c:pt idx="213">
                  <c:v>1.1901569494904226E-2</c:v>
                </c:pt>
                <c:pt idx="214">
                  <c:v>1.1615322960013708E-2</c:v>
                </c:pt>
                <c:pt idx="215">
                  <c:v>9.0318597944626169E-3</c:v>
                </c:pt>
                <c:pt idx="216">
                  <c:v>5.8214754576491994E-3</c:v>
                </c:pt>
                <c:pt idx="217">
                  <c:v>4.2201738327030808E-4</c:v>
                </c:pt>
                <c:pt idx="218">
                  <c:v>5.7507524052403825E-3</c:v>
                </c:pt>
                <c:pt idx="219">
                  <c:v>9.9379024197164025E-3</c:v>
                </c:pt>
                <c:pt idx="220">
                  <c:v>7.2709205929080319E-3</c:v>
                </c:pt>
                <c:pt idx="221">
                  <c:v>1.0028527712256111E-2</c:v>
                </c:pt>
                <c:pt idx="222">
                  <c:v>1.3127983543787126E-2</c:v>
                </c:pt>
                <c:pt idx="223">
                  <c:v>1.3788232880046858E-2</c:v>
                </c:pt>
                <c:pt idx="224">
                  <c:v>1.3384160115528019E-2</c:v>
                </c:pt>
                <c:pt idx="225">
                  <c:v>1.5595992800836799E-2</c:v>
                </c:pt>
                <c:pt idx="226">
                  <c:v>1.660804973710784E-2</c:v>
                </c:pt>
                <c:pt idx="227">
                  <c:v>1.6181434673252212E-2</c:v>
                </c:pt>
                <c:pt idx="228">
                  <c:v>1.3532441166860181E-2</c:v>
                </c:pt>
                <c:pt idx="229">
                  <c:v>9.8226839727824991E-3</c:v>
                </c:pt>
                <c:pt idx="230">
                  <c:v>1.1996524038209022E-2</c:v>
                </c:pt>
                <c:pt idx="231">
                  <c:v>8.0843424189375249E-3</c:v>
                </c:pt>
                <c:pt idx="232">
                  <c:v>1.0194662036451184E-2</c:v>
                </c:pt>
                <c:pt idx="233">
                  <c:v>1.5377094630554849E-2</c:v>
                </c:pt>
                <c:pt idx="234">
                  <c:v>1.6118235731238398E-2</c:v>
                </c:pt>
                <c:pt idx="235">
                  <c:v>1.3594512609187604E-2</c:v>
                </c:pt>
                <c:pt idx="236">
                  <c:v>1.7102725330796965E-2</c:v>
                </c:pt>
                <c:pt idx="237">
                  <c:v>1.877995728621859E-2</c:v>
                </c:pt>
                <c:pt idx="238">
                  <c:v>1.5744732385153358E-2</c:v>
                </c:pt>
                <c:pt idx="239">
                  <c:v>1.7513692797635174E-2</c:v>
                </c:pt>
                <c:pt idx="240">
                  <c:v>1.6719567374280441E-2</c:v>
                </c:pt>
                <c:pt idx="241">
                  <c:v>1.7403919459197059E-2</c:v>
                </c:pt>
                <c:pt idx="242">
                  <c:v>1.7391608639131761E-2</c:v>
                </c:pt>
                <c:pt idx="243">
                  <c:v>1.8974002877582039E-2</c:v>
                </c:pt>
                <c:pt idx="244">
                  <c:v>1.8667170569651222E-2</c:v>
                </c:pt>
                <c:pt idx="245">
                  <c:v>2.258171984374515E-2</c:v>
                </c:pt>
                <c:pt idx="246">
                  <c:v>2.8678150920186007E-2</c:v>
                </c:pt>
                <c:pt idx="247">
                  <c:v>2.7859282637346737E-2</c:v>
                </c:pt>
                <c:pt idx="248">
                  <c:v>2.8584172629804699E-2</c:v>
                </c:pt>
                <c:pt idx="249">
                  <c:v>2.7841471332422749E-2</c:v>
                </c:pt>
                <c:pt idx="250">
                  <c:v>2.5847151903964829E-2</c:v>
                </c:pt>
                <c:pt idx="251">
                  <c:v>3.2503856618165891E-2</c:v>
                </c:pt>
                <c:pt idx="252">
                  <c:v>2.9913481042622394E-2</c:v>
                </c:pt>
                <c:pt idx="253">
                  <c:v>2.367326034512279E-2</c:v>
                </c:pt>
                <c:pt idx="254">
                  <c:v>2.1674004465693248E-2</c:v>
                </c:pt>
                <c:pt idx="255">
                  <c:v>2.2325226454649086E-2</c:v>
                </c:pt>
                <c:pt idx="256">
                  <c:v>2.6071153359972683E-2</c:v>
                </c:pt>
                <c:pt idx="257">
                  <c:v>2.308924759976589E-2</c:v>
                </c:pt>
                <c:pt idx="258">
                  <c:v>2.1622346081187741E-2</c:v>
                </c:pt>
                <c:pt idx="259">
                  <c:v>2.6995748915982276E-2</c:v>
                </c:pt>
                <c:pt idx="260">
                  <c:v>3.0252656104478332E-2</c:v>
                </c:pt>
                <c:pt idx="261">
                  <c:v>2.9326117165799095E-2</c:v>
                </c:pt>
                <c:pt idx="262">
                  <c:v>2.8448142329692481E-2</c:v>
                </c:pt>
                <c:pt idx="263">
                  <c:v>2.2980377168657931E-2</c:v>
                </c:pt>
                <c:pt idx="264">
                  <c:v>2.0620598366960067E-2</c:v>
                </c:pt>
                <c:pt idx="265">
                  <c:v>2.255984723828058E-2</c:v>
                </c:pt>
                <c:pt idx="266">
                  <c:v>2.639805209257047E-2</c:v>
                </c:pt>
                <c:pt idx="267">
                  <c:v>3.1140100130725695E-2</c:v>
                </c:pt>
                <c:pt idx="268">
                  <c:v>2.7144590958322307E-2</c:v>
                </c:pt>
                <c:pt idx="269">
                  <c:v>2.1751055740586223E-2</c:v>
                </c:pt>
                <c:pt idx="270">
                  <c:v>2.7929289782408547E-2</c:v>
                </c:pt>
                <c:pt idx="271">
                  <c:v>2.7251820198902609E-2</c:v>
                </c:pt>
                <c:pt idx="272">
                  <c:v>2.5931516197571405E-2</c:v>
                </c:pt>
                <c:pt idx="273">
                  <c:v>2.5007991078390152E-2</c:v>
                </c:pt>
                <c:pt idx="274">
                  <c:v>2.9818462698288868E-2</c:v>
                </c:pt>
                <c:pt idx="275">
                  <c:v>2.9266815236892993E-2</c:v>
                </c:pt>
                <c:pt idx="276">
                  <c:v>2.7738254965413933E-2</c:v>
                </c:pt>
                <c:pt idx="277">
                  <c:v>2.8084686839668246E-2</c:v>
                </c:pt>
                <c:pt idx="278">
                  <c:v>2.93038883219503E-2</c:v>
                </c:pt>
                <c:pt idx="279">
                  <c:v>2.5278971183839684E-2</c:v>
                </c:pt>
                <c:pt idx="280">
                  <c:v>2.7721595786091367E-2</c:v>
                </c:pt>
                <c:pt idx="281">
                  <c:v>2.8144951619118463E-2</c:v>
                </c:pt>
                <c:pt idx="282">
                  <c:v>2.9245742105726873E-2</c:v>
                </c:pt>
                <c:pt idx="283">
                  <c:v>3.1870770963966656E-2</c:v>
                </c:pt>
                <c:pt idx="284">
                  <c:v>3.1301778582631584E-2</c:v>
                </c:pt>
                <c:pt idx="285">
                  <c:v>3.3469717671514514E-2</c:v>
                </c:pt>
                <c:pt idx="286">
                  <c:v>2.9455598838544539E-2</c:v>
                </c:pt>
                <c:pt idx="287">
                  <c:v>3.2661179986206511E-2</c:v>
                </c:pt>
                <c:pt idx="288">
                  <c:v>3.201481267229471E-2</c:v>
                </c:pt>
                <c:pt idx="289">
                  <c:v>2.7996848370015016E-2</c:v>
                </c:pt>
                <c:pt idx="290">
                  <c:v>2.484022589175432E-2</c:v>
                </c:pt>
                <c:pt idx="291">
                  <c:v>2.203332658548263E-2</c:v>
                </c:pt>
                <c:pt idx="292">
                  <c:v>2.1881444219231137E-2</c:v>
                </c:pt>
                <c:pt idx="293">
                  <c:v>1.8910575645300159E-2</c:v>
                </c:pt>
                <c:pt idx="294">
                  <c:v>1.78519529015525E-2</c:v>
                </c:pt>
                <c:pt idx="295">
                  <c:v>2.5532894163772343E-2</c:v>
                </c:pt>
                <c:pt idx="296">
                  <c:v>2.3144283627930105E-2</c:v>
                </c:pt>
                <c:pt idx="297">
                  <c:v>2.5382442971109937E-2</c:v>
                </c:pt>
                <c:pt idx="298">
                  <c:v>2.0834565102550828E-2</c:v>
                </c:pt>
                <c:pt idx="299">
                  <c:v>2.142317543073612E-2</c:v>
                </c:pt>
                <c:pt idx="300">
                  <c:v>2.1172903536659758E-2</c:v>
                </c:pt>
                <c:pt idx="301">
                  <c:v>2.1622011521528459E-2</c:v>
                </c:pt>
                <c:pt idx="302">
                  <c:v>2.0255056752205493E-2</c:v>
                </c:pt>
                <c:pt idx="303">
                  <c:v>2.45969122140943E-2</c:v>
                </c:pt>
                <c:pt idx="304">
                  <c:v>1.9877907128230163E-2</c:v>
                </c:pt>
                <c:pt idx="305">
                  <c:v>2.3358768815795104E-2</c:v>
                </c:pt>
                <c:pt idx="306">
                  <c:v>2.3433198234369165E-2</c:v>
                </c:pt>
                <c:pt idx="307">
                  <c:v>2.2459958116261745E-2</c:v>
                </c:pt>
                <c:pt idx="308">
                  <c:v>2.4387647171258298E-2</c:v>
                </c:pt>
                <c:pt idx="309">
                  <c:v>2.1549358408831279E-2</c:v>
                </c:pt>
                <c:pt idx="310">
                  <c:v>2.2458059472617815E-2</c:v>
                </c:pt>
                <c:pt idx="311">
                  <c:v>1.8692252371166951E-2</c:v>
                </c:pt>
                <c:pt idx="312">
                  <c:v>2.0965232078013433E-2</c:v>
                </c:pt>
                <c:pt idx="313">
                  <c:v>2.0656179448127272E-2</c:v>
                </c:pt>
                <c:pt idx="314">
                  <c:v>2.0688728928265027E-2</c:v>
                </c:pt>
                <c:pt idx="315">
                  <c:v>1.7763613107592391E-2</c:v>
                </c:pt>
                <c:pt idx="316">
                  <c:v>1.7998854395665873E-2</c:v>
                </c:pt>
                <c:pt idx="317">
                  <c:v>2.2065566756935152E-2</c:v>
                </c:pt>
                <c:pt idx="318">
                  <c:v>1.7616650536545087E-2</c:v>
                </c:pt>
                <c:pt idx="319">
                  <c:v>1.1369723730395357E-2</c:v>
                </c:pt>
                <c:pt idx="320">
                  <c:v>5.7154317014678066E-3</c:v>
                </c:pt>
                <c:pt idx="321">
                  <c:v>3.4668886641567149E-3</c:v>
                </c:pt>
                <c:pt idx="322">
                  <c:v>5.9594384970353756E-3</c:v>
                </c:pt>
                <c:pt idx="323">
                  <c:v>-9.9723536825592832E-4</c:v>
                </c:pt>
                <c:pt idx="324">
                  <c:v>-1.7609212223019342E-3</c:v>
                </c:pt>
                <c:pt idx="325">
                  <c:v>9.451409211958129E-4</c:v>
                </c:pt>
                <c:pt idx="326">
                  <c:v>-3.553501219049958E-3</c:v>
                </c:pt>
                <c:pt idx="327">
                  <c:v>-7.5259529117448661E-3</c:v>
                </c:pt>
                <c:pt idx="328">
                  <c:v>-5.7378345331529634E-3</c:v>
                </c:pt>
                <c:pt idx="329">
                  <c:v>-4.7023069422472167E-3</c:v>
                </c:pt>
                <c:pt idx="330">
                  <c:v>-1.4652126134278485E-3</c:v>
                </c:pt>
                <c:pt idx="331">
                  <c:v>3.1996065591616092E-3</c:v>
                </c:pt>
                <c:pt idx="332">
                  <c:v>4.7277405503694334E-3</c:v>
                </c:pt>
                <c:pt idx="333">
                  <c:v>3.914458366454791E-3</c:v>
                </c:pt>
                <c:pt idx="334">
                  <c:v>4.6347920619526648E-3</c:v>
                </c:pt>
                <c:pt idx="335">
                  <c:v>6.4314123252980464E-3</c:v>
                </c:pt>
                <c:pt idx="336">
                  <c:v>8.7779545004825349E-3</c:v>
                </c:pt>
                <c:pt idx="337">
                  <c:v>8.9715632715655323E-3</c:v>
                </c:pt>
                <c:pt idx="338">
                  <c:v>1.0584953473924387E-2</c:v>
                </c:pt>
                <c:pt idx="339">
                  <c:v>1.3013638679877499E-2</c:v>
                </c:pt>
                <c:pt idx="340">
                  <c:v>8.0914160729420107E-3</c:v>
                </c:pt>
                <c:pt idx="341">
                  <c:v>3.4400535201080471E-3</c:v>
                </c:pt>
                <c:pt idx="342">
                  <c:v>3.3539143383082234E-3</c:v>
                </c:pt>
                <c:pt idx="343">
                  <c:v>2.3370703468777168E-3</c:v>
                </c:pt>
                <c:pt idx="344">
                  <c:v>2.6098666951630805E-3</c:v>
                </c:pt>
                <c:pt idx="345">
                  <c:v>-3.5658268734919106E-3</c:v>
                </c:pt>
                <c:pt idx="346">
                  <c:v>-1.6921773392466451E-3</c:v>
                </c:pt>
                <c:pt idx="347">
                  <c:v>-4.7835341296015195E-3</c:v>
                </c:pt>
                <c:pt idx="348">
                  <c:v>-5.6502389218636836E-3</c:v>
                </c:pt>
                <c:pt idx="349">
                  <c:v>-5.0812400385318712E-3</c:v>
                </c:pt>
                <c:pt idx="350">
                  <c:v>-7.0670382357446073E-3</c:v>
                </c:pt>
                <c:pt idx="351">
                  <c:v>-1.259655198409094E-3</c:v>
                </c:pt>
                <c:pt idx="352">
                  <c:v>-2.1677572009385143E-3</c:v>
                </c:pt>
                <c:pt idx="353">
                  <c:v>-7.1709133986900299E-3</c:v>
                </c:pt>
                <c:pt idx="354">
                  <c:v>-1.4005074180697644E-2</c:v>
                </c:pt>
                <c:pt idx="355">
                  <c:v>-1.338135536939041E-2</c:v>
                </c:pt>
                <c:pt idx="356">
                  <c:v>-1.40003839557361E-2</c:v>
                </c:pt>
                <c:pt idx="357">
                  <c:v>-1.4404462209411415E-2</c:v>
                </c:pt>
                <c:pt idx="358">
                  <c:v>-1.5820769769112349E-2</c:v>
                </c:pt>
                <c:pt idx="359">
                  <c:v>-1.2259079738531013E-2</c:v>
                </c:pt>
                <c:pt idx="360">
                  <c:v>-1.4071231669767179E-2</c:v>
                </c:pt>
                <c:pt idx="361">
                  <c:v>-1.1096452676939813E-2</c:v>
                </c:pt>
                <c:pt idx="362">
                  <c:v>-1.5773251326795131E-2</c:v>
                </c:pt>
                <c:pt idx="363">
                  <c:v>-1.2311302322731615E-2</c:v>
                </c:pt>
                <c:pt idx="364">
                  <c:v>-1.0579344170739177E-2</c:v>
                </c:pt>
                <c:pt idx="365">
                  <c:v>-1.1134939603547713E-2</c:v>
                </c:pt>
                <c:pt idx="366">
                  <c:v>-1.3119020080128774E-2</c:v>
                </c:pt>
                <c:pt idx="367">
                  <c:v>-9.187380888430987E-3</c:v>
                </c:pt>
                <c:pt idx="368">
                  <c:v>-1.0916649640902642E-2</c:v>
                </c:pt>
                <c:pt idx="369">
                  <c:v>-4.6542856303372062E-3</c:v>
                </c:pt>
                <c:pt idx="370">
                  <c:v>-2.4745977020478763E-3</c:v>
                </c:pt>
                <c:pt idx="371">
                  <c:v>-1.7698889657773208E-4</c:v>
                </c:pt>
                <c:pt idx="372">
                  <c:v>9.8472821545029132E-4</c:v>
                </c:pt>
                <c:pt idx="373">
                  <c:v>-3.454006922637815E-3</c:v>
                </c:pt>
                <c:pt idx="374">
                  <c:v>-7.3885130097400345E-3</c:v>
                </c:pt>
                <c:pt idx="375">
                  <c:v>-4.2645597650680491E-3</c:v>
                </c:pt>
                <c:pt idx="376">
                  <c:v>-8.4175206397073734E-3</c:v>
                </c:pt>
                <c:pt idx="377">
                  <c:v>-1.0971172372227823E-2</c:v>
                </c:pt>
                <c:pt idx="378">
                  <c:v>-1.0732168063226095E-2</c:v>
                </c:pt>
                <c:pt idx="379">
                  <c:v>-8.8415419161801782E-3</c:v>
                </c:pt>
                <c:pt idx="380">
                  <c:v>-7.7359544721332593E-3</c:v>
                </c:pt>
                <c:pt idx="381">
                  <c:v>-8.1265029487232378E-3</c:v>
                </c:pt>
                <c:pt idx="382">
                  <c:v>-6.7151304777208452E-3</c:v>
                </c:pt>
                <c:pt idx="383">
                  <c:v>-8.5836502155351106E-3</c:v>
                </c:pt>
                <c:pt idx="384">
                  <c:v>-9.7866249774663898E-3</c:v>
                </c:pt>
                <c:pt idx="385">
                  <c:v>-1.2328158492400716E-2</c:v>
                </c:pt>
                <c:pt idx="386">
                  <c:v>-1.4971715365621856E-2</c:v>
                </c:pt>
                <c:pt idx="387">
                  <c:v>-1.0288510095670526E-2</c:v>
                </c:pt>
                <c:pt idx="388">
                  <c:v>-7.8003388831053453E-3</c:v>
                </c:pt>
                <c:pt idx="389">
                  <c:v>-4.572499882101828E-3</c:v>
                </c:pt>
                <c:pt idx="390">
                  <c:v>-4.987452493946656E-4</c:v>
                </c:pt>
                <c:pt idx="391">
                  <c:v>1.2146267654979848E-3</c:v>
                </c:pt>
                <c:pt idx="392">
                  <c:v>-1.7479042535705164E-3</c:v>
                </c:pt>
                <c:pt idx="393">
                  <c:v>-4.4952254744474243E-3</c:v>
                </c:pt>
                <c:pt idx="394">
                  <c:v>-3.1803570249970253E-3</c:v>
                </c:pt>
                <c:pt idx="395">
                  <c:v>-7.2604996901728591E-3</c:v>
                </c:pt>
                <c:pt idx="396">
                  <c:v>-3.6945874508887665E-3</c:v>
                </c:pt>
                <c:pt idx="397">
                  <c:v>5.2189312683237734E-4</c:v>
                </c:pt>
                <c:pt idx="398">
                  <c:v>3.5604312409492768E-3</c:v>
                </c:pt>
                <c:pt idx="399">
                  <c:v>-1.7523183107167077E-4</c:v>
                </c:pt>
                <c:pt idx="400">
                  <c:v>4.4841389786780383E-3</c:v>
                </c:pt>
                <c:pt idx="401">
                  <c:v>5.6623320165573145E-3</c:v>
                </c:pt>
                <c:pt idx="402">
                  <c:v>5.1607474626317613E-3</c:v>
                </c:pt>
                <c:pt idx="403">
                  <c:v>8.989058680290412E-4</c:v>
                </c:pt>
                <c:pt idx="404">
                  <c:v>1.0008285259544602E-3</c:v>
                </c:pt>
                <c:pt idx="405">
                  <c:v>-4.1640266033592587E-3</c:v>
                </c:pt>
                <c:pt idx="406">
                  <c:v>-5.2946741485135618E-3</c:v>
                </c:pt>
                <c:pt idx="407">
                  <c:v>-6.5481931373394808E-3</c:v>
                </c:pt>
                <c:pt idx="408">
                  <c:v>-4.5970189133599064E-3</c:v>
                </c:pt>
                <c:pt idx="409">
                  <c:v>-8.9206970441781681E-3</c:v>
                </c:pt>
                <c:pt idx="410">
                  <c:v>-2.800058030494091E-3</c:v>
                </c:pt>
                <c:pt idx="411">
                  <c:v>-1.4604573107631562E-3</c:v>
                </c:pt>
                <c:pt idx="412">
                  <c:v>-4.5934343422865463E-4</c:v>
                </c:pt>
                <c:pt idx="413">
                  <c:v>6.2452063374068899E-4</c:v>
                </c:pt>
                <c:pt idx="414">
                  <c:v>9.4802292803148063E-4</c:v>
                </c:pt>
                <c:pt idx="415">
                  <c:v>-4.1212890806555467E-3</c:v>
                </c:pt>
                <c:pt idx="416">
                  <c:v>-5.3311992314569977E-3</c:v>
                </c:pt>
                <c:pt idx="417">
                  <c:v>-7.1193961418052013E-3</c:v>
                </c:pt>
                <c:pt idx="418">
                  <c:v>-1.0846876214981283E-2</c:v>
                </c:pt>
                <c:pt idx="419">
                  <c:v>-1.175775644688434E-2</c:v>
                </c:pt>
                <c:pt idx="420">
                  <c:v>-1.4566655098604187E-2</c:v>
                </c:pt>
                <c:pt idx="421">
                  <c:v>-1.1638947106546064E-2</c:v>
                </c:pt>
                <c:pt idx="422">
                  <c:v>-1.3306615842968585E-2</c:v>
                </c:pt>
                <c:pt idx="423">
                  <c:v>-7.238199410576256E-3</c:v>
                </c:pt>
                <c:pt idx="424">
                  <c:v>-6.9513425322289641E-3</c:v>
                </c:pt>
                <c:pt idx="425">
                  <c:v>-5.3054524192478452E-3</c:v>
                </c:pt>
                <c:pt idx="426">
                  <c:v>-9.4363721715165841E-3</c:v>
                </c:pt>
                <c:pt idx="427">
                  <c:v>-1.3334881506782536E-2</c:v>
                </c:pt>
                <c:pt idx="428">
                  <c:v>-1.1539226388894477E-2</c:v>
                </c:pt>
                <c:pt idx="429">
                  <c:v>-1.5222526378363105E-2</c:v>
                </c:pt>
                <c:pt idx="430">
                  <c:v>-1.9479122078529126E-2</c:v>
                </c:pt>
                <c:pt idx="431">
                  <c:v>-1.577522971406415E-2</c:v>
                </c:pt>
                <c:pt idx="432">
                  <c:v>-1.7056671693982655E-2</c:v>
                </c:pt>
                <c:pt idx="433">
                  <c:v>-1.7707201028971244E-2</c:v>
                </c:pt>
                <c:pt idx="434">
                  <c:v>-1.6801551278197699E-2</c:v>
                </c:pt>
                <c:pt idx="435">
                  <c:v>-1.2576924829240416E-2</c:v>
                </c:pt>
                <c:pt idx="436">
                  <c:v>-1.6870149011958942E-2</c:v>
                </c:pt>
                <c:pt idx="437">
                  <c:v>-1.4312285880141213E-2</c:v>
                </c:pt>
                <c:pt idx="438">
                  <c:v>-1.3978395772878049E-2</c:v>
                </c:pt>
                <c:pt idx="439">
                  <c:v>-1.2295077759749928E-2</c:v>
                </c:pt>
                <c:pt idx="440">
                  <c:v>-1.1917476361430904E-2</c:v>
                </c:pt>
                <c:pt idx="441">
                  <c:v>-1.3656510880007191E-2</c:v>
                </c:pt>
                <c:pt idx="442">
                  <c:v>-1.0584233842289344E-2</c:v>
                </c:pt>
                <c:pt idx="443">
                  <c:v>-8.9234595856607143E-3</c:v>
                </c:pt>
                <c:pt idx="444">
                  <c:v>-7.3096109087602001E-3</c:v>
                </c:pt>
                <c:pt idx="445">
                  <c:v>-7.5110705858923051E-3</c:v>
                </c:pt>
                <c:pt idx="446">
                  <c:v>-5.1207739683226134E-3</c:v>
                </c:pt>
                <c:pt idx="447">
                  <c:v>-6.2601205039443681E-3</c:v>
                </c:pt>
                <c:pt idx="448">
                  <c:v>-9.9013518069287036E-3</c:v>
                </c:pt>
                <c:pt idx="449">
                  <c:v>-1.0652521926913091E-2</c:v>
                </c:pt>
                <c:pt idx="450">
                  <c:v>-1.2886513367629937E-2</c:v>
                </c:pt>
                <c:pt idx="451">
                  <c:v>-1.6877745928158102E-2</c:v>
                </c:pt>
                <c:pt idx="452">
                  <c:v>-2.1269785130192488E-2</c:v>
                </c:pt>
                <c:pt idx="453">
                  <c:v>-1.9762989390540629E-2</c:v>
                </c:pt>
                <c:pt idx="454">
                  <c:v>-1.8395080178139393E-2</c:v>
                </c:pt>
                <c:pt idx="455">
                  <c:v>-2.0374358743437911E-2</c:v>
                </c:pt>
                <c:pt idx="456">
                  <c:v>-1.8741947927853185E-2</c:v>
                </c:pt>
                <c:pt idx="457">
                  <c:v>-2.0350193258292272E-2</c:v>
                </c:pt>
                <c:pt idx="458">
                  <c:v>-2.1106055661656586E-2</c:v>
                </c:pt>
                <c:pt idx="459">
                  <c:v>-2.1064289706748191E-2</c:v>
                </c:pt>
                <c:pt idx="460">
                  <c:v>-1.7059989848895993E-2</c:v>
                </c:pt>
                <c:pt idx="461">
                  <c:v>-1.7055129225884286E-2</c:v>
                </c:pt>
                <c:pt idx="462">
                  <c:v>-2.1674374728698993E-2</c:v>
                </c:pt>
                <c:pt idx="463">
                  <c:v>-2.9345137029491153E-2</c:v>
                </c:pt>
                <c:pt idx="464">
                  <c:v>-2.7858698695156177E-2</c:v>
                </c:pt>
                <c:pt idx="465">
                  <c:v>-3.2673844282031302E-2</c:v>
                </c:pt>
                <c:pt idx="466">
                  <c:v>-3.0359855768214795E-2</c:v>
                </c:pt>
                <c:pt idx="467">
                  <c:v>-2.7113148153413195E-2</c:v>
                </c:pt>
                <c:pt idx="468">
                  <c:v>-2.9993707345304529E-2</c:v>
                </c:pt>
                <c:pt idx="469">
                  <c:v>-3.3616686757275721E-2</c:v>
                </c:pt>
                <c:pt idx="470">
                  <c:v>-3.5621130951530716E-2</c:v>
                </c:pt>
                <c:pt idx="471">
                  <c:v>-4.0007306565285422E-2</c:v>
                </c:pt>
                <c:pt idx="472">
                  <c:v>-3.9243527675429345E-2</c:v>
                </c:pt>
                <c:pt idx="473">
                  <c:v>-4.09127948610307E-2</c:v>
                </c:pt>
                <c:pt idx="474">
                  <c:v>-3.722147903409613E-2</c:v>
                </c:pt>
                <c:pt idx="475">
                  <c:v>-3.7945706114329902E-2</c:v>
                </c:pt>
                <c:pt idx="476">
                  <c:v>-3.898134660607025E-2</c:v>
                </c:pt>
                <c:pt idx="477">
                  <c:v>-3.9950806968017699E-2</c:v>
                </c:pt>
                <c:pt idx="478">
                  <c:v>-4.5299292451354341E-2</c:v>
                </c:pt>
                <c:pt idx="479">
                  <c:v>-4.3206566758363513E-2</c:v>
                </c:pt>
                <c:pt idx="480">
                  <c:v>-3.6225438251270434E-2</c:v>
                </c:pt>
                <c:pt idx="481">
                  <c:v>-3.6298232563613551E-2</c:v>
                </c:pt>
                <c:pt idx="482">
                  <c:v>-3.7589281987073016E-2</c:v>
                </c:pt>
                <c:pt idx="483">
                  <c:v>-3.2912748687887905E-2</c:v>
                </c:pt>
                <c:pt idx="484">
                  <c:v>-3.091858029983614E-2</c:v>
                </c:pt>
                <c:pt idx="485">
                  <c:v>-2.6673731145466804E-2</c:v>
                </c:pt>
                <c:pt idx="486">
                  <c:v>-2.699968178770985E-2</c:v>
                </c:pt>
                <c:pt idx="487">
                  <c:v>-2.6852318263494778E-2</c:v>
                </c:pt>
                <c:pt idx="488">
                  <c:v>-2.2884949043018375E-2</c:v>
                </c:pt>
                <c:pt idx="489">
                  <c:v>-1.6927937619015166E-2</c:v>
                </c:pt>
                <c:pt idx="490">
                  <c:v>-1.5660999152694036E-2</c:v>
                </c:pt>
                <c:pt idx="491">
                  <c:v>-1.3896875060919699E-2</c:v>
                </c:pt>
                <c:pt idx="492">
                  <c:v>-1.0209330317833745E-2</c:v>
                </c:pt>
                <c:pt idx="493">
                  <c:v>-1.0875445129700725E-2</c:v>
                </c:pt>
                <c:pt idx="494">
                  <c:v>-7.3080818518089638E-3</c:v>
                </c:pt>
                <c:pt idx="495">
                  <c:v>-2.7294216675723994E-3</c:v>
                </c:pt>
                <c:pt idx="496">
                  <c:v>-4.9363855985173274E-3</c:v>
                </c:pt>
                <c:pt idx="497">
                  <c:v>-5.3781025352535681E-3</c:v>
                </c:pt>
                <c:pt idx="498">
                  <c:v>-2.0620086751941156E-3</c:v>
                </c:pt>
                <c:pt idx="499">
                  <c:v>-6.2622440893059829E-3</c:v>
                </c:pt>
                <c:pt idx="500">
                  <c:v>-5.8998549911245734E-3</c:v>
                </c:pt>
                <c:pt idx="501">
                  <c:v>-5.8587889502899693E-3</c:v>
                </c:pt>
                <c:pt idx="502">
                  <c:v>3.5612972859624947E-4</c:v>
                </c:pt>
                <c:pt idx="503">
                  <c:v>-1.3944869323115798E-3</c:v>
                </c:pt>
                <c:pt idx="504">
                  <c:v>-8.2692010025464224E-4</c:v>
                </c:pt>
                <c:pt idx="505">
                  <c:v>-1.8614840718654754E-3</c:v>
                </c:pt>
                <c:pt idx="506">
                  <c:v>-5.708051775375856E-3</c:v>
                </c:pt>
                <c:pt idx="507">
                  <c:v>-6.7188900822280195E-3</c:v>
                </c:pt>
                <c:pt idx="508">
                  <c:v>-8.8560207058431626E-3</c:v>
                </c:pt>
                <c:pt idx="509">
                  <c:v>-1.4047171106842001E-2</c:v>
                </c:pt>
                <c:pt idx="510">
                  <c:v>-1.2993496635512938E-2</c:v>
                </c:pt>
                <c:pt idx="511">
                  <c:v>-1.3441427501466582E-2</c:v>
                </c:pt>
                <c:pt idx="512">
                  <c:v>-1.1433036389162512E-2</c:v>
                </c:pt>
                <c:pt idx="513">
                  <c:v>-1.7017068589216634E-2</c:v>
                </c:pt>
                <c:pt idx="514">
                  <c:v>-1.9156274588761717E-2</c:v>
                </c:pt>
                <c:pt idx="515">
                  <c:v>-2.0107655465910406E-2</c:v>
                </c:pt>
                <c:pt idx="516">
                  <c:v>-2.4941260086913886E-2</c:v>
                </c:pt>
                <c:pt idx="517">
                  <c:v>-2.470601882298696E-2</c:v>
                </c:pt>
                <c:pt idx="518">
                  <c:v>-2.2906933881140751E-2</c:v>
                </c:pt>
                <c:pt idx="519">
                  <c:v>-2.2850131774801604E-2</c:v>
                </c:pt>
                <c:pt idx="520">
                  <c:v>-2.3221294366132048E-2</c:v>
                </c:pt>
                <c:pt idx="521">
                  <c:v>-2.3398257275245898E-2</c:v>
                </c:pt>
                <c:pt idx="522">
                  <c:v>-2.1872972426096399E-2</c:v>
                </c:pt>
                <c:pt idx="523">
                  <c:v>-1.6141593408131621E-2</c:v>
                </c:pt>
                <c:pt idx="524">
                  <c:v>-1.2121569187175715E-2</c:v>
                </c:pt>
                <c:pt idx="525">
                  <c:v>-1.2262727318915688E-2</c:v>
                </c:pt>
                <c:pt idx="526">
                  <c:v>-1.1860291771391727E-2</c:v>
                </c:pt>
                <c:pt idx="527">
                  <c:v>-1.4927202957539697E-2</c:v>
                </c:pt>
                <c:pt idx="528">
                  <c:v>-1.9398553410231938E-2</c:v>
                </c:pt>
                <c:pt idx="529">
                  <c:v>-1.8517748461847935E-2</c:v>
                </c:pt>
                <c:pt idx="530">
                  <c:v>-1.7636376972209673E-2</c:v>
                </c:pt>
                <c:pt idx="531">
                  <c:v>-2.1630734774576783E-2</c:v>
                </c:pt>
                <c:pt idx="532">
                  <c:v>-2.3193440925315535E-2</c:v>
                </c:pt>
                <c:pt idx="533">
                  <c:v>-2.0688329304485727E-2</c:v>
                </c:pt>
                <c:pt idx="534">
                  <c:v>-2.23704709239449E-2</c:v>
                </c:pt>
                <c:pt idx="535">
                  <c:v>-2.5523677728084129E-2</c:v>
                </c:pt>
                <c:pt idx="536">
                  <c:v>-2.8168719483620836E-2</c:v>
                </c:pt>
                <c:pt idx="537">
                  <c:v>-2.3985847716571803E-2</c:v>
                </c:pt>
                <c:pt idx="538">
                  <c:v>-2.0767645394347761E-2</c:v>
                </c:pt>
                <c:pt idx="539">
                  <c:v>-2.3092491657561123E-2</c:v>
                </c:pt>
                <c:pt idx="540">
                  <c:v>-2.1616254349774069E-2</c:v>
                </c:pt>
                <c:pt idx="541">
                  <c:v>-2.5080267830828295E-2</c:v>
                </c:pt>
                <c:pt idx="542">
                  <c:v>-2.6686769530830101E-2</c:v>
                </c:pt>
                <c:pt idx="543">
                  <c:v>-2.6288925927536441E-2</c:v>
                </c:pt>
                <c:pt idx="544">
                  <c:v>-3.2743975391085881E-2</c:v>
                </c:pt>
                <c:pt idx="545">
                  <c:v>-3.6603881029682581E-2</c:v>
                </c:pt>
                <c:pt idx="546">
                  <c:v>-3.9767622621916597E-2</c:v>
                </c:pt>
                <c:pt idx="547">
                  <c:v>-3.8319702934115504E-2</c:v>
                </c:pt>
                <c:pt idx="548">
                  <c:v>-3.3244350261210476E-2</c:v>
                </c:pt>
                <c:pt idx="549">
                  <c:v>-3.6382237239452615E-2</c:v>
                </c:pt>
                <c:pt idx="550">
                  <c:v>-3.7493688394804076E-2</c:v>
                </c:pt>
                <c:pt idx="551">
                  <c:v>-3.3424826244594974E-2</c:v>
                </c:pt>
                <c:pt idx="552">
                  <c:v>-4.0470719418434255E-2</c:v>
                </c:pt>
                <c:pt idx="553">
                  <c:v>-3.8668719439727203E-2</c:v>
                </c:pt>
                <c:pt idx="554">
                  <c:v>-3.8177559263957557E-2</c:v>
                </c:pt>
                <c:pt idx="555">
                  <c:v>-4.0760485775596121E-2</c:v>
                </c:pt>
                <c:pt idx="556">
                  <c:v>-4.7858574934583571E-2</c:v>
                </c:pt>
                <c:pt idx="557">
                  <c:v>-4.5474052441388892E-2</c:v>
                </c:pt>
                <c:pt idx="558">
                  <c:v>-4.0779359721872327E-2</c:v>
                </c:pt>
                <c:pt idx="559">
                  <c:v>-4.1364151715573311E-2</c:v>
                </c:pt>
                <c:pt idx="560">
                  <c:v>-4.0504560964246636E-2</c:v>
                </c:pt>
                <c:pt idx="561">
                  <c:v>-4.1728023294985886E-2</c:v>
                </c:pt>
                <c:pt idx="562">
                  <c:v>-4.1153608076079526E-2</c:v>
                </c:pt>
                <c:pt idx="563">
                  <c:v>-4.1545663424258833E-2</c:v>
                </c:pt>
                <c:pt idx="564">
                  <c:v>-3.7715127128916039E-2</c:v>
                </c:pt>
                <c:pt idx="565">
                  <c:v>-3.9661318115061052E-2</c:v>
                </c:pt>
                <c:pt idx="566">
                  <c:v>-4.4626727123435128E-2</c:v>
                </c:pt>
                <c:pt idx="567">
                  <c:v>-4.585445730923858E-2</c:v>
                </c:pt>
                <c:pt idx="568">
                  <c:v>-4.7447334638734705E-2</c:v>
                </c:pt>
                <c:pt idx="569">
                  <c:v>-4.8948987625853806E-2</c:v>
                </c:pt>
                <c:pt idx="570">
                  <c:v>-5.3335728177849137E-2</c:v>
                </c:pt>
                <c:pt idx="571">
                  <c:v>-5.7365106059549836E-2</c:v>
                </c:pt>
                <c:pt idx="572">
                  <c:v>-6.5147862766490192E-2</c:v>
                </c:pt>
                <c:pt idx="573">
                  <c:v>-6.7542574870854258E-2</c:v>
                </c:pt>
                <c:pt idx="574">
                  <c:v>-6.3800741461082305E-2</c:v>
                </c:pt>
                <c:pt idx="575">
                  <c:v>-6.5577820992642297E-2</c:v>
                </c:pt>
                <c:pt idx="576">
                  <c:v>-7.2110945381049535E-2</c:v>
                </c:pt>
                <c:pt idx="577">
                  <c:v>-7.0718010628665923E-2</c:v>
                </c:pt>
                <c:pt idx="578">
                  <c:v>-7.1180185266342205E-2</c:v>
                </c:pt>
                <c:pt idx="579">
                  <c:v>-6.3074292072693508E-2</c:v>
                </c:pt>
                <c:pt idx="580">
                  <c:v>-6.3057264257190007E-2</c:v>
                </c:pt>
                <c:pt idx="581">
                  <c:v>-5.8840521282289976E-2</c:v>
                </c:pt>
                <c:pt idx="582">
                  <c:v>-5.7822542232829316E-2</c:v>
                </c:pt>
                <c:pt idx="583">
                  <c:v>-5.8816052249462569E-2</c:v>
                </c:pt>
                <c:pt idx="584">
                  <c:v>-5.8629617996159525E-2</c:v>
                </c:pt>
                <c:pt idx="585">
                  <c:v>-5.6437606227893483E-2</c:v>
                </c:pt>
                <c:pt idx="586">
                  <c:v>-6.2507250913658802E-2</c:v>
                </c:pt>
                <c:pt idx="587">
                  <c:v>-5.9744831167969581E-2</c:v>
                </c:pt>
                <c:pt idx="588">
                  <c:v>-5.8606937468092715E-2</c:v>
                </c:pt>
                <c:pt idx="589">
                  <c:v>-5.7607320069421007E-2</c:v>
                </c:pt>
                <c:pt idx="590">
                  <c:v>-6.2348983469995567E-2</c:v>
                </c:pt>
                <c:pt idx="591">
                  <c:v>-5.8845270639343847E-2</c:v>
                </c:pt>
                <c:pt idx="592">
                  <c:v>-6.0676687444754324E-2</c:v>
                </c:pt>
                <c:pt idx="593">
                  <c:v>-5.6347761750814504E-2</c:v>
                </c:pt>
                <c:pt idx="594">
                  <c:v>-5.573607668124627E-2</c:v>
                </c:pt>
                <c:pt idx="595">
                  <c:v>-5.1058036796954767E-2</c:v>
                </c:pt>
                <c:pt idx="596">
                  <c:v>-4.9297334633830271E-2</c:v>
                </c:pt>
                <c:pt idx="597">
                  <c:v>-5.4512717415017606E-2</c:v>
                </c:pt>
                <c:pt idx="598">
                  <c:v>-5.6900182840875543E-2</c:v>
                </c:pt>
                <c:pt idx="599">
                  <c:v>-5.6650198518928441E-2</c:v>
                </c:pt>
                <c:pt idx="600">
                  <c:v>-5.0607484276199273E-2</c:v>
                </c:pt>
                <c:pt idx="601">
                  <c:v>-4.6755892693877907E-2</c:v>
                </c:pt>
                <c:pt idx="602">
                  <c:v>-4.4333931725455147E-2</c:v>
                </c:pt>
                <c:pt idx="603">
                  <c:v>-4.1645044572537052E-2</c:v>
                </c:pt>
                <c:pt idx="604">
                  <c:v>-4.5597259701398551E-2</c:v>
                </c:pt>
                <c:pt idx="605">
                  <c:v>-4.4177848182260053E-2</c:v>
                </c:pt>
                <c:pt idx="606">
                  <c:v>-4.1873006275316899E-2</c:v>
                </c:pt>
                <c:pt idx="607">
                  <c:v>-3.9529338933641356E-2</c:v>
                </c:pt>
                <c:pt idx="608">
                  <c:v>-4.1746131629995312E-2</c:v>
                </c:pt>
                <c:pt idx="609">
                  <c:v>-3.9886872317215806E-2</c:v>
                </c:pt>
                <c:pt idx="610">
                  <c:v>-4.4983569094830596E-2</c:v>
                </c:pt>
                <c:pt idx="611">
                  <c:v>-4.6580605920777569E-2</c:v>
                </c:pt>
                <c:pt idx="612">
                  <c:v>-4.4016058488646204E-2</c:v>
                </c:pt>
                <c:pt idx="613">
                  <c:v>-4.5189348990005533E-2</c:v>
                </c:pt>
                <c:pt idx="614">
                  <c:v>-3.9241190964009368E-2</c:v>
                </c:pt>
                <c:pt idx="615">
                  <c:v>-4.1916303952081048E-2</c:v>
                </c:pt>
                <c:pt idx="616">
                  <c:v>-3.6772771771914903E-2</c:v>
                </c:pt>
                <c:pt idx="617">
                  <c:v>-3.7691659081381675E-2</c:v>
                </c:pt>
                <c:pt idx="618">
                  <c:v>-4.0432381907786002E-2</c:v>
                </c:pt>
                <c:pt idx="619">
                  <c:v>-4.1591176667214715E-2</c:v>
                </c:pt>
                <c:pt idx="620">
                  <c:v>-4.3598773772884417E-2</c:v>
                </c:pt>
                <c:pt idx="621">
                  <c:v>-4.7978028045070814E-2</c:v>
                </c:pt>
                <c:pt idx="622">
                  <c:v>-4.6524147224019742E-2</c:v>
                </c:pt>
                <c:pt idx="623">
                  <c:v>-4.7342208581780433E-2</c:v>
                </c:pt>
                <c:pt idx="624">
                  <c:v>-5.210947804926444E-2</c:v>
                </c:pt>
                <c:pt idx="625">
                  <c:v>-5.5821930721817965E-2</c:v>
                </c:pt>
                <c:pt idx="626">
                  <c:v>-5.5634987454533297E-2</c:v>
                </c:pt>
                <c:pt idx="627">
                  <c:v>-5.5584720057369044E-2</c:v>
                </c:pt>
                <c:pt idx="628">
                  <c:v>-5.6980462791118902E-2</c:v>
                </c:pt>
                <c:pt idx="629">
                  <c:v>-5.6153594498725055E-2</c:v>
                </c:pt>
                <c:pt idx="630">
                  <c:v>-5.0118236853517913E-2</c:v>
                </c:pt>
                <c:pt idx="631">
                  <c:v>-5.0233830460246209E-2</c:v>
                </c:pt>
                <c:pt idx="632">
                  <c:v>-5.3523326055614433E-2</c:v>
                </c:pt>
                <c:pt idx="633">
                  <c:v>-4.752340342097084E-2</c:v>
                </c:pt>
                <c:pt idx="634">
                  <c:v>-4.5422834620219898E-2</c:v>
                </c:pt>
                <c:pt idx="635">
                  <c:v>-4.8483966428160372E-2</c:v>
                </c:pt>
                <c:pt idx="636">
                  <c:v>-4.9500719386677848E-2</c:v>
                </c:pt>
                <c:pt idx="637">
                  <c:v>-4.8729164777219308E-2</c:v>
                </c:pt>
                <c:pt idx="638">
                  <c:v>-4.7671434855001284E-2</c:v>
                </c:pt>
                <c:pt idx="639">
                  <c:v>-4.9874155822380847E-2</c:v>
                </c:pt>
                <c:pt idx="640">
                  <c:v>-4.8397113519505326E-2</c:v>
                </c:pt>
                <c:pt idx="641">
                  <c:v>-4.5196086988915293E-2</c:v>
                </c:pt>
                <c:pt idx="642">
                  <c:v>-4.4393677006405563E-2</c:v>
                </c:pt>
                <c:pt idx="643">
                  <c:v>-4.974192120532913E-2</c:v>
                </c:pt>
                <c:pt idx="644">
                  <c:v>-5.0438493916729943E-2</c:v>
                </c:pt>
                <c:pt idx="645">
                  <c:v>-5.5056451471047596E-2</c:v>
                </c:pt>
                <c:pt idx="646">
                  <c:v>-5.5521064354511075E-2</c:v>
                </c:pt>
                <c:pt idx="647">
                  <c:v>-5.2979949948256756E-2</c:v>
                </c:pt>
                <c:pt idx="648">
                  <c:v>-5.6230208464922479E-2</c:v>
                </c:pt>
                <c:pt idx="649">
                  <c:v>-5.9970155239178612E-2</c:v>
                </c:pt>
                <c:pt idx="650">
                  <c:v>-6.0694815735285748E-2</c:v>
                </c:pt>
                <c:pt idx="651">
                  <c:v>-5.9018838127933258E-2</c:v>
                </c:pt>
                <c:pt idx="652">
                  <c:v>-5.9270262113528732E-2</c:v>
                </c:pt>
                <c:pt idx="653">
                  <c:v>-6.5090658160359124E-2</c:v>
                </c:pt>
                <c:pt idx="654">
                  <c:v>-7.1355834826328804E-2</c:v>
                </c:pt>
                <c:pt idx="655">
                  <c:v>-6.574119508778993E-2</c:v>
                </c:pt>
                <c:pt idx="656">
                  <c:v>-6.5480419581240984E-2</c:v>
                </c:pt>
                <c:pt idx="657">
                  <c:v>-6.6638121495022254E-2</c:v>
                </c:pt>
                <c:pt idx="658">
                  <c:v>-6.2987239326680058E-2</c:v>
                </c:pt>
                <c:pt idx="659">
                  <c:v>-6.412832166958217E-2</c:v>
                </c:pt>
                <c:pt idx="660">
                  <c:v>-6.3793936460956338E-2</c:v>
                </c:pt>
                <c:pt idx="661">
                  <c:v>-6.8554408969194916E-2</c:v>
                </c:pt>
                <c:pt idx="662">
                  <c:v>-6.9828170875746512E-2</c:v>
                </c:pt>
                <c:pt idx="663">
                  <c:v>-6.8170104228791634E-2</c:v>
                </c:pt>
                <c:pt idx="664">
                  <c:v>-6.9755810158376036E-2</c:v>
                </c:pt>
                <c:pt idx="665">
                  <c:v>-6.8809799637947963E-2</c:v>
                </c:pt>
                <c:pt idx="666">
                  <c:v>-6.5319953971716652E-2</c:v>
                </c:pt>
                <c:pt idx="667">
                  <c:v>-6.4228717699342922E-2</c:v>
                </c:pt>
                <c:pt idx="668">
                  <c:v>-6.406545432868728E-2</c:v>
                </c:pt>
                <c:pt idx="669">
                  <c:v>-6.583489659128916E-2</c:v>
                </c:pt>
                <c:pt idx="670">
                  <c:v>-6.5934877369475078E-2</c:v>
                </c:pt>
                <c:pt idx="671">
                  <c:v>-6.5252143038674035E-2</c:v>
                </c:pt>
                <c:pt idx="672">
                  <c:v>-6.1995070621030185E-2</c:v>
                </c:pt>
                <c:pt idx="673">
                  <c:v>-6.5655582989988442E-2</c:v>
                </c:pt>
                <c:pt idx="674">
                  <c:v>-5.84857150898586E-2</c:v>
                </c:pt>
                <c:pt idx="675">
                  <c:v>-6.3643118919701092E-2</c:v>
                </c:pt>
                <c:pt idx="676">
                  <c:v>-6.4908891394899804E-2</c:v>
                </c:pt>
                <c:pt idx="677">
                  <c:v>-6.4335624015640372E-2</c:v>
                </c:pt>
                <c:pt idx="678">
                  <c:v>-6.1516687388694952E-2</c:v>
                </c:pt>
                <c:pt idx="679">
                  <c:v>-6.0403640689616629E-2</c:v>
                </c:pt>
                <c:pt idx="680">
                  <c:v>-6.1569435424431794E-2</c:v>
                </c:pt>
                <c:pt idx="681">
                  <c:v>-6.5720080225668276E-2</c:v>
                </c:pt>
                <c:pt idx="682">
                  <c:v>-6.6683172460678314E-2</c:v>
                </c:pt>
                <c:pt idx="683">
                  <c:v>-6.5881811288988554E-2</c:v>
                </c:pt>
                <c:pt idx="684">
                  <c:v>-6.5002549158156828E-2</c:v>
                </c:pt>
                <c:pt idx="685">
                  <c:v>-6.5750603196555776E-2</c:v>
                </c:pt>
                <c:pt idx="686">
                  <c:v>-7.1475810751975649E-2</c:v>
                </c:pt>
                <c:pt idx="687">
                  <c:v>-7.2855083649500912E-2</c:v>
                </c:pt>
                <c:pt idx="688">
                  <c:v>-7.946366154417224E-2</c:v>
                </c:pt>
                <c:pt idx="689">
                  <c:v>-7.838230028841453E-2</c:v>
                </c:pt>
                <c:pt idx="690">
                  <c:v>-7.2059389697061854E-2</c:v>
                </c:pt>
                <c:pt idx="691">
                  <c:v>-7.5606128704831521E-2</c:v>
                </c:pt>
                <c:pt idx="692">
                  <c:v>-8.0750382532656401E-2</c:v>
                </c:pt>
                <c:pt idx="693">
                  <c:v>-8.3179273623446404E-2</c:v>
                </c:pt>
                <c:pt idx="694">
                  <c:v>-8.3476553525646688E-2</c:v>
                </c:pt>
                <c:pt idx="695">
                  <c:v>-8.1016834947060884E-2</c:v>
                </c:pt>
                <c:pt idx="696">
                  <c:v>-7.9686433791621214E-2</c:v>
                </c:pt>
                <c:pt idx="697">
                  <c:v>-8.2225975776504243E-2</c:v>
                </c:pt>
                <c:pt idx="698">
                  <c:v>-8.2254859046856796E-2</c:v>
                </c:pt>
                <c:pt idx="699">
                  <c:v>-8.1871770200690169E-2</c:v>
                </c:pt>
                <c:pt idx="700">
                  <c:v>-8.4811319684766323E-2</c:v>
                </c:pt>
                <c:pt idx="701">
                  <c:v>-8.1208158623931409E-2</c:v>
                </c:pt>
                <c:pt idx="702">
                  <c:v>-8.1504575192753892E-2</c:v>
                </c:pt>
                <c:pt idx="703">
                  <c:v>-8.0602208253325563E-2</c:v>
                </c:pt>
                <c:pt idx="704">
                  <c:v>-7.9768559737882466E-2</c:v>
                </c:pt>
                <c:pt idx="705">
                  <c:v>-8.3831337589536106E-2</c:v>
                </c:pt>
                <c:pt idx="706">
                  <c:v>-8.6000386732876383E-2</c:v>
                </c:pt>
                <c:pt idx="707">
                  <c:v>-8.3409552058899217E-2</c:v>
                </c:pt>
                <c:pt idx="708">
                  <c:v>-8.6377238115200414E-2</c:v>
                </c:pt>
                <c:pt idx="709">
                  <c:v>-9.150668201914533E-2</c:v>
                </c:pt>
                <c:pt idx="710">
                  <c:v>-9.2602956481556184E-2</c:v>
                </c:pt>
                <c:pt idx="711">
                  <c:v>-9.1366714214873801E-2</c:v>
                </c:pt>
                <c:pt idx="712">
                  <c:v>-9.4008967026289691E-2</c:v>
                </c:pt>
                <c:pt idx="713">
                  <c:v>-9.216072741512453E-2</c:v>
                </c:pt>
                <c:pt idx="714">
                  <c:v>-9.0768757636421088E-2</c:v>
                </c:pt>
                <c:pt idx="715">
                  <c:v>-9.036549313162516E-2</c:v>
                </c:pt>
                <c:pt idx="716">
                  <c:v>-9.4030171655109088E-2</c:v>
                </c:pt>
                <c:pt idx="717">
                  <c:v>-9.2427670671563558E-2</c:v>
                </c:pt>
                <c:pt idx="718">
                  <c:v>-9.008895237491174E-2</c:v>
                </c:pt>
                <c:pt idx="719">
                  <c:v>-9.1703316750015584E-2</c:v>
                </c:pt>
                <c:pt idx="720">
                  <c:v>-8.7238962992926619E-2</c:v>
                </c:pt>
                <c:pt idx="721">
                  <c:v>-9.1111905746185634E-2</c:v>
                </c:pt>
                <c:pt idx="722">
                  <c:v>-9.7623906073417033E-2</c:v>
                </c:pt>
                <c:pt idx="723">
                  <c:v>-9.6403206592437021E-2</c:v>
                </c:pt>
                <c:pt idx="724">
                  <c:v>-9.8861418936456599E-2</c:v>
                </c:pt>
                <c:pt idx="725">
                  <c:v>-0.10349333387454623</c:v>
                </c:pt>
                <c:pt idx="726">
                  <c:v>-0.1005764934172779</c:v>
                </c:pt>
                <c:pt idx="727">
                  <c:v>-0.10125933422745759</c:v>
                </c:pt>
                <c:pt idx="728">
                  <c:v>-0.10666530603429009</c:v>
                </c:pt>
                <c:pt idx="729">
                  <c:v>-0.1069855003878855</c:v>
                </c:pt>
                <c:pt idx="730">
                  <c:v>-0.1028339742725711</c:v>
                </c:pt>
                <c:pt idx="731">
                  <c:v>-0.10672794198322479</c:v>
                </c:pt>
                <c:pt idx="732">
                  <c:v>-0.10751090194854185</c:v>
                </c:pt>
                <c:pt idx="733">
                  <c:v>-0.10704718747564758</c:v>
                </c:pt>
                <c:pt idx="734">
                  <c:v>-0.10404543766415265</c:v>
                </c:pt>
                <c:pt idx="735">
                  <c:v>-0.10730282802242525</c:v>
                </c:pt>
                <c:pt idx="736">
                  <c:v>-0.10557071158407823</c:v>
                </c:pt>
                <c:pt idx="737">
                  <c:v>-0.10644788453760584</c:v>
                </c:pt>
                <c:pt idx="738">
                  <c:v>-0.10824353711079363</c:v>
                </c:pt>
                <c:pt idx="739">
                  <c:v>-0.10741707417761724</c:v>
                </c:pt>
                <c:pt idx="740">
                  <c:v>-0.10782007184878574</c:v>
                </c:pt>
                <c:pt idx="741">
                  <c:v>-0.10720979039271183</c:v>
                </c:pt>
                <c:pt idx="742">
                  <c:v>-0.10546809393725746</c:v>
                </c:pt>
                <c:pt idx="743">
                  <c:v>-0.10609576973523278</c:v>
                </c:pt>
                <c:pt idx="744">
                  <c:v>-0.10450664683740771</c:v>
                </c:pt>
                <c:pt idx="745">
                  <c:v>-0.11020024321873534</c:v>
                </c:pt>
                <c:pt idx="746">
                  <c:v>-0.11273470346285233</c:v>
                </c:pt>
                <c:pt idx="747">
                  <c:v>-0.11201990393465955</c:v>
                </c:pt>
                <c:pt idx="748">
                  <c:v>-0.11726096555652266</c:v>
                </c:pt>
                <c:pt idx="749">
                  <c:v>-0.1178573866998139</c:v>
                </c:pt>
                <c:pt idx="750">
                  <c:v>-0.1178219777232991</c:v>
                </c:pt>
                <c:pt idx="751">
                  <c:v>-0.11977070129031453</c:v>
                </c:pt>
                <c:pt idx="752">
                  <c:v>-0.1203157757461803</c:v>
                </c:pt>
                <c:pt idx="753">
                  <c:v>-0.1203407728420966</c:v>
                </c:pt>
                <c:pt idx="754">
                  <c:v>-0.127141968781632</c:v>
                </c:pt>
                <c:pt idx="755">
                  <c:v>-0.12293388162196375</c:v>
                </c:pt>
                <c:pt idx="756">
                  <c:v>-0.12557588695981678</c:v>
                </c:pt>
                <c:pt idx="757">
                  <c:v>-0.1244684888325976</c:v>
                </c:pt>
                <c:pt idx="758">
                  <c:v>-0.12286663640482437</c:v>
                </c:pt>
                <c:pt idx="759">
                  <c:v>-0.12041149005581221</c:v>
                </c:pt>
                <c:pt idx="760">
                  <c:v>-0.11811276452887813</c:v>
                </c:pt>
                <c:pt idx="761">
                  <c:v>-0.11897194560154231</c:v>
                </c:pt>
                <c:pt idx="762">
                  <c:v>-0.12209466167378401</c:v>
                </c:pt>
                <c:pt idx="763">
                  <c:v>-0.12698324297370631</c:v>
                </c:pt>
                <c:pt idx="764">
                  <c:v>-0.13215697707525978</c:v>
                </c:pt>
                <c:pt idx="765">
                  <c:v>-0.13421300965101363</c:v>
                </c:pt>
                <c:pt idx="766">
                  <c:v>-0.13541275545373935</c:v>
                </c:pt>
                <c:pt idx="767">
                  <c:v>-0.13691288442847038</c:v>
                </c:pt>
                <c:pt idx="768">
                  <c:v>-0.14220549958637582</c:v>
                </c:pt>
                <c:pt idx="769">
                  <c:v>-0.14576394432269349</c:v>
                </c:pt>
                <c:pt idx="770">
                  <c:v>-0.14722634513384258</c:v>
                </c:pt>
                <c:pt idx="771">
                  <c:v>-0.14134160867592366</c:v>
                </c:pt>
                <c:pt idx="772">
                  <c:v>-0.13952870397580364</c:v>
                </c:pt>
                <c:pt idx="773">
                  <c:v>-0.14032478187321884</c:v>
                </c:pt>
                <c:pt idx="774">
                  <c:v>-0.14585759323082551</c:v>
                </c:pt>
                <c:pt idx="775">
                  <c:v>-0.1459593957377206</c:v>
                </c:pt>
                <c:pt idx="776">
                  <c:v>-0.1446766169952558</c:v>
                </c:pt>
                <c:pt idx="777">
                  <c:v>-0.1429838664721341</c:v>
                </c:pt>
                <c:pt idx="778">
                  <c:v>-0.14367511060581384</c:v>
                </c:pt>
                <c:pt idx="779">
                  <c:v>-0.14606156293465453</c:v>
                </c:pt>
                <c:pt idx="780">
                  <c:v>-0.14194661978607798</c:v>
                </c:pt>
                <c:pt idx="781">
                  <c:v>-0.14099927406679821</c:v>
                </c:pt>
                <c:pt idx="782">
                  <c:v>-0.13949424618500708</c:v>
                </c:pt>
                <c:pt idx="783">
                  <c:v>-0.13780858803468257</c:v>
                </c:pt>
                <c:pt idx="784">
                  <c:v>-0.13443094922546181</c:v>
                </c:pt>
                <c:pt idx="785">
                  <c:v>-0.13346089779294268</c:v>
                </c:pt>
                <c:pt idx="786">
                  <c:v>-0.13484227488576458</c:v>
                </c:pt>
                <c:pt idx="787">
                  <c:v>-0.1355979498121832</c:v>
                </c:pt>
                <c:pt idx="788">
                  <c:v>-0.14398302449705552</c:v>
                </c:pt>
                <c:pt idx="789">
                  <c:v>-0.13294394199724177</c:v>
                </c:pt>
                <c:pt idx="790">
                  <c:v>-0.12909004482357678</c:v>
                </c:pt>
                <c:pt idx="791">
                  <c:v>-0.12831470322323463</c:v>
                </c:pt>
                <c:pt idx="792">
                  <c:v>-0.12909865947641824</c:v>
                </c:pt>
                <c:pt idx="793">
                  <c:v>-0.12871518947657337</c:v>
                </c:pt>
                <c:pt idx="794">
                  <c:v>-0.12593414795208219</c:v>
                </c:pt>
                <c:pt idx="795">
                  <c:v>-0.12265980408695767</c:v>
                </c:pt>
                <c:pt idx="796">
                  <c:v>-0.12148400187252692</c:v>
                </c:pt>
                <c:pt idx="797">
                  <c:v>-0.12035294698207455</c:v>
                </c:pt>
                <c:pt idx="798">
                  <c:v>-0.12425808399737537</c:v>
                </c:pt>
                <c:pt idx="799">
                  <c:v>-0.12709292839845154</c:v>
                </c:pt>
                <c:pt idx="800">
                  <c:v>-0.12640758715997003</c:v>
                </c:pt>
                <c:pt idx="801">
                  <c:v>-0.12438203605449298</c:v>
                </c:pt>
                <c:pt idx="802">
                  <c:v>-0.12375932717488181</c:v>
                </c:pt>
                <c:pt idx="803">
                  <c:v>-0.12615936127499744</c:v>
                </c:pt>
                <c:pt idx="804">
                  <c:v>-0.12709136676056904</c:v>
                </c:pt>
                <c:pt idx="805">
                  <c:v>-0.12393033713077456</c:v>
                </c:pt>
                <c:pt idx="806">
                  <c:v>-0.12712469611860902</c:v>
                </c:pt>
                <c:pt idx="807">
                  <c:v>-0.13016413549942291</c:v>
                </c:pt>
                <c:pt idx="808">
                  <c:v>-0.13031051683772724</c:v>
                </c:pt>
                <c:pt idx="809">
                  <c:v>-0.12366744094550901</c:v>
                </c:pt>
                <c:pt idx="810">
                  <c:v>-0.12160401806059327</c:v>
                </c:pt>
                <c:pt idx="811">
                  <c:v>-0.11837835140031018</c:v>
                </c:pt>
                <c:pt idx="812">
                  <c:v>-0.11872434213652565</c:v>
                </c:pt>
                <c:pt idx="813">
                  <c:v>-0.11783224292674213</c:v>
                </c:pt>
                <c:pt idx="814">
                  <c:v>-0.11865759119550323</c:v>
                </c:pt>
                <c:pt idx="815">
                  <c:v>-0.12012981206005634</c:v>
                </c:pt>
                <c:pt idx="816">
                  <c:v>-0.11989307758365246</c:v>
                </c:pt>
                <c:pt idx="817">
                  <c:v>-0.11898943418070124</c:v>
                </c:pt>
                <c:pt idx="818">
                  <c:v>-0.11987146173716062</c:v>
                </c:pt>
                <c:pt idx="819">
                  <c:v>-0.11805132794140463</c:v>
                </c:pt>
                <c:pt idx="820">
                  <c:v>-0.11587578092322764</c:v>
                </c:pt>
                <c:pt idx="821">
                  <c:v>-0.12108220905009649</c:v>
                </c:pt>
                <c:pt idx="822">
                  <c:v>-0.12510441293720931</c:v>
                </c:pt>
                <c:pt idx="823">
                  <c:v>-0.12473544967435046</c:v>
                </c:pt>
                <c:pt idx="824">
                  <c:v>-0.12112471038689426</c:v>
                </c:pt>
                <c:pt idx="825">
                  <c:v>-0.11916017312836109</c:v>
                </c:pt>
                <c:pt idx="826">
                  <c:v>-0.11706917431376911</c:v>
                </c:pt>
                <c:pt idx="827">
                  <c:v>-0.11402212857930852</c:v>
                </c:pt>
                <c:pt idx="828">
                  <c:v>-0.11625588903777058</c:v>
                </c:pt>
                <c:pt idx="829">
                  <c:v>-0.11255728635937005</c:v>
                </c:pt>
                <c:pt idx="830">
                  <c:v>-0.10917041354671819</c:v>
                </c:pt>
                <c:pt idx="831">
                  <c:v>-0.11495330244316089</c:v>
                </c:pt>
                <c:pt idx="832">
                  <c:v>-0.11167034092668787</c:v>
                </c:pt>
                <c:pt idx="833">
                  <c:v>-0.1182559552627287</c:v>
                </c:pt>
                <c:pt idx="834">
                  <c:v>-0.11933936922865528</c:v>
                </c:pt>
                <c:pt idx="835">
                  <c:v>-0.11933829928057549</c:v>
                </c:pt>
                <c:pt idx="836">
                  <c:v>-0.1188875891739988</c:v>
                </c:pt>
                <c:pt idx="837">
                  <c:v>-0.11920069680055263</c:v>
                </c:pt>
                <c:pt idx="838">
                  <c:v>-0.12021362384941769</c:v>
                </c:pt>
                <c:pt idx="839">
                  <c:v>-0.12598999942923036</c:v>
                </c:pt>
                <c:pt idx="840">
                  <c:v>-0.12374261997517609</c:v>
                </c:pt>
                <c:pt idx="841">
                  <c:v>-0.12342952120113307</c:v>
                </c:pt>
                <c:pt idx="842">
                  <c:v>-0.11728598467469743</c:v>
                </c:pt>
                <c:pt idx="843">
                  <c:v>-0.11530475609942782</c:v>
                </c:pt>
                <c:pt idx="844">
                  <c:v>-0.11090303669535759</c:v>
                </c:pt>
                <c:pt idx="845">
                  <c:v>-0.10810943852405985</c:v>
                </c:pt>
                <c:pt idx="846">
                  <c:v>-0.10979143176064714</c:v>
                </c:pt>
                <c:pt idx="847">
                  <c:v>-0.1115735612762187</c:v>
                </c:pt>
                <c:pt idx="848">
                  <c:v>-0.11231890397696732</c:v>
                </c:pt>
                <c:pt idx="849">
                  <c:v>-0.11239358379566612</c:v>
                </c:pt>
                <c:pt idx="850">
                  <c:v>-0.11365343886156275</c:v>
                </c:pt>
                <c:pt idx="851">
                  <c:v>-0.1145750626966497</c:v>
                </c:pt>
                <c:pt idx="852">
                  <c:v>-0.11732252756994974</c:v>
                </c:pt>
                <c:pt idx="853">
                  <c:v>-0.11181281992176424</c:v>
                </c:pt>
                <c:pt idx="854">
                  <c:v>-0.11130586298999678</c:v>
                </c:pt>
                <c:pt idx="855">
                  <c:v>-0.11789381169579172</c:v>
                </c:pt>
                <c:pt idx="856">
                  <c:v>-0.12362338205905109</c:v>
                </c:pt>
                <c:pt idx="857">
                  <c:v>-0.12432550446482354</c:v>
                </c:pt>
                <c:pt idx="858">
                  <c:v>-0.12191669256976152</c:v>
                </c:pt>
                <c:pt idx="859">
                  <c:v>-0.12027121632543923</c:v>
                </c:pt>
                <c:pt idx="860">
                  <c:v>-0.11779330081443888</c:v>
                </c:pt>
                <c:pt idx="861">
                  <c:v>-0.11659520720106581</c:v>
                </c:pt>
                <c:pt idx="862">
                  <c:v>-0.11658990044881996</c:v>
                </c:pt>
                <c:pt idx="863">
                  <c:v>-0.11940564344522228</c:v>
                </c:pt>
                <c:pt idx="864">
                  <c:v>-0.12201655798137689</c:v>
                </c:pt>
                <c:pt idx="865">
                  <c:v>-0.11989053457644477</c:v>
                </c:pt>
                <c:pt idx="866">
                  <c:v>-0.11891126339825007</c:v>
                </c:pt>
                <c:pt idx="867">
                  <c:v>-0.11555983219043792</c:v>
                </c:pt>
                <c:pt idx="868">
                  <c:v>-0.11739565224542564</c:v>
                </c:pt>
                <c:pt idx="869">
                  <c:v>-0.11251125966998893</c:v>
                </c:pt>
                <c:pt idx="870">
                  <c:v>-0.11369717414209148</c:v>
                </c:pt>
                <c:pt idx="871">
                  <c:v>-0.11373674970319317</c:v>
                </c:pt>
                <c:pt idx="872">
                  <c:v>-0.11094186260787839</c:v>
                </c:pt>
                <c:pt idx="873">
                  <c:v>-0.10805439099845196</c:v>
                </c:pt>
                <c:pt idx="874">
                  <c:v>-0.10640071300324974</c:v>
                </c:pt>
                <c:pt idx="875">
                  <c:v>-0.10535147676497061</c:v>
                </c:pt>
                <c:pt idx="876">
                  <c:v>-0.10353788434936825</c:v>
                </c:pt>
                <c:pt idx="877">
                  <c:v>-0.10123321852685821</c:v>
                </c:pt>
                <c:pt idx="878">
                  <c:v>-0.10954965633954927</c:v>
                </c:pt>
                <c:pt idx="879">
                  <c:v>-0.11388824007325718</c:v>
                </c:pt>
                <c:pt idx="880">
                  <c:v>-0.11719510792954524</c:v>
                </c:pt>
                <c:pt idx="881">
                  <c:v>-0.12167758644365764</c:v>
                </c:pt>
                <c:pt idx="882">
                  <c:v>-0.12075095412884712</c:v>
                </c:pt>
                <c:pt idx="883">
                  <c:v>-0.12076382504646964</c:v>
                </c:pt>
                <c:pt idx="884">
                  <c:v>-0.12391319985240688</c:v>
                </c:pt>
                <c:pt idx="885">
                  <c:v>-0.12198979938979822</c:v>
                </c:pt>
                <c:pt idx="886">
                  <c:v>-0.12136135410118393</c:v>
                </c:pt>
                <c:pt idx="887">
                  <c:v>-0.12316133266436506</c:v>
                </c:pt>
                <c:pt idx="888">
                  <c:v>-0.12517643771734485</c:v>
                </c:pt>
                <c:pt idx="889">
                  <c:v>-0.12760574390807636</c:v>
                </c:pt>
                <c:pt idx="890">
                  <c:v>-0.12773524299026578</c:v>
                </c:pt>
                <c:pt idx="891">
                  <c:v>-0.11979382242732893</c:v>
                </c:pt>
                <c:pt idx="892">
                  <c:v>-0.11981059318052296</c:v>
                </c:pt>
                <c:pt idx="893">
                  <c:v>-0.11466330514403605</c:v>
                </c:pt>
                <c:pt idx="894">
                  <c:v>-0.11346374238854538</c:v>
                </c:pt>
                <c:pt idx="895">
                  <c:v>-0.10668049111830039</c:v>
                </c:pt>
                <c:pt idx="896">
                  <c:v>-0.10318587953167083</c:v>
                </c:pt>
                <c:pt idx="897">
                  <c:v>-0.10492373918597443</c:v>
                </c:pt>
                <c:pt idx="898">
                  <c:v>-0.10134827451474326</c:v>
                </c:pt>
                <c:pt idx="899">
                  <c:v>-0.10652202348062693</c:v>
                </c:pt>
                <c:pt idx="900">
                  <c:v>-0.10212973300341943</c:v>
                </c:pt>
                <c:pt idx="901">
                  <c:v>-9.727117081223996E-2</c:v>
                </c:pt>
                <c:pt idx="902">
                  <c:v>-9.4551190522536743E-2</c:v>
                </c:pt>
                <c:pt idx="903">
                  <c:v>-0.10234740845430321</c:v>
                </c:pt>
                <c:pt idx="904">
                  <c:v>-0.10553274968373316</c:v>
                </c:pt>
                <c:pt idx="905">
                  <c:v>-9.8292571341419083E-2</c:v>
                </c:pt>
                <c:pt idx="906">
                  <c:v>-9.9793745567884867E-2</c:v>
                </c:pt>
                <c:pt idx="907">
                  <c:v>-0.10147185873804408</c:v>
                </c:pt>
                <c:pt idx="908">
                  <c:v>-0.1055764748229423</c:v>
                </c:pt>
                <c:pt idx="909">
                  <c:v>-9.9286600064183536E-2</c:v>
                </c:pt>
                <c:pt idx="910">
                  <c:v>-0.10018681174643734</c:v>
                </c:pt>
                <c:pt idx="911">
                  <c:v>-0.10642142503288295</c:v>
                </c:pt>
                <c:pt idx="912">
                  <c:v>-0.10450272244874992</c:v>
                </c:pt>
                <c:pt idx="913">
                  <c:v>-0.10384690445020446</c:v>
                </c:pt>
                <c:pt idx="914">
                  <c:v>-0.10778889714103992</c:v>
                </c:pt>
                <c:pt idx="915">
                  <c:v>-0.10792047039452846</c:v>
                </c:pt>
                <c:pt idx="916">
                  <c:v>-0.10565556979307475</c:v>
                </c:pt>
                <c:pt idx="917">
                  <c:v>-0.10644945260738368</c:v>
                </c:pt>
                <c:pt idx="918">
                  <c:v>-0.10717921486160052</c:v>
                </c:pt>
                <c:pt idx="919">
                  <c:v>-0.11170087145968262</c:v>
                </c:pt>
                <c:pt idx="920">
                  <c:v>-0.11826325755265966</c:v>
                </c:pt>
                <c:pt idx="921">
                  <c:v>-0.11597449427055345</c:v>
                </c:pt>
                <c:pt idx="922">
                  <c:v>-0.11137526381954081</c:v>
                </c:pt>
                <c:pt idx="923">
                  <c:v>-0.11505069646169176</c:v>
                </c:pt>
                <c:pt idx="924">
                  <c:v>-0.11495822272539605</c:v>
                </c:pt>
                <c:pt idx="925">
                  <c:v>-0.1116293890220193</c:v>
                </c:pt>
                <c:pt idx="926">
                  <c:v>-0.11126210543329423</c:v>
                </c:pt>
                <c:pt idx="927">
                  <c:v>-0.10726932745033166</c:v>
                </c:pt>
                <c:pt idx="928">
                  <c:v>-0.10474332369232132</c:v>
                </c:pt>
                <c:pt idx="929">
                  <c:v>-0.10966244201089853</c:v>
                </c:pt>
                <c:pt idx="930">
                  <c:v>-0.11046050474775615</c:v>
                </c:pt>
                <c:pt idx="931">
                  <c:v>-0.10975934922388887</c:v>
                </c:pt>
                <c:pt idx="932">
                  <c:v>-0.11343494579410465</c:v>
                </c:pt>
                <c:pt idx="933">
                  <c:v>-0.11561022573326611</c:v>
                </c:pt>
                <c:pt idx="934">
                  <c:v>-0.11175089751955114</c:v>
                </c:pt>
                <c:pt idx="935">
                  <c:v>-0.1128752150522386</c:v>
                </c:pt>
                <c:pt idx="936">
                  <c:v>-0.11299810687964745</c:v>
                </c:pt>
                <c:pt idx="937">
                  <c:v>-0.1173433542002808</c:v>
                </c:pt>
                <c:pt idx="938">
                  <c:v>-0.11127974714395321</c:v>
                </c:pt>
                <c:pt idx="939">
                  <c:v>-0.11004565398469719</c:v>
                </c:pt>
                <c:pt idx="940">
                  <c:v>-0.10871223997601878</c:v>
                </c:pt>
                <c:pt idx="941">
                  <c:v>-0.10236221386892991</c:v>
                </c:pt>
                <c:pt idx="942">
                  <c:v>-0.10344644735280928</c:v>
                </c:pt>
                <c:pt idx="943">
                  <c:v>-9.6236216499498484E-2</c:v>
                </c:pt>
                <c:pt idx="944">
                  <c:v>-9.177496510098393E-2</c:v>
                </c:pt>
                <c:pt idx="945">
                  <c:v>-9.3537452880948516E-2</c:v>
                </c:pt>
                <c:pt idx="946">
                  <c:v>-9.02541152389226E-2</c:v>
                </c:pt>
                <c:pt idx="947">
                  <c:v>-8.893388840394878E-2</c:v>
                </c:pt>
                <c:pt idx="948">
                  <c:v>-8.7431081164796823E-2</c:v>
                </c:pt>
                <c:pt idx="949">
                  <c:v>-8.5412409684736582E-2</c:v>
                </c:pt>
                <c:pt idx="950">
                  <c:v>-9.2066153693021263E-2</c:v>
                </c:pt>
                <c:pt idx="951">
                  <c:v>-9.0650561281767461E-2</c:v>
                </c:pt>
                <c:pt idx="952">
                  <c:v>-9.4109591392445263E-2</c:v>
                </c:pt>
                <c:pt idx="953">
                  <c:v>-0.10118496919501281</c:v>
                </c:pt>
                <c:pt idx="954">
                  <c:v>-0.10242010517896336</c:v>
                </c:pt>
                <c:pt idx="955">
                  <c:v>-0.1005367908989821</c:v>
                </c:pt>
                <c:pt idx="956">
                  <c:v>-0.10164746685542346</c:v>
                </c:pt>
                <c:pt idx="957">
                  <c:v>-0.10267038222847934</c:v>
                </c:pt>
                <c:pt idx="958">
                  <c:v>-0.10314733994577006</c:v>
                </c:pt>
                <c:pt idx="959">
                  <c:v>-0.10243775121410019</c:v>
                </c:pt>
                <c:pt idx="960">
                  <c:v>-0.10383126797748302</c:v>
                </c:pt>
                <c:pt idx="961">
                  <c:v>-0.10133249161392498</c:v>
                </c:pt>
                <c:pt idx="962">
                  <c:v>-0.10422040618538664</c:v>
                </c:pt>
                <c:pt idx="963">
                  <c:v>-0.10702606791933218</c:v>
                </c:pt>
                <c:pt idx="964">
                  <c:v>-0.10697249196399763</c:v>
                </c:pt>
                <c:pt idx="965">
                  <c:v>-0.1102100232561303</c:v>
                </c:pt>
                <c:pt idx="966">
                  <c:v>-0.11216569057155022</c:v>
                </c:pt>
                <c:pt idx="967">
                  <c:v>-0.10886254162133251</c:v>
                </c:pt>
                <c:pt idx="968">
                  <c:v>-0.10637915013969923</c:v>
                </c:pt>
                <c:pt idx="969">
                  <c:v>-0.10987194345993313</c:v>
                </c:pt>
                <c:pt idx="970">
                  <c:v>-0.11431470360284092</c:v>
                </c:pt>
                <c:pt idx="971">
                  <c:v>-0.1148968648208966</c:v>
                </c:pt>
                <c:pt idx="972">
                  <c:v>-0.11359630340149146</c:v>
                </c:pt>
                <c:pt idx="973">
                  <c:v>-0.10832626439815586</c:v>
                </c:pt>
                <c:pt idx="974">
                  <c:v>-0.10810782909676706</c:v>
                </c:pt>
                <c:pt idx="975">
                  <c:v>-0.10669706214479731</c:v>
                </c:pt>
                <c:pt idx="976">
                  <c:v>-0.10853066799725722</c:v>
                </c:pt>
                <c:pt idx="977">
                  <c:v>-0.10755095077558459</c:v>
                </c:pt>
                <c:pt idx="978">
                  <c:v>-0.10848015792296251</c:v>
                </c:pt>
                <c:pt idx="979">
                  <c:v>-0.1065411407937024</c:v>
                </c:pt>
                <c:pt idx="980">
                  <c:v>-0.10137996689183663</c:v>
                </c:pt>
                <c:pt idx="981">
                  <c:v>-9.9871559808680219E-2</c:v>
                </c:pt>
                <c:pt idx="982">
                  <c:v>-9.5889373692228816E-2</c:v>
                </c:pt>
                <c:pt idx="983">
                  <c:v>-9.9698251303978844E-2</c:v>
                </c:pt>
                <c:pt idx="984">
                  <c:v>-9.7296523181080202E-2</c:v>
                </c:pt>
                <c:pt idx="985">
                  <c:v>-9.3923291159521555E-2</c:v>
                </c:pt>
                <c:pt idx="986">
                  <c:v>-9.0957005065872579E-2</c:v>
                </c:pt>
                <c:pt idx="987">
                  <c:v>-9.0600475933488619E-2</c:v>
                </c:pt>
                <c:pt idx="988">
                  <c:v>-9.4507025600835348E-2</c:v>
                </c:pt>
                <c:pt idx="989">
                  <c:v>-9.6819260852156017E-2</c:v>
                </c:pt>
                <c:pt idx="990">
                  <c:v>-9.2156720671250386E-2</c:v>
                </c:pt>
                <c:pt idx="991">
                  <c:v>-9.2693887668150066E-2</c:v>
                </c:pt>
                <c:pt idx="992">
                  <c:v>-8.7207756955668056E-2</c:v>
                </c:pt>
                <c:pt idx="993">
                  <c:v>-8.4941641137148388E-2</c:v>
                </c:pt>
                <c:pt idx="994">
                  <c:v>-8.5138046534398271E-2</c:v>
                </c:pt>
                <c:pt idx="995">
                  <c:v>-8.6391053381858665E-2</c:v>
                </c:pt>
                <c:pt idx="996">
                  <c:v>-8.650669914460378E-2</c:v>
                </c:pt>
                <c:pt idx="997">
                  <c:v>-8.9852789055748242E-2</c:v>
                </c:pt>
                <c:pt idx="998">
                  <c:v>-8.5694402426296321E-2</c:v>
                </c:pt>
                <c:pt idx="999">
                  <c:v>-7.9292227604639706E-2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45-4644-BF8F-600848ABB23D}"/>
            </c:ext>
          </c:extLst>
        </c:ser>
        <c:ser>
          <c:idx val="2"/>
          <c:order val="1"/>
          <c:tx>
            <c:v>path(gbm)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Model!$I$6:$I$1005</c:f>
              <c:numCache>
                <c:formatCode>General</c:formatCode>
                <c:ptCount val="1000"/>
                <c:pt idx="0">
                  <c:v>0.01</c:v>
                </c:pt>
                <c:pt idx="1">
                  <c:v>1.0008508974845971E-2</c:v>
                </c:pt>
                <c:pt idx="2">
                  <c:v>9.9865052190746418E-3</c:v>
                </c:pt>
                <c:pt idx="3">
                  <c:v>9.9661238795219643E-3</c:v>
                </c:pt>
                <c:pt idx="4">
                  <c:v>9.9327963834037695E-3</c:v>
                </c:pt>
                <c:pt idx="5">
                  <c:v>9.9061160551809999E-3</c:v>
                </c:pt>
                <c:pt idx="6">
                  <c:v>9.8693435274232206E-3</c:v>
                </c:pt>
                <c:pt idx="7">
                  <c:v>9.846735429398604E-3</c:v>
                </c:pt>
                <c:pt idx="8">
                  <c:v>9.8220929231402753E-3</c:v>
                </c:pt>
                <c:pt idx="9">
                  <c:v>9.8112332318874111E-3</c:v>
                </c:pt>
                <c:pt idx="10">
                  <c:v>9.7920417578048983E-3</c:v>
                </c:pt>
                <c:pt idx="11">
                  <c:v>9.8216834477736596E-3</c:v>
                </c:pt>
                <c:pt idx="12">
                  <c:v>9.8719309380336812E-3</c:v>
                </c:pt>
                <c:pt idx="13">
                  <c:v>9.8490137406471757E-3</c:v>
                </c:pt>
                <c:pt idx="14">
                  <c:v>9.8477690316367047E-3</c:v>
                </c:pt>
                <c:pt idx="15">
                  <c:v>9.8410508995406959E-3</c:v>
                </c:pt>
                <c:pt idx="16">
                  <c:v>9.8171933903835867E-3</c:v>
                </c:pt>
                <c:pt idx="17">
                  <c:v>9.8640673559000532E-3</c:v>
                </c:pt>
                <c:pt idx="18">
                  <c:v>9.9280586388972615E-3</c:v>
                </c:pt>
                <c:pt idx="19">
                  <c:v>9.9472646970968619E-3</c:v>
                </c:pt>
                <c:pt idx="20">
                  <c:v>9.9486852195754399E-3</c:v>
                </c:pt>
                <c:pt idx="21">
                  <c:v>9.9489575450975275E-3</c:v>
                </c:pt>
                <c:pt idx="22">
                  <c:v>9.9124716583987357E-3</c:v>
                </c:pt>
                <c:pt idx="23">
                  <c:v>9.8840030233486396E-3</c:v>
                </c:pt>
                <c:pt idx="24">
                  <c:v>9.9061912530014548E-3</c:v>
                </c:pt>
                <c:pt idx="25">
                  <c:v>9.9384028737973459E-3</c:v>
                </c:pt>
                <c:pt idx="26">
                  <c:v>9.9911234534282474E-3</c:v>
                </c:pt>
                <c:pt idx="27">
                  <c:v>9.9782989890137598E-3</c:v>
                </c:pt>
                <c:pt idx="28">
                  <c:v>1.0000436554430517E-2</c:v>
                </c:pt>
                <c:pt idx="29">
                  <c:v>9.9425252229290561E-3</c:v>
                </c:pt>
                <c:pt idx="30">
                  <c:v>9.9400631438676702E-3</c:v>
                </c:pt>
                <c:pt idx="31">
                  <c:v>9.8826454179551017E-3</c:v>
                </c:pt>
                <c:pt idx="32">
                  <c:v>9.8415959470324055E-3</c:v>
                </c:pt>
                <c:pt idx="33">
                  <c:v>9.8437347895264666E-3</c:v>
                </c:pt>
                <c:pt idx="34">
                  <c:v>9.8429997379093238E-3</c:v>
                </c:pt>
                <c:pt idx="35">
                  <c:v>9.8759547260285699E-3</c:v>
                </c:pt>
                <c:pt idx="36">
                  <c:v>9.8432571020454114E-3</c:v>
                </c:pt>
                <c:pt idx="37">
                  <c:v>9.8386950299454417E-3</c:v>
                </c:pt>
                <c:pt idx="38">
                  <c:v>9.8832904264950922E-3</c:v>
                </c:pt>
                <c:pt idx="39">
                  <c:v>9.8477046813041508E-3</c:v>
                </c:pt>
                <c:pt idx="40">
                  <c:v>9.8876782601086781E-3</c:v>
                </c:pt>
                <c:pt idx="41">
                  <c:v>9.8849975690281852E-3</c:v>
                </c:pt>
                <c:pt idx="42">
                  <c:v>9.8642202243097773E-3</c:v>
                </c:pt>
                <c:pt idx="43">
                  <c:v>9.8548614861686899E-3</c:v>
                </c:pt>
                <c:pt idx="44">
                  <c:v>9.8813557928890509E-3</c:v>
                </c:pt>
                <c:pt idx="45">
                  <c:v>9.8742400293629455E-3</c:v>
                </c:pt>
                <c:pt idx="46">
                  <c:v>9.8802538773348821E-3</c:v>
                </c:pt>
                <c:pt idx="47">
                  <c:v>9.9686219695318337E-3</c:v>
                </c:pt>
                <c:pt idx="48">
                  <c:v>9.9197538210973133E-3</c:v>
                </c:pt>
                <c:pt idx="49">
                  <c:v>9.9075797553487225E-3</c:v>
                </c:pt>
                <c:pt idx="50">
                  <c:v>9.9400876858629413E-3</c:v>
                </c:pt>
                <c:pt idx="51">
                  <c:v>9.9309016280587237E-3</c:v>
                </c:pt>
                <c:pt idx="52">
                  <c:v>9.9069077881816358E-3</c:v>
                </c:pt>
                <c:pt idx="53">
                  <c:v>9.9295734325848938E-3</c:v>
                </c:pt>
                <c:pt idx="54">
                  <c:v>9.9542746410718509E-3</c:v>
                </c:pt>
                <c:pt idx="55">
                  <c:v>9.8988187121144527E-3</c:v>
                </c:pt>
                <c:pt idx="56">
                  <c:v>9.9079688607869257E-3</c:v>
                </c:pt>
                <c:pt idx="57">
                  <c:v>9.9749061423288661E-3</c:v>
                </c:pt>
                <c:pt idx="58">
                  <c:v>9.9928967085953866E-3</c:v>
                </c:pt>
                <c:pt idx="59">
                  <c:v>9.9532338866297893E-3</c:v>
                </c:pt>
                <c:pt idx="60">
                  <c:v>9.944185671908707E-3</c:v>
                </c:pt>
                <c:pt idx="61">
                  <c:v>9.9601684363439854E-3</c:v>
                </c:pt>
                <c:pt idx="62">
                  <c:v>9.9578725092484294E-3</c:v>
                </c:pt>
                <c:pt idx="63">
                  <c:v>9.9886951627368888E-3</c:v>
                </c:pt>
                <c:pt idx="64">
                  <c:v>1.0000687146636779E-2</c:v>
                </c:pt>
                <c:pt idx="65">
                  <c:v>1.0021340777096804E-2</c:v>
                </c:pt>
                <c:pt idx="66">
                  <c:v>1.0004600069877495E-2</c:v>
                </c:pt>
                <c:pt idx="67">
                  <c:v>1.0031812709077855E-2</c:v>
                </c:pt>
                <c:pt idx="68">
                  <c:v>1.0065354312829195E-2</c:v>
                </c:pt>
                <c:pt idx="69">
                  <c:v>1.0022471023177588E-2</c:v>
                </c:pt>
                <c:pt idx="70">
                  <c:v>9.9753945958250684E-3</c:v>
                </c:pt>
                <c:pt idx="71">
                  <c:v>9.9277665962150263E-3</c:v>
                </c:pt>
                <c:pt idx="72">
                  <c:v>9.87819885654476E-3</c:v>
                </c:pt>
                <c:pt idx="73">
                  <c:v>9.8890363315236596E-3</c:v>
                </c:pt>
                <c:pt idx="74">
                  <c:v>9.8825565178922194E-3</c:v>
                </c:pt>
                <c:pt idx="75">
                  <c:v>9.9110372535870898E-3</c:v>
                </c:pt>
                <c:pt idx="76">
                  <c:v>9.8913693511626568E-3</c:v>
                </c:pt>
                <c:pt idx="77">
                  <c:v>9.9503434423656219E-3</c:v>
                </c:pt>
                <c:pt idx="78">
                  <c:v>9.9643768847397628E-3</c:v>
                </c:pt>
                <c:pt idx="79">
                  <c:v>9.9571812903190421E-3</c:v>
                </c:pt>
                <c:pt idx="80">
                  <c:v>9.9326956231771731E-3</c:v>
                </c:pt>
                <c:pt idx="81">
                  <c:v>9.9707696632342826E-3</c:v>
                </c:pt>
                <c:pt idx="82">
                  <c:v>1.0012752917500794E-2</c:v>
                </c:pt>
                <c:pt idx="83">
                  <c:v>9.990294125538127E-3</c:v>
                </c:pt>
                <c:pt idx="84">
                  <c:v>1.0009659717329297E-2</c:v>
                </c:pt>
                <c:pt idx="85">
                  <c:v>1.00230595373217E-2</c:v>
                </c:pt>
                <c:pt idx="86">
                  <c:v>9.9717898111043556E-3</c:v>
                </c:pt>
                <c:pt idx="87">
                  <c:v>9.9871014816550769E-3</c:v>
                </c:pt>
                <c:pt idx="88">
                  <c:v>9.9744720940862387E-3</c:v>
                </c:pt>
                <c:pt idx="89">
                  <c:v>9.952346177576973E-3</c:v>
                </c:pt>
                <c:pt idx="90">
                  <c:v>9.944910052256525E-3</c:v>
                </c:pt>
                <c:pt idx="91">
                  <c:v>9.9281087199724789E-3</c:v>
                </c:pt>
                <c:pt idx="92">
                  <c:v>9.8839460426332574E-3</c:v>
                </c:pt>
                <c:pt idx="93">
                  <c:v>9.8767833011335869E-3</c:v>
                </c:pt>
                <c:pt idx="94">
                  <c:v>9.8903404613173655E-3</c:v>
                </c:pt>
                <c:pt idx="95">
                  <c:v>9.9357772491177679E-3</c:v>
                </c:pt>
                <c:pt idx="96">
                  <c:v>9.9484117434282641E-3</c:v>
                </c:pt>
                <c:pt idx="97">
                  <c:v>9.9407408084944398E-3</c:v>
                </c:pt>
                <c:pt idx="98">
                  <c:v>9.9331354443600601E-3</c:v>
                </c:pt>
                <c:pt idx="99">
                  <c:v>9.9392540618988522E-3</c:v>
                </c:pt>
                <c:pt idx="100">
                  <c:v>9.9140503615932629E-3</c:v>
                </c:pt>
                <c:pt idx="101">
                  <c:v>9.9116917864695269E-3</c:v>
                </c:pt>
                <c:pt idx="102">
                  <c:v>9.8924438179363375E-3</c:v>
                </c:pt>
                <c:pt idx="103">
                  <c:v>9.8848729598428383E-3</c:v>
                </c:pt>
                <c:pt idx="104">
                  <c:v>9.9350758453557852E-3</c:v>
                </c:pt>
                <c:pt idx="105">
                  <c:v>9.9369440908698772E-3</c:v>
                </c:pt>
                <c:pt idx="106">
                  <c:v>9.972905511732395E-3</c:v>
                </c:pt>
                <c:pt idx="107">
                  <c:v>9.9896961275596548E-3</c:v>
                </c:pt>
                <c:pt idx="108">
                  <c:v>9.9879374072599E-3</c:v>
                </c:pt>
                <c:pt idx="109">
                  <c:v>1.0043149458410287E-2</c:v>
                </c:pt>
                <c:pt idx="110">
                  <c:v>1.0076537811391149E-2</c:v>
                </c:pt>
                <c:pt idx="111">
                  <c:v>1.0079045657077332E-2</c:v>
                </c:pt>
                <c:pt idx="112">
                  <c:v>1.0066057997207703E-2</c:v>
                </c:pt>
                <c:pt idx="113">
                  <c:v>1.0043425796575455E-2</c:v>
                </c:pt>
                <c:pt idx="114">
                  <c:v>1.0044760934183414E-2</c:v>
                </c:pt>
                <c:pt idx="115">
                  <c:v>1.0096461022395795E-2</c:v>
                </c:pt>
                <c:pt idx="116">
                  <c:v>1.0090806100532876E-2</c:v>
                </c:pt>
                <c:pt idx="117">
                  <c:v>1.006372691595005E-2</c:v>
                </c:pt>
                <c:pt idx="118">
                  <c:v>1.0032492151786298E-2</c:v>
                </c:pt>
                <c:pt idx="119">
                  <c:v>1.0057878134194065E-2</c:v>
                </c:pt>
                <c:pt idx="120">
                  <c:v>1.0039878535149104E-2</c:v>
                </c:pt>
                <c:pt idx="121">
                  <c:v>1.0046336617978676E-2</c:v>
                </c:pt>
                <c:pt idx="122">
                  <c:v>1.0064872193971086E-2</c:v>
                </c:pt>
                <c:pt idx="123">
                  <c:v>1.0075239124942816E-2</c:v>
                </c:pt>
                <c:pt idx="124">
                  <c:v>1.007021220974509E-2</c:v>
                </c:pt>
                <c:pt idx="125">
                  <c:v>1.0046954140917169E-2</c:v>
                </c:pt>
                <c:pt idx="126">
                  <c:v>1.0055893694318392E-2</c:v>
                </c:pt>
                <c:pt idx="127">
                  <c:v>1.0138074702184089E-2</c:v>
                </c:pt>
                <c:pt idx="128">
                  <c:v>1.0137888987874169E-2</c:v>
                </c:pt>
                <c:pt idx="129">
                  <c:v>1.0148971872944718E-2</c:v>
                </c:pt>
                <c:pt idx="130">
                  <c:v>1.0131380528446409E-2</c:v>
                </c:pt>
                <c:pt idx="131">
                  <c:v>1.005949138169876E-2</c:v>
                </c:pt>
                <c:pt idx="132">
                  <c:v>1.0080872852630672E-2</c:v>
                </c:pt>
                <c:pt idx="133">
                  <c:v>1.0105833607160004E-2</c:v>
                </c:pt>
                <c:pt idx="134">
                  <c:v>1.0061646298336419E-2</c:v>
                </c:pt>
                <c:pt idx="135">
                  <c:v>1.0066817956334202E-2</c:v>
                </c:pt>
                <c:pt idx="136">
                  <c:v>1.0150467558965539E-2</c:v>
                </c:pt>
                <c:pt idx="137">
                  <c:v>1.0145933585730892E-2</c:v>
                </c:pt>
                <c:pt idx="138">
                  <c:v>1.018382688955527E-2</c:v>
                </c:pt>
                <c:pt idx="139">
                  <c:v>1.0143613665465253E-2</c:v>
                </c:pt>
                <c:pt idx="140">
                  <c:v>1.0122224630538272E-2</c:v>
                </c:pt>
                <c:pt idx="141">
                  <c:v>1.0129086090879324E-2</c:v>
                </c:pt>
                <c:pt idx="142">
                  <c:v>1.0131906380391138E-2</c:v>
                </c:pt>
                <c:pt idx="143">
                  <c:v>1.0166775022918456E-2</c:v>
                </c:pt>
                <c:pt idx="144">
                  <c:v>1.0195109125427837E-2</c:v>
                </c:pt>
                <c:pt idx="145">
                  <c:v>1.0183736089746133E-2</c:v>
                </c:pt>
                <c:pt idx="146">
                  <c:v>1.019653022295001E-2</c:v>
                </c:pt>
                <c:pt idx="147">
                  <c:v>1.0191351744349266E-2</c:v>
                </c:pt>
                <c:pt idx="148">
                  <c:v>1.0166618901312843E-2</c:v>
                </c:pt>
                <c:pt idx="149">
                  <c:v>1.0145023851286315E-2</c:v>
                </c:pt>
                <c:pt idx="150">
                  <c:v>1.0151124709497078E-2</c:v>
                </c:pt>
                <c:pt idx="151">
                  <c:v>1.0145961321159703E-2</c:v>
                </c:pt>
                <c:pt idx="152">
                  <c:v>1.0155440525055633E-2</c:v>
                </c:pt>
                <c:pt idx="153">
                  <c:v>1.0156037574364367E-2</c:v>
                </c:pt>
                <c:pt idx="154">
                  <c:v>1.0195877289714349E-2</c:v>
                </c:pt>
                <c:pt idx="155">
                  <c:v>1.0145373303522833E-2</c:v>
                </c:pt>
                <c:pt idx="156">
                  <c:v>1.0127845980637767E-2</c:v>
                </c:pt>
                <c:pt idx="157">
                  <c:v>1.0090198553726443E-2</c:v>
                </c:pt>
                <c:pt idx="158">
                  <c:v>1.0080769469535778E-2</c:v>
                </c:pt>
                <c:pt idx="159">
                  <c:v>1.0006547732361383E-2</c:v>
                </c:pt>
                <c:pt idx="160">
                  <c:v>1.0026857143379616E-2</c:v>
                </c:pt>
                <c:pt idx="161">
                  <c:v>1.0012462193262978E-2</c:v>
                </c:pt>
                <c:pt idx="162">
                  <c:v>9.9978963997700912E-3</c:v>
                </c:pt>
                <c:pt idx="163">
                  <c:v>9.9874759682096002E-3</c:v>
                </c:pt>
                <c:pt idx="164">
                  <c:v>9.9566996523089094E-3</c:v>
                </c:pt>
                <c:pt idx="165">
                  <c:v>1.0005824152811522E-2</c:v>
                </c:pt>
                <c:pt idx="166">
                  <c:v>1.0040740508875445E-2</c:v>
                </c:pt>
                <c:pt idx="167">
                  <c:v>1.0051615361396045E-2</c:v>
                </c:pt>
                <c:pt idx="168">
                  <c:v>1.0060728762129727E-2</c:v>
                </c:pt>
                <c:pt idx="169">
                  <c:v>1.0126408562118504E-2</c:v>
                </c:pt>
                <c:pt idx="170">
                  <c:v>1.0141815229686197E-2</c:v>
                </c:pt>
                <c:pt idx="171">
                  <c:v>1.018244176254729E-2</c:v>
                </c:pt>
                <c:pt idx="172">
                  <c:v>1.0173488747652287E-2</c:v>
                </c:pt>
                <c:pt idx="173">
                  <c:v>1.0180727306841679E-2</c:v>
                </c:pt>
                <c:pt idx="174">
                  <c:v>1.0107061401484898E-2</c:v>
                </c:pt>
                <c:pt idx="175">
                  <c:v>1.0089926749759339E-2</c:v>
                </c:pt>
                <c:pt idx="176">
                  <c:v>1.0040322520760489E-2</c:v>
                </c:pt>
                <c:pt idx="177">
                  <c:v>1.0023652207287388E-2</c:v>
                </c:pt>
                <c:pt idx="178">
                  <c:v>1.0035945063461504E-2</c:v>
                </c:pt>
                <c:pt idx="179">
                  <c:v>1.0095866600756113E-2</c:v>
                </c:pt>
                <c:pt idx="180">
                  <c:v>1.0112013690823795E-2</c:v>
                </c:pt>
                <c:pt idx="181">
                  <c:v>1.0149343455682316E-2</c:v>
                </c:pt>
                <c:pt idx="182">
                  <c:v>1.0186563353998335E-2</c:v>
                </c:pt>
                <c:pt idx="183">
                  <c:v>1.0221766187909251E-2</c:v>
                </c:pt>
                <c:pt idx="184">
                  <c:v>1.017830118664613E-2</c:v>
                </c:pt>
                <c:pt idx="185">
                  <c:v>1.0159946431406622E-2</c:v>
                </c:pt>
                <c:pt idx="186">
                  <c:v>1.0089717923066503E-2</c:v>
                </c:pt>
                <c:pt idx="187">
                  <c:v>1.00673871069819E-2</c:v>
                </c:pt>
                <c:pt idx="188">
                  <c:v>1.0085655446360765E-2</c:v>
                </c:pt>
                <c:pt idx="189">
                  <c:v>1.0073027365274869E-2</c:v>
                </c:pt>
                <c:pt idx="190">
                  <c:v>1.0084688039832871E-2</c:v>
                </c:pt>
                <c:pt idx="191">
                  <c:v>1.0047669859531528E-2</c:v>
                </c:pt>
                <c:pt idx="192">
                  <c:v>1.0031937500892634E-2</c:v>
                </c:pt>
                <c:pt idx="193">
                  <c:v>1.0066418898828606E-2</c:v>
                </c:pt>
                <c:pt idx="194">
                  <c:v>1.0160935366674272E-2</c:v>
                </c:pt>
                <c:pt idx="195">
                  <c:v>1.0134726657811467E-2</c:v>
                </c:pt>
                <c:pt idx="196">
                  <c:v>1.0148571076504577E-2</c:v>
                </c:pt>
                <c:pt idx="197">
                  <c:v>1.018415397130466E-2</c:v>
                </c:pt>
                <c:pt idx="198">
                  <c:v>1.0154607831207786E-2</c:v>
                </c:pt>
                <c:pt idx="199">
                  <c:v>1.018238695716798E-2</c:v>
                </c:pt>
                <c:pt idx="200">
                  <c:v>1.0201953000714506E-2</c:v>
                </c:pt>
                <c:pt idx="201">
                  <c:v>1.0210299970441377E-2</c:v>
                </c:pt>
                <c:pt idx="202">
                  <c:v>1.0213006565237015E-2</c:v>
                </c:pt>
                <c:pt idx="203">
                  <c:v>1.024086176961519E-2</c:v>
                </c:pt>
                <c:pt idx="204">
                  <c:v>1.0274579780983435E-2</c:v>
                </c:pt>
                <c:pt idx="205">
                  <c:v>1.0277588672111622E-2</c:v>
                </c:pt>
                <c:pt idx="206">
                  <c:v>1.0273649164961828E-2</c:v>
                </c:pt>
                <c:pt idx="207">
                  <c:v>1.024958996501028E-2</c:v>
                </c:pt>
                <c:pt idx="208">
                  <c:v>1.0256694228011252E-2</c:v>
                </c:pt>
                <c:pt idx="209">
                  <c:v>1.0313138559426175E-2</c:v>
                </c:pt>
                <c:pt idx="210">
                  <c:v>1.0266911156225958E-2</c:v>
                </c:pt>
                <c:pt idx="211">
                  <c:v>1.024474825394228E-2</c:v>
                </c:pt>
                <c:pt idx="212">
                  <c:v>1.0218320479549806E-2</c:v>
                </c:pt>
                <c:pt idx="213">
                  <c:v>1.0200836744228161E-2</c:v>
                </c:pt>
                <c:pt idx="214">
                  <c:v>1.0198796205895302E-2</c:v>
                </c:pt>
                <c:pt idx="215">
                  <c:v>1.0173358511491187E-2</c:v>
                </c:pt>
                <c:pt idx="216">
                  <c:v>1.0141621651011477E-2</c:v>
                </c:pt>
                <c:pt idx="217">
                  <c:v>1.0087873264465419E-2</c:v>
                </c:pt>
                <c:pt idx="218">
                  <c:v>1.0142634862776573E-2</c:v>
                </c:pt>
                <c:pt idx="219">
                  <c:v>1.018606426811427E-2</c:v>
                </c:pt>
                <c:pt idx="220">
                  <c:v>1.015980805615852E-2</c:v>
                </c:pt>
                <c:pt idx="221">
                  <c:v>1.0188736893672912E-2</c:v>
                </c:pt>
                <c:pt idx="222">
                  <c:v>1.0221244442331289E-2</c:v>
                </c:pt>
                <c:pt idx="223">
                  <c:v>1.0228878085540499E-2</c:v>
                </c:pt>
                <c:pt idx="224">
                  <c:v>1.0225628949089944E-2</c:v>
                </c:pt>
                <c:pt idx="225">
                  <c:v>1.0249156218523804E-2</c:v>
                </c:pt>
                <c:pt idx="226">
                  <c:v>1.0260422298438623E-2</c:v>
                </c:pt>
                <c:pt idx="227">
                  <c:v>1.0256934817006012E-2</c:v>
                </c:pt>
                <c:pt idx="228">
                  <c:v>1.0230686343514464E-2</c:v>
                </c:pt>
                <c:pt idx="229">
                  <c:v>1.0193683512792406E-2</c:v>
                </c:pt>
                <c:pt idx="230">
                  <c:v>1.021674547461234E-2</c:v>
                </c:pt>
                <c:pt idx="231">
                  <c:v>1.0177731072457447E-2</c:v>
                </c:pt>
                <c:pt idx="232">
                  <c:v>1.0200107234634307E-2</c:v>
                </c:pt>
                <c:pt idx="233">
                  <c:v>1.0253987819621091E-2</c:v>
                </c:pt>
                <c:pt idx="234">
                  <c:v>1.0262478341286622E-2</c:v>
                </c:pt>
                <c:pt idx="235">
                  <c:v>1.0237497991681077E-2</c:v>
                </c:pt>
                <c:pt idx="236">
                  <c:v>1.0274363635495569E-2</c:v>
                </c:pt>
                <c:pt idx="237">
                  <c:v>1.0292503013081261E-2</c:v>
                </c:pt>
                <c:pt idx="238">
                  <c:v>1.0262201834817099E-2</c:v>
                </c:pt>
                <c:pt idx="239">
                  <c:v>1.0281261385688162E-2</c:v>
                </c:pt>
                <c:pt idx="240">
                  <c:v>1.0273991259793129E-2</c:v>
                </c:pt>
                <c:pt idx="241">
                  <c:v>1.0281915808674444E-2</c:v>
                </c:pt>
                <c:pt idx="242">
                  <c:v>1.0282681115746583E-2</c:v>
                </c:pt>
                <c:pt idx="243">
                  <c:v>1.0299858614011356E-2</c:v>
                </c:pt>
                <c:pt idx="244">
                  <c:v>1.0297593564649188E-2</c:v>
                </c:pt>
                <c:pt idx="245">
                  <c:v>1.0338881069360968E-2</c:v>
                </c:pt>
                <c:pt idx="246">
                  <c:v>1.0403011574275398E-2</c:v>
                </c:pt>
                <c:pt idx="247">
                  <c:v>1.0395409746756869E-2</c:v>
                </c:pt>
                <c:pt idx="248">
                  <c:v>1.0403861279657589E-2</c:v>
                </c:pt>
                <c:pt idx="249">
                  <c:v>1.0397050615373746E-2</c:v>
                </c:pt>
                <c:pt idx="250">
                  <c:v>1.0377247155549834E-2</c:v>
                </c:pt>
                <c:pt idx="251">
                  <c:v>1.0447470852135037E-2</c:v>
                </c:pt>
                <c:pt idx="252">
                  <c:v>1.0421362648763165E-2</c:v>
                </c:pt>
                <c:pt idx="253">
                  <c:v>1.035744485568287E-2</c:v>
                </c:pt>
                <c:pt idx="254">
                  <c:v>1.0337661493239178E-2</c:v>
                </c:pt>
                <c:pt idx="255">
                  <c:v>1.0345297531634942E-2</c:v>
                </c:pt>
                <c:pt idx="256">
                  <c:v>1.0385028805909769E-2</c:v>
                </c:pt>
                <c:pt idx="257">
                  <c:v>1.0355014886684876E-2</c:v>
                </c:pt>
                <c:pt idx="258">
                  <c:v>1.0340739034532519E-2</c:v>
                </c:pt>
                <c:pt idx="259">
                  <c:v>1.0397359762789837E-2</c:v>
                </c:pt>
                <c:pt idx="260">
                  <c:v>1.0432193061946232E-2</c:v>
                </c:pt>
                <c:pt idx="261">
                  <c:v>1.0423449191863329E-2</c:v>
                </c:pt>
                <c:pt idx="262">
                  <c:v>1.0415217479006504E-2</c:v>
                </c:pt>
                <c:pt idx="263">
                  <c:v>1.0359334895286027E-2</c:v>
                </c:pt>
                <c:pt idx="264">
                  <c:v>1.0335820234435552E-2</c:v>
                </c:pt>
                <c:pt idx="265">
                  <c:v>1.0356785053406641E-2</c:v>
                </c:pt>
                <c:pt idx="266">
                  <c:v>1.0397520107173024E-2</c:v>
                </c:pt>
                <c:pt idx="267">
                  <c:v>1.0447858344774253E-2</c:v>
                </c:pt>
                <c:pt idx="268">
                  <c:v>1.0407114087416959E-2</c:v>
                </c:pt>
                <c:pt idx="269">
                  <c:v>1.0352042035869318E-2</c:v>
                </c:pt>
                <c:pt idx="270">
                  <c:v>1.0417105426275407E-2</c:v>
                </c:pt>
                <c:pt idx="271">
                  <c:v>1.0410964513152274E-2</c:v>
                </c:pt>
                <c:pt idx="272">
                  <c:v>1.0398140083988266E-2</c:v>
                </c:pt>
                <c:pt idx="273">
                  <c:v>1.0389451578294654E-2</c:v>
                </c:pt>
                <c:pt idx="274">
                  <c:v>1.0440463651455269E-2</c:v>
                </c:pt>
                <c:pt idx="275">
                  <c:v>1.0435623889556411E-2</c:v>
                </c:pt>
                <c:pt idx="276">
                  <c:v>1.0420600803228644E-2</c:v>
                </c:pt>
                <c:pt idx="277">
                  <c:v>1.0425126469956275E-2</c:v>
                </c:pt>
                <c:pt idx="278">
                  <c:v>1.0438761122364797E-2</c:v>
                </c:pt>
                <c:pt idx="279">
                  <c:v>1.0397744651776899E-2</c:v>
                </c:pt>
                <c:pt idx="280">
                  <c:v>1.0424085840955921E-2</c:v>
                </c:pt>
                <c:pt idx="281">
                  <c:v>1.0429415244914305E-2</c:v>
                </c:pt>
                <c:pt idx="282">
                  <c:v>1.0441819069995178E-2</c:v>
                </c:pt>
                <c:pt idx="283">
                  <c:v>1.0470185700157007E-2</c:v>
                </c:pt>
                <c:pt idx="284">
                  <c:v>1.0465152789358067E-2</c:v>
                </c:pt>
                <c:pt idx="285">
                  <c:v>1.0488789551999141E-2</c:v>
                </c:pt>
                <c:pt idx="286">
                  <c:v>1.0447693676413527E-2</c:v>
                </c:pt>
                <c:pt idx="287">
                  <c:v>1.0482160161557985E-2</c:v>
                </c:pt>
                <c:pt idx="288">
                  <c:v>1.0476311687608025E-2</c:v>
                </c:pt>
                <c:pt idx="289">
                  <c:v>1.043522305460565E-2</c:v>
                </c:pt>
                <c:pt idx="290">
                  <c:v>1.0403248291775694E-2</c:v>
                </c:pt>
                <c:pt idx="291">
                  <c:v>1.0374995971677639E-2</c:v>
                </c:pt>
                <c:pt idx="292">
                  <c:v>1.0374324948665454E-2</c:v>
                </c:pt>
                <c:pt idx="293">
                  <c:v>1.0344451803844287E-2</c:v>
                </c:pt>
                <c:pt idx="294">
                  <c:v>1.0334404654607528E-2</c:v>
                </c:pt>
                <c:pt idx="295">
                  <c:v>1.0414992068355011E-2</c:v>
                </c:pt>
                <c:pt idx="296">
                  <c:v>1.0391054127233441E-2</c:v>
                </c:pt>
                <c:pt idx="297">
                  <c:v>1.0415246369374999E-2</c:v>
                </c:pt>
                <c:pt idx="298">
                  <c:v>1.0368894283167056E-2</c:v>
                </c:pt>
                <c:pt idx="299">
                  <c:v>1.03759028481436E-2</c:v>
                </c:pt>
                <c:pt idx="300">
                  <c:v>1.0374210369556243E-2</c:v>
                </c:pt>
                <c:pt idx="301">
                  <c:v>1.0379774775120995E-2</c:v>
                </c:pt>
                <c:pt idx="302">
                  <c:v>1.0366499313235194E-2</c:v>
                </c:pt>
                <c:pt idx="303">
                  <c:v>1.0412513124376721E-2</c:v>
                </c:pt>
                <c:pt idx="304">
                  <c:v>1.0364398605467626E-2</c:v>
                </c:pt>
                <c:pt idx="305">
                  <c:v>1.0401443265212968E-2</c:v>
                </c:pt>
                <c:pt idx="306">
                  <c:v>1.0403125993855809E-2</c:v>
                </c:pt>
                <c:pt idx="307">
                  <c:v>1.0393913978895462E-2</c:v>
                </c:pt>
                <c:pt idx="308">
                  <c:v>1.0414878154119544E-2</c:v>
                </c:pt>
                <c:pt idx="309">
                  <c:v>1.0386267756071495E-2</c:v>
                </c:pt>
                <c:pt idx="310">
                  <c:v>1.0396616135022515E-2</c:v>
                </c:pt>
                <c:pt idx="311">
                  <c:v>1.035844180166392E-2</c:v>
                </c:pt>
                <c:pt idx="312">
                  <c:v>1.0382915024684849E-2</c:v>
                </c:pt>
                <c:pt idx="313">
                  <c:v>1.0380610729025705E-2</c:v>
                </c:pt>
                <c:pt idx="314">
                  <c:v>1.0381852481060879E-2</c:v>
                </c:pt>
                <c:pt idx="315">
                  <c:v>1.0352430067159281E-2</c:v>
                </c:pt>
                <c:pt idx="316">
                  <c:v>1.0355764269162055E-2</c:v>
                </c:pt>
                <c:pt idx="317">
                  <c:v>1.039886651376302E-2</c:v>
                </c:pt>
                <c:pt idx="318">
                  <c:v>1.0353608450215853E-2</c:v>
                </c:pt>
                <c:pt idx="319">
                  <c:v>1.0290024557068726E-2</c:v>
                </c:pt>
                <c:pt idx="320">
                  <c:v>1.0232887326902897E-2</c:v>
                </c:pt>
                <c:pt idx="321">
                  <c:v>1.0210777803066803E-2</c:v>
                </c:pt>
                <c:pt idx="322">
                  <c:v>1.0237134088942484E-2</c:v>
                </c:pt>
                <c:pt idx="323">
                  <c:v>1.0167035046706921E-2</c:v>
                </c:pt>
                <c:pt idx="324">
                  <c:v>1.0160136151650559E-2</c:v>
                </c:pt>
                <c:pt idx="325">
                  <c:v>1.0188531539631319E-2</c:v>
                </c:pt>
                <c:pt idx="326">
                  <c:v>1.0143663057865427E-2</c:v>
                </c:pt>
                <c:pt idx="327">
                  <c:v>1.0104303014892619E-2</c:v>
                </c:pt>
                <c:pt idx="328">
                  <c:v>1.0123239688779647E-2</c:v>
                </c:pt>
                <c:pt idx="329">
                  <c:v>1.0134583600755835E-2</c:v>
                </c:pt>
                <c:pt idx="330">
                  <c:v>1.016830284819845E-2</c:v>
                </c:pt>
                <c:pt idx="331">
                  <c:v>1.0216713835307546E-2</c:v>
                </c:pt>
                <c:pt idx="332">
                  <c:v>1.0233211338021754E-2</c:v>
                </c:pt>
                <c:pt idx="333">
                  <c:v>1.0225766220158923E-2</c:v>
                </c:pt>
                <c:pt idx="334">
                  <c:v>1.0234008697231503E-2</c:v>
                </c:pt>
                <c:pt idx="335">
                  <c:v>1.0253288095651842E-2</c:v>
                </c:pt>
                <c:pt idx="336">
                  <c:v>1.0278256343797979E-2</c:v>
                </c:pt>
                <c:pt idx="337">
                  <c:v>1.0281129379842241E-2</c:v>
                </c:pt>
                <c:pt idx="338">
                  <c:v>1.0298614825221021E-2</c:v>
                </c:pt>
                <c:pt idx="339">
                  <c:v>1.0324545793188566E-2</c:v>
                </c:pt>
                <c:pt idx="340">
                  <c:v>1.0274737634097895E-2</c:v>
                </c:pt>
                <c:pt idx="341">
                  <c:v>1.0227934692605438E-2</c:v>
                </c:pt>
                <c:pt idx="342">
                  <c:v>1.0227926559595894E-2</c:v>
                </c:pt>
                <c:pt idx="343">
                  <c:v>1.0218403594096223E-2</c:v>
                </c:pt>
                <c:pt idx="344">
                  <c:v>1.0222062744704158E-2</c:v>
                </c:pt>
                <c:pt idx="345">
                  <c:v>1.0159995161781232E-2</c:v>
                </c:pt>
                <c:pt idx="346">
                  <c:v>1.0179910902757411E-2</c:v>
                </c:pt>
                <c:pt idx="347">
                  <c:v>1.0149350698912056E-2</c:v>
                </c:pt>
                <c:pt idx="348">
                  <c:v>1.0141415151786015E-2</c:v>
                </c:pt>
                <c:pt idx="349">
                  <c:v>1.0148044061369947E-2</c:v>
                </c:pt>
                <c:pt idx="350">
                  <c:v>1.0128767851844493E-2</c:v>
                </c:pt>
                <c:pt idx="351">
                  <c:v>1.0188619413569942E-2</c:v>
                </c:pt>
                <c:pt idx="352">
                  <c:v>1.0180235308601225E-2</c:v>
                </c:pt>
                <c:pt idx="353">
                  <c:v>1.013028804471916E-2</c:v>
                </c:pt>
                <c:pt idx="354">
                  <c:v>1.0062140091515894E-2</c:v>
                </c:pt>
                <c:pt idx="355">
                  <c:v>1.0069259745012708E-2</c:v>
                </c:pt>
                <c:pt idx="356">
                  <c:v>1.0063870441186919E-2</c:v>
                </c:pt>
                <c:pt idx="357">
                  <c:v>1.0060645705932729E-2</c:v>
                </c:pt>
                <c:pt idx="358">
                  <c:v>1.004724633140805E-2</c:v>
                </c:pt>
                <c:pt idx="359">
                  <c:v>1.0083936458034119E-2</c:v>
                </c:pt>
                <c:pt idx="360">
                  <c:v>1.0066522658875338E-2</c:v>
                </c:pt>
                <c:pt idx="361">
                  <c:v>1.009735695593952E-2</c:v>
                </c:pt>
                <c:pt idx="362">
                  <c:v>1.0051087059451312E-2</c:v>
                </c:pt>
                <c:pt idx="363">
                  <c:v>1.0086785142948747E-2</c:v>
                </c:pt>
                <c:pt idx="364">
                  <c:v>1.0105116628746177E-2</c:v>
                </c:pt>
                <c:pt idx="365">
                  <c:v>1.0100351640261787E-2</c:v>
                </c:pt>
                <c:pt idx="366">
                  <c:v>1.00811772362875E-2</c:v>
                </c:pt>
                <c:pt idx="367">
                  <c:v>1.0121737839909831E-2</c:v>
                </c:pt>
                <c:pt idx="368">
                  <c:v>1.0105099373883828E-2</c:v>
                </c:pt>
                <c:pt idx="369">
                  <c:v>1.0169433010057382E-2</c:v>
                </c:pt>
                <c:pt idx="370">
                  <c:v>1.0192484956607861E-2</c:v>
                </c:pt>
                <c:pt idx="371">
                  <c:v>1.0216796086234412E-2</c:v>
                </c:pt>
                <c:pt idx="372">
                  <c:v>1.0229541302995622E-2</c:v>
                </c:pt>
                <c:pt idx="373">
                  <c:v>1.0185102402515075E-2</c:v>
                </c:pt>
                <c:pt idx="374">
                  <c:v>1.0145966652626943E-2</c:v>
                </c:pt>
                <c:pt idx="375">
                  <c:v>1.017856935914874E-2</c:v>
                </c:pt>
                <c:pt idx="376">
                  <c:v>1.0137243119101771E-2</c:v>
                </c:pt>
                <c:pt idx="377">
                  <c:v>1.0112240148310737E-2</c:v>
                </c:pt>
                <c:pt idx="378">
                  <c:v>1.0115505990633086E-2</c:v>
                </c:pt>
                <c:pt idx="379">
                  <c:v>1.0135499325080373E-2</c:v>
                </c:pt>
                <c:pt idx="380">
                  <c:v>1.0147564737679171E-2</c:v>
                </c:pt>
                <c:pt idx="381">
                  <c:v>1.0144456790663281E-2</c:v>
                </c:pt>
                <c:pt idx="382">
                  <c:v>1.0159639783349227E-2</c:v>
                </c:pt>
                <c:pt idx="383">
                  <c:v>1.0141529204108723E-2</c:v>
                </c:pt>
                <c:pt idx="384">
                  <c:v>1.0130188870430675E-2</c:v>
                </c:pt>
                <c:pt idx="385">
                  <c:v>1.010532437283853E-2</c:v>
                </c:pt>
                <c:pt idx="386">
                  <c:v>1.0079489947159187E-2</c:v>
                </c:pt>
                <c:pt idx="387">
                  <c:v>1.0127650626277561E-2</c:v>
                </c:pt>
                <c:pt idx="388">
                  <c:v>1.0153733916063336E-2</c:v>
                </c:pt>
                <c:pt idx="389">
                  <c:v>1.018741943494875E-2</c:v>
                </c:pt>
                <c:pt idx="390">
                  <c:v>1.0229869954294313E-2</c:v>
                </c:pt>
                <c:pt idx="391">
                  <c:v>1.0248283107354325E-2</c:v>
                </c:pt>
                <c:pt idx="392">
                  <c:v>1.0218836984199257E-2</c:v>
                </c:pt>
                <c:pt idx="393">
                  <c:v>1.0191665559444951E-2</c:v>
                </c:pt>
                <c:pt idx="394">
                  <c:v>1.0205937953325344E-2</c:v>
                </c:pt>
                <c:pt idx="395">
                  <c:v>1.0165241883229932E-2</c:v>
                </c:pt>
                <c:pt idx="396">
                  <c:v>1.0202414711361293E-2</c:v>
                </c:pt>
                <c:pt idx="397">
                  <c:v>1.0246390936236589E-2</c:v>
                </c:pt>
                <c:pt idx="398">
                  <c:v>1.0278446501773657E-2</c:v>
                </c:pt>
                <c:pt idx="399">
                  <c:v>1.0240995411836011E-2</c:v>
                </c:pt>
                <c:pt idx="400">
                  <c:v>1.0289697751275034E-2</c:v>
                </c:pt>
                <c:pt idx="401">
                  <c:v>1.0302708458583059E-2</c:v>
                </c:pt>
                <c:pt idx="402">
                  <c:v>1.0298423234538872E-2</c:v>
                </c:pt>
                <c:pt idx="403">
                  <c:v>1.0255503352851723E-2</c:v>
                </c:pt>
                <c:pt idx="404">
                  <c:v>1.025742144001761E-2</c:v>
                </c:pt>
                <c:pt idx="405">
                  <c:v>1.0205448368688679E-2</c:v>
                </c:pt>
                <c:pt idx="406">
                  <c:v>1.0194778398787296E-2</c:v>
                </c:pt>
                <c:pt idx="407">
                  <c:v>1.0182867172595337E-2</c:v>
                </c:pt>
                <c:pt idx="408">
                  <c:v>1.0203615706177636E-2</c:v>
                </c:pt>
                <c:pt idx="409">
                  <c:v>1.0160452724359335E-2</c:v>
                </c:pt>
                <c:pt idx="410">
                  <c:v>1.0223691750541608E-2</c:v>
                </c:pt>
                <c:pt idx="411">
                  <c:v>1.0238263941748071E-2</c:v>
                </c:pt>
                <c:pt idx="412">
                  <c:v>1.0249388406344146E-2</c:v>
                </c:pt>
                <c:pt idx="413">
                  <c:v>1.0261375081128862E-2</c:v>
                </c:pt>
                <c:pt idx="414">
                  <c:v>1.0265568373793573E-2</c:v>
                </c:pt>
                <c:pt idx="415">
                  <c:v>1.021452985047455E-2</c:v>
                </c:pt>
                <c:pt idx="416">
                  <c:v>1.0203041677617826E-2</c:v>
                </c:pt>
                <c:pt idx="417">
                  <c:v>1.018567324886965E-2</c:v>
                </c:pt>
                <c:pt idx="418">
                  <c:v>1.0148632399876864E-2</c:v>
                </c:pt>
                <c:pt idx="419">
                  <c:v>1.0140243306122225E-2</c:v>
                </c:pt>
                <c:pt idx="420">
                  <c:v>1.0112648005102979E-2</c:v>
                </c:pt>
                <c:pt idx="421">
                  <c:v>1.0143145624777009E-2</c:v>
                </c:pt>
                <c:pt idx="422">
                  <c:v>1.0127093295211477E-2</c:v>
                </c:pt>
                <c:pt idx="423">
                  <c:v>1.018958808130547E-2</c:v>
                </c:pt>
                <c:pt idx="424">
                  <c:v>1.019337047613645E-2</c:v>
                </c:pt>
                <c:pt idx="425">
                  <c:v>1.0211022260661555E-2</c:v>
                </c:pt>
                <c:pt idx="426">
                  <c:v>1.016978735036872E-2</c:v>
                </c:pt>
                <c:pt idx="427">
                  <c:v>1.0131069066263607E-2</c:v>
                </c:pt>
                <c:pt idx="428">
                  <c:v>1.0150126505411998E-2</c:v>
                </c:pt>
                <c:pt idx="429">
                  <c:v>1.0113657266900144E-2</c:v>
                </c:pt>
                <c:pt idx="430">
                  <c:v>1.0071539724050995E-2</c:v>
                </c:pt>
                <c:pt idx="431">
                  <c:v>1.0109752394497703E-2</c:v>
                </c:pt>
                <c:pt idx="432">
                  <c:v>1.0097647966078108E-2</c:v>
                </c:pt>
                <c:pt idx="433">
                  <c:v>1.0091921850892293E-2</c:v>
                </c:pt>
                <c:pt idx="434">
                  <c:v>1.0101906476769737E-2</c:v>
                </c:pt>
                <c:pt idx="435">
                  <c:v>1.0145518819704579E-2</c:v>
                </c:pt>
                <c:pt idx="436">
                  <c:v>1.0102901204089828E-2</c:v>
                </c:pt>
                <c:pt idx="437">
                  <c:v>1.0129620014471449E-2</c:v>
                </c:pt>
                <c:pt idx="438">
                  <c:v>1.0133849597061073E-2</c:v>
                </c:pt>
                <c:pt idx="439">
                  <c:v>1.0151771128645104E-2</c:v>
                </c:pt>
                <c:pt idx="440">
                  <c:v>1.0156455951122686E-2</c:v>
                </c:pt>
                <c:pt idx="441">
                  <c:v>1.0139658623984372E-2</c:v>
                </c:pt>
                <c:pt idx="442">
                  <c:v>1.0171709035620617E-2</c:v>
                </c:pt>
                <c:pt idx="443">
                  <c:v>1.0189471267944469E-2</c:v>
                </c:pt>
                <c:pt idx="444">
                  <c:v>1.02067872419164E-2</c:v>
                </c:pt>
                <c:pt idx="445">
                  <c:v>1.0205591172090776E-2</c:v>
                </c:pt>
                <c:pt idx="446">
                  <c:v>1.0230876644030619E-2</c:v>
                </c:pt>
                <c:pt idx="447">
                  <c:v>1.0220090205767781E-2</c:v>
                </c:pt>
                <c:pt idx="448">
                  <c:v>1.018380337495498E-2</c:v>
                </c:pt>
                <c:pt idx="449">
                  <c:v>1.0177011412012587E-2</c:v>
                </c:pt>
                <c:pt idx="450">
                  <c:v>1.0155153766521053E-2</c:v>
                </c:pt>
                <c:pt idx="451">
                  <c:v>1.0115549714996253E-2</c:v>
                </c:pt>
                <c:pt idx="452">
                  <c:v>1.0072058336578784E-2</c:v>
                </c:pt>
                <c:pt idx="453">
                  <c:v>1.008808230610426E-2</c:v>
                </c:pt>
                <c:pt idx="454">
                  <c:v>1.0102730060640773E-2</c:v>
                </c:pt>
                <c:pt idx="455">
                  <c:v>1.0083592241099506E-2</c:v>
                </c:pt>
                <c:pt idx="456">
                  <c:v>1.0100904210802683E-2</c:v>
                </c:pt>
                <c:pt idx="457">
                  <c:v>1.0085510865897459E-2</c:v>
                </c:pt>
                <c:pt idx="458">
                  <c:v>1.0078726634431203E-2</c:v>
                </c:pt>
                <c:pt idx="459">
                  <c:v>1.0079983079930443E-2</c:v>
                </c:pt>
                <c:pt idx="460">
                  <c:v>1.0121266229176048E-2</c:v>
                </c:pt>
                <c:pt idx="461">
                  <c:v>1.0122158504923696E-2</c:v>
                </c:pt>
                <c:pt idx="462">
                  <c:v>1.007634886346055E-2</c:v>
                </c:pt>
                <c:pt idx="463">
                  <c:v>1.0000179585295976E-2</c:v>
                </c:pt>
                <c:pt idx="464">
                  <c:v>1.0015877212858642E-2</c:v>
                </c:pt>
                <c:pt idx="465">
                  <c:v>9.9685847567892519E-3</c:v>
                </c:pt>
                <c:pt idx="466">
                  <c:v>9.9924953360249445E-3</c:v>
                </c:pt>
                <c:pt idx="467">
                  <c:v>1.0025812491927955E-2</c:v>
                </c:pt>
                <c:pt idx="468">
                  <c:v>9.9977967725875961E-3</c:v>
                </c:pt>
                <c:pt idx="469">
                  <c:v>9.962457391267103E-3</c:v>
                </c:pt>
                <c:pt idx="470">
                  <c:v>9.9433199244988533E-3</c:v>
                </c:pt>
                <c:pt idx="471">
                  <c:v>9.9006085367071318E-3</c:v>
                </c:pt>
                <c:pt idx="472">
                  <c:v>9.908975888342067E-3</c:v>
                </c:pt>
                <c:pt idx="473">
                  <c:v>9.8932510270334402E-3</c:v>
                </c:pt>
                <c:pt idx="474">
                  <c:v>9.930641068891204E-3</c:v>
                </c:pt>
                <c:pt idx="475">
                  <c:v>9.924258223023846E-3</c:v>
                </c:pt>
                <c:pt idx="476">
                  <c:v>9.914790681803308E-3</c:v>
                </c:pt>
                <c:pt idx="477">
                  <c:v>9.905986704382105E-3</c:v>
                </c:pt>
                <c:pt idx="478">
                  <c:v>9.8539442984622271E-3</c:v>
                </c:pt>
                <c:pt idx="479">
                  <c:v>9.8753821343377061E-3</c:v>
                </c:pt>
                <c:pt idx="480">
                  <c:v>9.9453670044322238E-3</c:v>
                </c:pt>
                <c:pt idx="481">
                  <c:v>9.9454523673140234E-3</c:v>
                </c:pt>
                <c:pt idx="482">
                  <c:v>9.9334288337617812E-3</c:v>
                </c:pt>
                <c:pt idx="483">
                  <c:v>9.980802454017175E-3</c:v>
                </c:pt>
                <c:pt idx="484">
                  <c:v>1.0001542893256232E-2</c:v>
                </c:pt>
                <c:pt idx="485">
                  <c:v>1.0044910895697718E-2</c:v>
                </c:pt>
                <c:pt idx="486">
                  <c:v>1.0042464072498073E-2</c:v>
                </c:pt>
                <c:pt idx="487">
                  <c:v>1.0044770725375242E-2</c:v>
                </c:pt>
                <c:pt idx="488">
                  <c:v>1.0085531350671299E-2</c:v>
                </c:pt>
                <c:pt idx="489">
                  <c:v>1.0146629487802645E-2</c:v>
                </c:pt>
                <c:pt idx="490">
                  <c:v>1.016033918400568E-2</c:v>
                </c:pt>
                <c:pt idx="491">
                  <c:v>1.0179128351558736E-2</c:v>
                </c:pt>
                <c:pt idx="492">
                  <c:v>1.0217587895775707E-2</c:v>
                </c:pt>
                <c:pt idx="493">
                  <c:v>1.0211641603577475E-2</c:v>
                </c:pt>
                <c:pt idx="494">
                  <c:v>1.0248995275541233E-2</c:v>
                </c:pt>
                <c:pt idx="495">
                  <c:v>1.0296897211564966E-2</c:v>
                </c:pt>
                <c:pt idx="496">
                  <c:v>1.0275067928271956E-2</c:v>
                </c:pt>
                <c:pt idx="497">
                  <c:v>1.0271398220814269E-2</c:v>
                </c:pt>
                <c:pt idx="498">
                  <c:v>1.0306386141650912E-2</c:v>
                </c:pt>
                <c:pt idx="499">
                  <c:v>1.0264057970524159E-2</c:v>
                </c:pt>
                <c:pt idx="500">
                  <c:v>1.0268644595050126E-2</c:v>
                </c:pt>
                <c:pt idx="501">
                  <c:v>1.0269933144906939E-2</c:v>
                </c:pt>
                <c:pt idx="502">
                  <c:v>1.0334831063810706E-2</c:v>
                </c:pt>
                <c:pt idx="503">
                  <c:v>1.0317631892340338E-2</c:v>
                </c:pt>
                <c:pt idx="504">
                  <c:v>1.0324365594305288E-2</c:v>
                </c:pt>
                <c:pt idx="505">
                  <c:v>1.0314565748896384E-2</c:v>
                </c:pt>
                <c:pt idx="506">
                  <c:v>1.0275837779672593E-2</c:v>
                </c:pt>
                <c:pt idx="507">
                  <c:v>1.0266322558094277E-2</c:v>
                </c:pt>
                <c:pt idx="508">
                  <c:v>1.0245269441689894E-2</c:v>
                </c:pt>
                <c:pt idx="509">
                  <c:v>1.0193079862253823E-2</c:v>
                </c:pt>
                <c:pt idx="510">
                  <c:v>1.0204678737958607E-2</c:v>
                </c:pt>
                <c:pt idx="511">
                  <c:v>1.0200962562434367E-2</c:v>
                </c:pt>
                <c:pt idx="512">
                  <c:v>1.022232579389983E-2</c:v>
                </c:pt>
                <c:pt idx="513">
                  <c:v>1.0166255547428213E-2</c:v>
                </c:pt>
                <c:pt idx="514">
                  <c:v>1.0145376134730067E-2</c:v>
                </c:pt>
                <c:pt idx="515">
                  <c:v>1.0136570763484115E-2</c:v>
                </c:pt>
                <c:pt idx="516">
                  <c:v>1.0088530016354487E-2</c:v>
                </c:pt>
                <c:pt idx="517">
                  <c:v>1.0091736127232289E-2</c:v>
                </c:pt>
                <c:pt idx="518">
                  <c:v>1.0110742758611797E-2</c:v>
                </c:pt>
                <c:pt idx="519">
                  <c:v>1.0112153421019499E-2</c:v>
                </c:pt>
                <c:pt idx="520">
                  <c:v>1.0109237015224143E-2</c:v>
                </c:pt>
                <c:pt idx="521">
                  <c:v>1.0108283910354919E-2</c:v>
                </c:pt>
                <c:pt idx="522">
                  <c:v>1.0124550549589948E-2</c:v>
                </c:pt>
                <c:pt idx="523">
                  <c:v>1.0183588089045247E-2</c:v>
                </c:pt>
                <c:pt idx="524">
                  <c:v>1.0225461379759295E-2</c:v>
                </c:pt>
                <c:pt idx="525">
                  <c:v>1.0224874758915734E-2</c:v>
                </c:pt>
                <c:pt idx="526">
                  <c:v>1.0229847396630434E-2</c:v>
                </c:pt>
                <c:pt idx="527">
                  <c:v>1.0199376239157414E-2</c:v>
                </c:pt>
                <c:pt idx="528">
                  <c:v>1.0154721017458708E-2</c:v>
                </c:pt>
                <c:pt idx="529">
                  <c:v>1.0164513517143205E-2</c:v>
                </c:pt>
                <c:pt idx="530">
                  <c:v>1.0174322120356936E-2</c:v>
                </c:pt>
                <c:pt idx="531">
                  <c:v>1.0134606827267667E-2</c:v>
                </c:pt>
                <c:pt idx="532">
                  <c:v>1.0119620026512172E-2</c:v>
                </c:pt>
                <c:pt idx="533">
                  <c:v>1.0145841414179547E-2</c:v>
                </c:pt>
                <c:pt idx="534">
                  <c:v>1.0129629045491662E-2</c:v>
                </c:pt>
                <c:pt idx="535">
                  <c:v>1.0098574288615041E-2</c:v>
                </c:pt>
                <c:pt idx="536">
                  <c:v>1.007272887129017E-2</c:v>
                </c:pt>
                <c:pt idx="537">
                  <c:v>1.0115781358216882E-2</c:v>
                </c:pt>
                <c:pt idx="538">
                  <c:v>1.0149226735077345E-2</c:v>
                </c:pt>
                <c:pt idx="539">
                  <c:v>1.0126498437013279E-2</c:v>
                </c:pt>
                <c:pt idx="540">
                  <c:v>1.0142297230954314E-2</c:v>
                </c:pt>
                <c:pt idx="541">
                  <c:v>1.0108062257869276E-2</c:v>
                </c:pt>
                <c:pt idx="542">
                  <c:v>1.0092669205229641E-2</c:v>
                </c:pt>
                <c:pt idx="543">
                  <c:v>1.0097516615631168E-2</c:v>
                </c:pt>
                <c:pt idx="544">
                  <c:v>1.0033372990467904E-2</c:v>
                </c:pt>
                <c:pt idx="545">
                  <c:v>9.9955366222541069E-3</c:v>
                </c:pt>
                <c:pt idx="546">
                  <c:v>9.964773796429743E-3</c:v>
                </c:pt>
                <c:pt idx="547">
                  <c:v>9.9800210199273952E-3</c:v>
                </c:pt>
                <c:pt idx="548">
                  <c:v>1.0031616116195361E-2</c:v>
                </c:pt>
                <c:pt idx="549">
                  <c:v>1.0001004178631381E-2</c:v>
                </c:pt>
                <c:pt idx="550">
                  <c:v>9.9907075545788895E-3</c:v>
                </c:pt>
                <c:pt idx="551">
                  <c:v>1.0032256273997535E-2</c:v>
                </c:pt>
                <c:pt idx="552">
                  <c:v>9.9626319984717077E-3</c:v>
                </c:pt>
                <c:pt idx="553">
                  <c:v>9.9814088377565245E-3</c:v>
                </c:pt>
                <c:pt idx="554">
                  <c:v>9.9871227660626206E-3</c:v>
                </c:pt>
                <c:pt idx="555">
                  <c:v>9.9621687662112129E-3</c:v>
                </c:pt>
                <c:pt idx="556">
                  <c:v>9.8925072810755518E-3</c:v>
                </c:pt>
                <c:pt idx="557">
                  <c:v>9.9169197790205093E-3</c:v>
                </c:pt>
                <c:pt idx="558">
                  <c:v>9.964387755079962E-3</c:v>
                </c:pt>
                <c:pt idx="559">
                  <c:v>9.9593682644139765E-3</c:v>
                </c:pt>
                <c:pt idx="560">
                  <c:v>9.9687390011679502E-3</c:v>
                </c:pt>
                <c:pt idx="561">
                  <c:v>9.957356093187656E-3</c:v>
                </c:pt>
                <c:pt idx="562">
                  <c:v>9.9638827132825219E-3</c:v>
                </c:pt>
                <c:pt idx="563">
                  <c:v>9.9607827271718189E-3</c:v>
                </c:pt>
                <c:pt idx="564">
                  <c:v>9.9998194447210656E-3</c:v>
                </c:pt>
                <c:pt idx="565">
                  <c:v>9.9811875357673305E-3</c:v>
                </c:pt>
                <c:pt idx="566">
                  <c:v>9.9325545390849933E-3</c:v>
                </c:pt>
                <c:pt idx="567">
                  <c:v>9.9211665168287746E-3</c:v>
                </c:pt>
                <c:pt idx="568">
                  <c:v>9.9061724636172032E-3</c:v>
                </c:pt>
                <c:pt idx="569">
                  <c:v>9.892101854992218E-3</c:v>
                </c:pt>
                <c:pt idx="570">
                  <c:v>9.8495917818582131E-3</c:v>
                </c:pt>
                <c:pt idx="571">
                  <c:v>9.810765463227707E-3</c:v>
                </c:pt>
                <c:pt idx="572">
                  <c:v>9.7354786560438344E-3</c:v>
                </c:pt>
                <c:pt idx="573">
                  <c:v>9.7129551734052248E-3</c:v>
                </c:pt>
                <c:pt idx="574">
                  <c:v>9.7501303919006379E-3</c:v>
                </c:pt>
                <c:pt idx="575">
                  <c:v>9.7335842447385645E-3</c:v>
                </c:pt>
                <c:pt idx="576">
                  <c:v>9.6709593812814697E-3</c:v>
                </c:pt>
                <c:pt idx="577">
                  <c:v>9.68519315444538E-3</c:v>
                </c:pt>
                <c:pt idx="578">
                  <c:v>9.6814723683624638E-3</c:v>
                </c:pt>
                <c:pt idx="579">
                  <c:v>9.7610284521245233E-3</c:v>
                </c:pt>
                <c:pt idx="580">
                  <c:v>9.7619628262572214E-3</c:v>
                </c:pt>
                <c:pt idx="581">
                  <c:v>9.803984912003863E-3</c:v>
                </c:pt>
                <c:pt idx="582">
                  <c:v>9.8147467170865785E-3</c:v>
                </c:pt>
                <c:pt idx="583">
                  <c:v>9.8057772709951689E-3</c:v>
                </c:pt>
                <c:pt idx="584">
                  <c:v>9.808381566889476E-3</c:v>
                </c:pt>
                <c:pt idx="585">
                  <c:v>9.8306831765293499E-3</c:v>
                </c:pt>
                <c:pt idx="586">
                  <c:v>9.7719705769483134E-3</c:v>
                </c:pt>
                <c:pt idx="587">
                  <c:v>9.7997738752537318E-3</c:v>
                </c:pt>
                <c:pt idx="588">
                  <c:v>9.8117066675519615E-3</c:v>
                </c:pt>
                <c:pt idx="589">
                  <c:v>9.8222968229799319E-3</c:v>
                </c:pt>
                <c:pt idx="590">
                  <c:v>9.7766077030293861E-3</c:v>
                </c:pt>
                <c:pt idx="591">
                  <c:v>9.8116949965794276E-3</c:v>
                </c:pt>
                <c:pt idx="592">
                  <c:v>9.7945170052671261E-3</c:v>
                </c:pt>
                <c:pt idx="593">
                  <c:v>9.8377851354837578E-3</c:v>
                </c:pt>
                <c:pt idx="594">
                  <c:v>9.8445858893488076E-3</c:v>
                </c:pt>
                <c:pt idx="595">
                  <c:v>9.8915327602546958E-3</c:v>
                </c:pt>
                <c:pt idx="596">
                  <c:v>9.9097558449695693E-3</c:v>
                </c:pt>
                <c:pt idx="597">
                  <c:v>9.8589965956154546E-3</c:v>
                </c:pt>
                <c:pt idx="598">
                  <c:v>9.8362690894344944E-3</c:v>
                </c:pt>
                <c:pt idx="599">
                  <c:v>9.8395086501701177E-3</c:v>
                </c:pt>
                <c:pt idx="600">
                  <c:v>9.8999313731800067E-3</c:v>
                </c:pt>
                <c:pt idx="601">
                  <c:v>9.9389298702909409E-3</c:v>
                </c:pt>
                <c:pt idx="602">
                  <c:v>9.9638310511270794E-3</c:v>
                </c:pt>
                <c:pt idx="603">
                  <c:v>9.9914636664567465E-3</c:v>
                </c:pt>
                <c:pt idx="604">
                  <c:v>9.9528576949148538E-3</c:v>
                </c:pt>
                <c:pt idx="605">
                  <c:v>9.9677967067270373E-3</c:v>
                </c:pt>
                <c:pt idx="606">
                  <c:v>9.9916025116179065E-3</c:v>
                </c:pt>
                <c:pt idx="607">
                  <c:v>1.0015856342068792E-2</c:v>
                </c:pt>
                <c:pt idx="608">
                  <c:v>9.994487847609904E-3</c:v>
                </c:pt>
                <c:pt idx="609">
                  <c:v>1.0013896822002851E-2</c:v>
                </c:pt>
                <c:pt idx="610">
                  <c:v>9.9637960152429237E-3</c:v>
                </c:pt>
                <c:pt idx="611">
                  <c:v>9.9486970200035781E-3</c:v>
                </c:pt>
                <c:pt idx="612">
                  <c:v>9.9750450514669679E-3</c:v>
                </c:pt>
                <c:pt idx="613">
                  <c:v>9.9641513512841885E-3</c:v>
                </c:pt>
                <c:pt idx="614">
                  <c:v>1.0024403059045823E-2</c:v>
                </c:pt>
                <c:pt idx="615">
                  <c:v>9.9984330836361164E-3</c:v>
                </c:pt>
                <c:pt idx="616">
                  <c:v>1.0050804988242899E-2</c:v>
                </c:pt>
                <c:pt idx="617">
                  <c:v>1.004239031432584E-2</c:v>
                </c:pt>
                <c:pt idx="618">
                  <c:v>1.0015718140638178E-2</c:v>
                </c:pt>
                <c:pt idx="619">
                  <c:v>1.0004928634766999E-2</c:v>
                </c:pt>
                <c:pt idx="620">
                  <c:v>9.9856701354305698E-3</c:v>
                </c:pt>
                <c:pt idx="621">
                  <c:v>9.9428377184654082E-3</c:v>
                </c:pt>
                <c:pt idx="622">
                  <c:v>9.9581025627379707E-3</c:v>
                </c:pt>
                <c:pt idx="623">
                  <c:v>9.9507590423707371E-3</c:v>
                </c:pt>
                <c:pt idx="624">
                  <c:v>9.9042289266305025E-3</c:v>
                </c:pt>
                <c:pt idx="625">
                  <c:v>9.8683154647777674E-3</c:v>
                </c:pt>
                <c:pt idx="626">
                  <c:v>9.8709443499864352E-3</c:v>
                </c:pt>
                <c:pt idx="627">
                  <c:v>9.8722247329832424E-3</c:v>
                </c:pt>
                <c:pt idx="628">
                  <c:v>9.8592384604618694E-3</c:v>
                </c:pt>
                <c:pt idx="629">
                  <c:v>9.8681766581568634E-3</c:v>
                </c:pt>
                <c:pt idx="630">
                  <c:v>9.928702877779215E-3</c:v>
                </c:pt>
                <c:pt idx="631">
                  <c:v>9.9283493683332679E-3</c:v>
                </c:pt>
                <c:pt idx="632">
                  <c:v>9.8965352239711504E-3</c:v>
                </c:pt>
                <c:pt idx="633">
                  <c:v>9.9568851705998749E-3</c:v>
                </c:pt>
                <c:pt idx="634">
                  <c:v>9.9786230041715961E-3</c:v>
                </c:pt>
                <c:pt idx="635">
                  <c:v>9.9489242642355237E-3</c:v>
                </c:pt>
                <c:pt idx="636">
                  <c:v>9.9396104506333325E-3</c:v>
                </c:pt>
                <c:pt idx="637">
                  <c:v>9.9480786732708999E-3</c:v>
                </c:pt>
                <c:pt idx="638">
                  <c:v>9.9594046067072988E-3</c:v>
                </c:pt>
                <c:pt idx="639">
                  <c:v>9.9382883063138666E-3</c:v>
                </c:pt>
                <c:pt idx="640">
                  <c:v>9.9537748202398208E-3</c:v>
                </c:pt>
                <c:pt idx="641">
                  <c:v>9.9864886557343054E-3</c:v>
                </c:pt>
                <c:pt idx="642">
                  <c:v>9.995309523793388E-3</c:v>
                </c:pt>
                <c:pt idx="643">
                  <c:v>9.9427958302630483E-3</c:v>
                </c:pt>
                <c:pt idx="644">
                  <c:v>9.9366675196711444E-3</c:v>
                </c:pt>
                <c:pt idx="645">
                  <c:v>9.8916770690916731E-3</c:v>
                </c:pt>
                <c:pt idx="646">
                  <c:v>9.8878683344275527E-3</c:v>
                </c:pt>
                <c:pt idx="647">
                  <c:v>9.9138140907976107E-3</c:v>
                </c:pt>
                <c:pt idx="648">
                  <c:v>9.8824315593106365E-3</c:v>
                </c:pt>
                <c:pt idx="649">
                  <c:v>9.8463223592871636E-3</c:v>
                </c:pt>
                <c:pt idx="650">
                  <c:v>9.8399670591883519E-3</c:v>
                </c:pt>
                <c:pt idx="651">
                  <c:v>9.8572504582910385E-3</c:v>
                </c:pt>
                <c:pt idx="652">
                  <c:v>9.855551945388898E-3</c:v>
                </c:pt>
                <c:pt idx="653">
                  <c:v>9.799130160440022E-3</c:v>
                </c:pt>
                <c:pt idx="654">
                  <c:v>9.7386931668047242E-3</c:v>
                </c:pt>
                <c:pt idx="655">
                  <c:v>9.7942888071990749E-3</c:v>
                </c:pt>
                <c:pt idx="656">
                  <c:v>9.797611607064851E-3</c:v>
                </c:pt>
                <c:pt idx="657">
                  <c:v>9.7870432391526947E-3</c:v>
                </c:pt>
                <c:pt idx="658">
                  <c:v>9.8236093996741745E-3</c:v>
                </c:pt>
                <c:pt idx="659">
                  <c:v>9.8131785248030366E-3</c:v>
                </c:pt>
                <c:pt idx="660">
                  <c:v>9.8172319333743163E-3</c:v>
                </c:pt>
                <c:pt idx="661">
                  <c:v>9.7713765352288075E-3</c:v>
                </c:pt>
                <c:pt idx="662">
                  <c:v>9.7597006892477228E-3</c:v>
                </c:pt>
                <c:pt idx="663">
                  <c:v>9.7766590641195084E-3</c:v>
                </c:pt>
                <c:pt idx="664">
                  <c:v>9.761931630065222E-3</c:v>
                </c:pt>
                <c:pt idx="665">
                  <c:v>9.7719333092910338E-3</c:v>
                </c:pt>
                <c:pt idx="666">
                  <c:v>9.8068614964702903E-3</c:v>
                </c:pt>
                <c:pt idx="667">
                  <c:v>9.8183393358366542E-3</c:v>
                </c:pt>
                <c:pt idx="668">
                  <c:v>9.8207140950647663E-3</c:v>
                </c:pt>
                <c:pt idx="669">
                  <c:v>9.8041227829960328E-3</c:v>
                </c:pt>
                <c:pt idx="670">
                  <c:v>9.8039113665458824E-3</c:v>
                </c:pt>
                <c:pt idx="671">
                  <c:v>9.811376364505766E-3</c:v>
                </c:pt>
                <c:pt idx="672">
                  <c:v>9.8441573143089704E-3</c:v>
                </c:pt>
                <c:pt idx="673">
                  <c:v>9.8089614475002744E-3</c:v>
                </c:pt>
                <c:pt idx="674">
                  <c:v>9.8803180604733806E-3</c:v>
                </c:pt>
                <c:pt idx="675">
                  <c:v>9.8302704961932795E-3</c:v>
                </c:pt>
                <c:pt idx="676">
                  <c:v>9.8186075445893545E-3</c:v>
                </c:pt>
                <c:pt idx="677">
                  <c:v>9.8250091681398727E-3</c:v>
                </c:pt>
                <c:pt idx="678">
                  <c:v>9.853518445226736E-3</c:v>
                </c:pt>
                <c:pt idx="679">
                  <c:v>9.8652698066964504E-3</c:v>
                </c:pt>
                <c:pt idx="680">
                  <c:v>9.8545537095806358E-3</c:v>
                </c:pt>
                <c:pt idx="681">
                  <c:v>9.8145095019554814E-3</c:v>
                </c:pt>
                <c:pt idx="682">
                  <c:v>9.8058307957727339E-3</c:v>
                </c:pt>
                <c:pt idx="683">
                  <c:v>9.8144607103362192E-3</c:v>
                </c:pt>
                <c:pt idx="684">
                  <c:v>9.8238642657402162E-3</c:v>
                </c:pt>
                <c:pt idx="685">
                  <c:v>9.8172888567864443E-3</c:v>
                </c:pt>
                <c:pt idx="686">
                  <c:v>9.7620089843360909E-3</c:v>
                </c:pt>
                <c:pt idx="687">
                  <c:v>9.7493127692806908E-3</c:v>
                </c:pt>
                <c:pt idx="688">
                  <c:v>9.6858488021341338E-3</c:v>
                </c:pt>
                <c:pt idx="689">
                  <c:v>9.6970755349567502E-3</c:v>
                </c:pt>
                <c:pt idx="690">
                  <c:v>9.7593365450363533E-3</c:v>
                </c:pt>
                <c:pt idx="691">
                  <c:v>9.7255405958789568E-3</c:v>
                </c:pt>
                <c:pt idx="692">
                  <c:v>9.6763877157624197E-3</c:v>
                </c:pt>
                <c:pt idx="693">
                  <c:v>9.6536559222864821E-3</c:v>
                </c:pt>
                <c:pt idx="694">
                  <c:v>9.6515265816152808E-3</c:v>
                </c:pt>
                <c:pt idx="695">
                  <c:v>9.6760375042571883E-3</c:v>
                </c:pt>
                <c:pt idx="696">
                  <c:v>9.6896641728802697E-3</c:v>
                </c:pt>
                <c:pt idx="697">
                  <c:v>9.6658326266310154E-3</c:v>
                </c:pt>
                <c:pt idx="698">
                  <c:v>9.6662955743815511E-3</c:v>
                </c:pt>
                <c:pt idx="699">
                  <c:v>9.6707417717889575E-3</c:v>
                </c:pt>
                <c:pt idx="700">
                  <c:v>9.6430965741192646E-3</c:v>
                </c:pt>
                <c:pt idx="701">
                  <c:v>9.6786454471613857E-3</c:v>
                </c:pt>
                <c:pt idx="702">
                  <c:v>9.6765208558747644E-3</c:v>
                </c:pt>
                <c:pt idx="703">
                  <c:v>9.6860009053372064E-3</c:v>
                </c:pt>
                <c:pt idx="704">
                  <c:v>9.6948248812781489E-3</c:v>
                </c:pt>
                <c:pt idx="705">
                  <c:v>9.6562605923195526E-3</c:v>
                </c:pt>
                <c:pt idx="706">
                  <c:v>9.6360766451156401E-3</c:v>
                </c:pt>
                <c:pt idx="707">
                  <c:v>9.6618126291885334E-3</c:v>
                </c:pt>
                <c:pt idx="708">
                  <c:v>9.6339204059099019E-3</c:v>
                </c:pt>
                <c:pt idx="709">
                  <c:v>9.585362207296404E-3</c:v>
                </c:pt>
                <c:pt idx="710">
                  <c:v>9.5755860515798381E-3</c:v>
                </c:pt>
                <c:pt idx="711">
                  <c:v>9.588157292659185E-3</c:v>
                </c:pt>
                <c:pt idx="712">
                  <c:v>9.5635818951329103E-3</c:v>
                </c:pt>
                <c:pt idx="713">
                  <c:v>9.5819983937380088E-3</c:v>
                </c:pt>
                <c:pt idx="714">
                  <c:v>9.596072733696559E-3</c:v>
                </c:pt>
                <c:pt idx="715">
                  <c:v>9.6006721549427108E-3</c:v>
                </c:pt>
                <c:pt idx="716">
                  <c:v>9.5662798271151182E-3</c:v>
                </c:pt>
                <c:pt idx="717">
                  <c:v>9.5823464587594474E-3</c:v>
                </c:pt>
                <c:pt idx="718">
                  <c:v>9.6055107533579692E-3</c:v>
                </c:pt>
                <c:pt idx="719">
                  <c:v>9.5907452527047837E-3</c:v>
                </c:pt>
                <c:pt idx="720">
                  <c:v>9.6343879933941824E-3</c:v>
                </c:pt>
                <c:pt idx="721">
                  <c:v>9.5978787843147093E-3</c:v>
                </c:pt>
                <c:pt idx="722">
                  <c:v>9.5363041293506437E-3</c:v>
                </c:pt>
                <c:pt idx="723">
                  <c:v>9.5486705909243168E-3</c:v>
                </c:pt>
                <c:pt idx="724">
                  <c:v>9.52594460285636E-3</c:v>
                </c:pt>
                <c:pt idx="725">
                  <c:v>9.482635518583896E-3</c:v>
                </c:pt>
                <c:pt idx="726">
                  <c:v>9.511045211053594E-3</c:v>
                </c:pt>
                <c:pt idx="727">
                  <c:v>9.5052652183236896E-3</c:v>
                </c:pt>
                <c:pt idx="728">
                  <c:v>9.4547265533739006E-3</c:v>
                </c:pt>
                <c:pt idx="729">
                  <c:v>9.4524022916778559E-3</c:v>
                </c:pt>
                <c:pt idx="730">
                  <c:v>9.4924310315481278E-3</c:v>
                </c:pt>
                <c:pt idx="731">
                  <c:v>9.4562461972813924E-3</c:v>
                </c:pt>
                <c:pt idx="732">
                  <c:v>9.4495475651593542E-3</c:v>
                </c:pt>
                <c:pt idx="733">
                  <c:v>9.4546324433489905E-3</c:v>
                </c:pt>
                <c:pt idx="734">
                  <c:v>9.4837600950979182E-3</c:v>
                </c:pt>
                <c:pt idx="735">
                  <c:v>9.4536232170070594E-3</c:v>
                </c:pt>
                <c:pt idx="736">
                  <c:v>9.4707155441298048E-3</c:v>
                </c:pt>
                <c:pt idx="737">
                  <c:v>9.4631161669394628E-3</c:v>
                </c:pt>
                <c:pt idx="738">
                  <c:v>9.4468413409742411E-3</c:v>
                </c:pt>
                <c:pt idx="739">
                  <c:v>9.4553533632924774E-3</c:v>
                </c:pt>
                <c:pt idx="740">
                  <c:v>9.4522455271655627E-3</c:v>
                </c:pt>
                <c:pt idx="741">
                  <c:v>9.4587177989001806E-3</c:v>
                </c:pt>
                <c:pt idx="742">
                  <c:v>9.4759102042298315E-3</c:v>
                </c:pt>
                <c:pt idx="743">
                  <c:v>9.4706693662881328E-3</c:v>
                </c:pt>
                <c:pt idx="744">
                  <c:v>9.486437062186286E-3</c:v>
                </c:pt>
                <c:pt idx="745">
                  <c:v>9.4332818068340058E-3</c:v>
                </c:pt>
                <c:pt idx="746">
                  <c:v>9.4100999340471381E-3</c:v>
                </c:pt>
                <c:pt idx="747">
                  <c:v>9.4175229692958131E-3</c:v>
                </c:pt>
                <c:pt idx="748">
                  <c:v>9.3689856560831355E-3</c:v>
                </c:pt>
                <c:pt idx="749">
                  <c:v>9.364085578939663E-3</c:v>
                </c:pt>
                <c:pt idx="750">
                  <c:v>9.3651027914801628E-3</c:v>
                </c:pt>
                <c:pt idx="751">
                  <c:v>9.3475549478915596E-3</c:v>
                </c:pt>
                <c:pt idx="752">
                  <c:v>9.3431434616204189E-3</c:v>
                </c:pt>
                <c:pt idx="753">
                  <c:v>9.3435916753566561E-3</c:v>
                </c:pt>
                <c:pt idx="754">
                  <c:v>9.2809368557608875E-3</c:v>
                </c:pt>
                <c:pt idx="755">
                  <c:v>9.3207478691569173E-3</c:v>
                </c:pt>
                <c:pt idx="756">
                  <c:v>9.2968308217079108E-3</c:v>
                </c:pt>
                <c:pt idx="757">
                  <c:v>9.3078060728411065E-3</c:v>
                </c:pt>
                <c:pt idx="758">
                  <c:v>9.3234041703831906E-3</c:v>
                </c:pt>
                <c:pt idx="759">
                  <c:v>9.3470022416563235E-3</c:v>
                </c:pt>
                <c:pt idx="760">
                  <c:v>9.3691966895625735E-3</c:v>
                </c:pt>
                <c:pt idx="761">
                  <c:v>9.3618354659588919E-3</c:v>
                </c:pt>
                <c:pt idx="762">
                  <c:v>9.3333289772961556E-3</c:v>
                </c:pt>
                <c:pt idx="763">
                  <c:v>9.2884896728034835E-3</c:v>
                </c:pt>
                <c:pt idx="764">
                  <c:v>9.2412257298072568E-3</c:v>
                </c:pt>
                <c:pt idx="765">
                  <c:v>9.2229070240487862E-3</c:v>
                </c:pt>
                <c:pt idx="766">
                  <c:v>9.2125079108155497E-3</c:v>
                </c:pt>
                <c:pt idx="767">
                  <c:v>9.1993556721760503E-3</c:v>
                </c:pt>
                <c:pt idx="768">
                  <c:v>9.151448195748332E-3</c:v>
                </c:pt>
                <c:pt idx="769">
                  <c:v>9.1195866011421246E-3</c:v>
                </c:pt>
                <c:pt idx="770">
                  <c:v>9.1069011754290018E-3</c:v>
                </c:pt>
                <c:pt idx="771">
                  <c:v>9.1612946941523419E-3</c:v>
                </c:pt>
                <c:pt idx="772">
                  <c:v>9.1785687362561912E-3</c:v>
                </c:pt>
                <c:pt idx="773">
                  <c:v>9.1719164033823384E-3</c:v>
                </c:pt>
                <c:pt idx="774">
                  <c:v>9.1219573866827709E-3</c:v>
                </c:pt>
                <c:pt idx="775">
                  <c:v>9.1216710687494224E-3</c:v>
                </c:pt>
                <c:pt idx="776">
                  <c:v>9.1340227123043443E-3</c:v>
                </c:pt>
                <c:pt idx="777">
                  <c:v>9.1501427859569245E-3</c:v>
                </c:pt>
                <c:pt idx="778">
                  <c:v>9.1444664946633766E-3</c:v>
                </c:pt>
                <c:pt idx="779">
                  <c:v>9.1233140597972977E-3</c:v>
                </c:pt>
                <c:pt idx="780">
                  <c:v>9.1615782219744615E-3</c:v>
                </c:pt>
                <c:pt idx="781">
                  <c:v>9.1709108427303482E-3</c:v>
                </c:pt>
                <c:pt idx="782">
                  <c:v>9.1853749316821096E-3</c:v>
                </c:pt>
                <c:pt idx="783">
                  <c:v>9.2015251414273372E-3</c:v>
                </c:pt>
                <c:pt idx="784">
                  <c:v>9.2333146818615736E-3</c:v>
                </c:pt>
                <c:pt idx="785">
                  <c:v>9.2429371899902073E-3</c:v>
                </c:pt>
                <c:pt idx="786">
                  <c:v>9.2308394249681538E-3</c:v>
                </c:pt>
                <c:pt idx="787">
                  <c:v>9.224526221541525E-3</c:v>
                </c:pt>
                <c:pt idx="788">
                  <c:v>9.1481547842697068E-3</c:v>
                </c:pt>
                <c:pt idx="789">
                  <c:v>9.250354547291971E-3</c:v>
                </c:pt>
                <c:pt idx="790">
                  <c:v>9.2867391338058904E-3</c:v>
                </c:pt>
                <c:pt idx="791">
                  <c:v>9.2946123547980007E-3</c:v>
                </c:pt>
                <c:pt idx="792">
                  <c:v>9.287998917789966E-3</c:v>
                </c:pt>
                <c:pt idx="793">
                  <c:v>9.2922311237595562E-3</c:v>
                </c:pt>
                <c:pt idx="794">
                  <c:v>9.318781296954199E-3</c:v>
                </c:pt>
                <c:pt idx="795">
                  <c:v>9.3500211793423847E-3</c:v>
                </c:pt>
                <c:pt idx="796">
                  <c:v>9.3617023102138212E-3</c:v>
                </c:pt>
                <c:pt idx="797">
                  <c:v>9.3729797114912011E-3</c:v>
                </c:pt>
                <c:pt idx="798">
                  <c:v>9.3371295740039585E-3</c:v>
                </c:pt>
                <c:pt idx="799">
                  <c:v>9.3113734881508717E-3</c:v>
                </c:pt>
                <c:pt idx="800">
                  <c:v>9.3184307552312134E-3</c:v>
                </c:pt>
                <c:pt idx="801">
                  <c:v>9.3380005081441717E-3</c:v>
                </c:pt>
                <c:pt idx="802">
                  <c:v>9.3444952035940301E-3</c:v>
                </c:pt>
                <c:pt idx="803">
                  <c:v>9.322772020888024E-3</c:v>
                </c:pt>
                <c:pt idx="804">
                  <c:v>9.3147614098889452E-3</c:v>
                </c:pt>
                <c:pt idx="805">
                  <c:v>9.3449277613043419E-3</c:v>
                </c:pt>
                <c:pt idx="806">
                  <c:v>9.3158007015575073E-3</c:v>
                </c:pt>
                <c:pt idx="807">
                  <c:v>9.2882002738472486E-3</c:v>
                </c:pt>
                <c:pt idx="808">
                  <c:v>9.2875092783326774E-3</c:v>
                </c:pt>
                <c:pt idx="809">
                  <c:v>9.3500851844630431E-3</c:v>
                </c:pt>
                <c:pt idx="810">
                  <c:v>9.370078837519065E-3</c:v>
                </c:pt>
                <c:pt idx="811">
                  <c:v>9.4010371312005566E-3</c:v>
                </c:pt>
                <c:pt idx="812">
                  <c:v>9.3984726095240907E-3</c:v>
                </c:pt>
                <c:pt idx="813">
                  <c:v>9.4075486464485405E-3</c:v>
                </c:pt>
                <c:pt idx="814">
                  <c:v>9.4004755931056325E-3</c:v>
                </c:pt>
                <c:pt idx="815">
                  <c:v>9.3873327096072774E-3</c:v>
                </c:pt>
                <c:pt idx="816">
                  <c:v>9.3902406186277352E-3</c:v>
                </c:pt>
                <c:pt idx="817">
                  <c:v>9.3994161154967205E-3</c:v>
                </c:pt>
                <c:pt idx="818">
                  <c:v>9.3918157531992039E-3</c:v>
                </c:pt>
                <c:pt idx="819">
                  <c:v>9.4096126785052706E-3</c:v>
                </c:pt>
                <c:pt idx="820">
                  <c:v>9.4307962779575007E-3</c:v>
                </c:pt>
                <c:pt idx="821">
                  <c:v>9.3825118808525693E-3</c:v>
                </c:pt>
                <c:pt idx="822">
                  <c:v>9.3455304866785476E-3</c:v>
                </c:pt>
                <c:pt idx="823">
                  <c:v>9.3496570082461927E-3</c:v>
                </c:pt>
                <c:pt idx="824">
                  <c:v>9.3841577783566089E-3</c:v>
                </c:pt>
                <c:pt idx="825">
                  <c:v>9.4032967845461401E-3</c:v>
                </c:pt>
                <c:pt idx="826">
                  <c:v>9.4236683322628419E-3</c:v>
                </c:pt>
                <c:pt idx="827">
                  <c:v>9.453119294954045E-3</c:v>
                </c:pt>
                <c:pt idx="828">
                  <c:v>9.432721059211285E-3</c:v>
                </c:pt>
                <c:pt idx="829">
                  <c:v>9.4683682548757989E-3</c:v>
                </c:pt>
                <c:pt idx="830">
                  <c:v>9.5011914132505353E-3</c:v>
                </c:pt>
                <c:pt idx="831">
                  <c:v>9.4471054852183559E-3</c:v>
                </c:pt>
                <c:pt idx="832">
                  <c:v>9.4788676498339768E-3</c:v>
                </c:pt>
                <c:pt idx="833">
                  <c:v>9.4173438681702318E-3</c:v>
                </c:pt>
                <c:pt idx="834">
                  <c:v>9.4078348988080457E-3</c:v>
                </c:pt>
                <c:pt idx="835">
                  <c:v>9.4085323840151312E-3</c:v>
                </c:pt>
                <c:pt idx="836">
                  <c:v>9.4134616408771687E-3</c:v>
                </c:pt>
                <c:pt idx="837">
                  <c:v>9.4112027151864296E-3</c:v>
                </c:pt>
                <c:pt idx="838">
                  <c:v>9.4023617786476599E-3</c:v>
                </c:pt>
                <c:pt idx="839">
                  <c:v>9.3488890103914212E-3</c:v>
                </c:pt>
                <c:pt idx="840">
                  <c:v>9.3706015548165114E-3</c:v>
                </c:pt>
                <c:pt idx="841">
                  <c:v>9.3742167227134285E-3</c:v>
                </c:pt>
                <c:pt idx="842">
                  <c:v>9.4326701591823676E-3</c:v>
                </c:pt>
                <c:pt idx="843">
                  <c:v>9.452069500955531E-3</c:v>
                </c:pt>
                <c:pt idx="844">
                  <c:v>9.4944640888783658E-3</c:v>
                </c:pt>
                <c:pt idx="845">
                  <c:v>9.5217286112862873E-3</c:v>
                </c:pt>
                <c:pt idx="846">
                  <c:v>9.5064318366243974E-3</c:v>
                </c:pt>
                <c:pt idx="847">
                  <c:v>9.4902076783477639E-3</c:v>
                </c:pt>
                <c:pt idx="848">
                  <c:v>9.4838371424989572E-3</c:v>
                </c:pt>
                <c:pt idx="849">
                  <c:v>9.4838284960023066E-3</c:v>
                </c:pt>
                <c:pt idx="850">
                  <c:v>9.472586448285426E-3</c:v>
                </c:pt>
                <c:pt idx="851">
                  <c:v>9.4645572023183827E-3</c:v>
                </c:pt>
                <c:pt idx="852">
                  <c:v>9.4392835159987278E-3</c:v>
                </c:pt>
                <c:pt idx="853">
                  <c:v>9.4921301871840422E-3</c:v>
                </c:pt>
                <c:pt idx="854">
                  <c:v>9.4976445864206546E-3</c:v>
                </c:pt>
                <c:pt idx="855">
                  <c:v>9.435977247526102E-3</c:v>
                </c:pt>
                <c:pt idx="856">
                  <c:v>9.3827546307095645E-3</c:v>
                </c:pt>
                <c:pt idx="857">
                  <c:v>9.3768501883861929E-3</c:v>
                </c:pt>
                <c:pt idx="858">
                  <c:v>9.4001466024280379E-3</c:v>
                </c:pt>
                <c:pt idx="859">
                  <c:v>9.4163126142652182E-3</c:v>
                </c:pt>
                <c:pt idx="860">
                  <c:v>9.4403632389717523E-3</c:v>
                </c:pt>
                <c:pt idx="861">
                  <c:v>9.4523725397772478E-3</c:v>
                </c:pt>
                <c:pt idx="862">
                  <c:v>9.4531159719429079E-3</c:v>
                </c:pt>
                <c:pt idx="863">
                  <c:v>9.4272272427997107E-3</c:v>
                </c:pt>
                <c:pt idx="864">
                  <c:v>9.4033326394034056E-3</c:v>
                </c:pt>
                <c:pt idx="865">
                  <c:v>9.4240316400920603E-3</c:v>
                </c:pt>
                <c:pt idx="866">
                  <c:v>9.4339535995646359E-3</c:v>
                </c:pt>
                <c:pt idx="867">
                  <c:v>9.4663159332200961E-3</c:v>
                </c:pt>
                <c:pt idx="868">
                  <c:v>9.4496474172601781E-3</c:v>
                </c:pt>
                <c:pt idx="869">
                  <c:v>9.4966118106147145E-3</c:v>
                </c:pt>
                <c:pt idx="870">
                  <c:v>9.4860558767220562E-3</c:v>
                </c:pt>
                <c:pt idx="871">
                  <c:v>9.4863789272135873E-3</c:v>
                </c:pt>
                <c:pt idx="872">
                  <c:v>9.5136297985359743E-3</c:v>
                </c:pt>
                <c:pt idx="873">
                  <c:v>9.541845004350423E-3</c:v>
                </c:pt>
                <c:pt idx="874">
                  <c:v>9.5583463484723904E-3</c:v>
                </c:pt>
                <c:pt idx="875">
                  <c:v>9.5690921056074407E-3</c:v>
                </c:pt>
                <c:pt idx="876">
                  <c:v>9.587176166003606E-3</c:v>
                </c:pt>
                <c:pt idx="877">
                  <c:v>9.6100142082684893E-3</c:v>
                </c:pt>
                <c:pt idx="878">
                  <c:v>9.5311381659892395E-3</c:v>
                </c:pt>
                <c:pt idx="879">
                  <c:v>9.4905788033860013E-3</c:v>
                </c:pt>
                <c:pt idx="880">
                  <c:v>9.4599428796614642E-3</c:v>
                </c:pt>
                <c:pt idx="881">
                  <c:v>9.4183239387031058E-3</c:v>
                </c:pt>
                <c:pt idx="882">
                  <c:v>9.4277419253462596E-3</c:v>
                </c:pt>
                <c:pt idx="883">
                  <c:v>9.4283081158377767E-3</c:v>
                </c:pt>
                <c:pt idx="884">
                  <c:v>9.3993469577664229E-3</c:v>
                </c:pt>
                <c:pt idx="885">
                  <c:v>9.4181268764384832E-3</c:v>
                </c:pt>
                <c:pt idx="886">
                  <c:v>9.4247336193515243E-3</c:v>
                </c:pt>
                <c:pt idx="887">
                  <c:v>9.408470071935876E-3</c:v>
                </c:pt>
                <c:pt idx="888">
                  <c:v>9.3902125979305959E-3</c:v>
                </c:pt>
                <c:pt idx="889">
                  <c:v>9.3681075801172412E-3</c:v>
                </c:pt>
                <c:pt idx="890">
                  <c:v>9.3675711808515628E-3</c:v>
                </c:pt>
                <c:pt idx="891">
                  <c:v>9.4429411808473491E-3</c:v>
                </c:pt>
                <c:pt idx="892">
                  <c:v>9.4434723599490858E-3</c:v>
                </c:pt>
                <c:pt idx="893">
                  <c:v>9.492899083687412E-3</c:v>
                </c:pt>
                <c:pt idx="894">
                  <c:v>9.5049921557635829E-3</c:v>
                </c:pt>
                <c:pt idx="895">
                  <c:v>9.5703909434080459E-3</c:v>
                </c:pt>
                <c:pt idx="896">
                  <c:v>9.6046081516394065E-3</c:v>
                </c:pt>
                <c:pt idx="897">
                  <c:v>9.5886472529251345E-3</c:v>
                </c:pt>
                <c:pt idx="898">
                  <c:v>9.6237094989545611E-3</c:v>
                </c:pt>
                <c:pt idx="899">
                  <c:v>9.5747642117668084E-3</c:v>
                </c:pt>
                <c:pt idx="900">
                  <c:v>9.6176268748112831E-3</c:v>
                </c:pt>
                <c:pt idx="901">
                  <c:v>9.6651912161168623E-3</c:v>
                </c:pt>
                <c:pt idx="902">
                  <c:v>9.692245666931755E-3</c:v>
                </c:pt>
                <c:pt idx="903">
                  <c:v>9.6177031365440625E-3</c:v>
                </c:pt>
                <c:pt idx="904">
                  <c:v>9.5878330209945919E-3</c:v>
                </c:pt>
                <c:pt idx="905">
                  <c:v>9.6582215437407953E-3</c:v>
                </c:pt>
                <c:pt idx="906">
                  <c:v>9.6444587014367887E-3</c:v>
                </c:pt>
                <c:pt idx="907">
                  <c:v>9.6290101276498737E-3</c:v>
                </c:pt>
                <c:pt idx="908">
                  <c:v>9.5902855740993276E-3</c:v>
                </c:pt>
                <c:pt idx="909">
                  <c:v>9.6515158303894111E-3</c:v>
                </c:pt>
                <c:pt idx="910">
                  <c:v>9.6435552600593246E-3</c:v>
                </c:pt>
                <c:pt idx="911">
                  <c:v>9.5843370771375429E-3</c:v>
                </c:pt>
                <c:pt idx="912">
                  <c:v>9.6034582887608907E-3</c:v>
                </c:pt>
                <c:pt idx="913">
                  <c:v>9.6104749067996466E-3</c:v>
                </c:pt>
                <c:pt idx="914">
                  <c:v>9.573379351013718E-3</c:v>
                </c:pt>
                <c:pt idx="915">
                  <c:v>9.5728303129346513E-3</c:v>
                </c:pt>
                <c:pt idx="916">
                  <c:v>9.5952484111706884E-3</c:v>
                </c:pt>
                <c:pt idx="917">
                  <c:v>9.58834760801262E-3</c:v>
                </c:pt>
                <c:pt idx="918">
                  <c:v>9.582065394887972E-3</c:v>
                </c:pt>
                <c:pt idx="919">
                  <c:v>9.5395449835875418E-3</c:v>
                </c:pt>
                <c:pt idx="920">
                  <c:v>9.4778474903165731E-3</c:v>
                </c:pt>
                <c:pt idx="921">
                  <c:v>9.5002600266500502E-3</c:v>
                </c:pt>
                <c:pt idx="922">
                  <c:v>9.5447551288587625E-3</c:v>
                </c:pt>
                <c:pt idx="923">
                  <c:v>9.5104408532481546E-3</c:v>
                </c:pt>
                <c:pt idx="924">
                  <c:v>9.5120194194284555E-3</c:v>
                </c:pt>
                <c:pt idx="925">
                  <c:v>9.5444376410241515E-3</c:v>
                </c:pt>
                <c:pt idx="926">
                  <c:v>9.5486488183088962E-3</c:v>
                </c:pt>
                <c:pt idx="927">
                  <c:v>9.5875589112257784E-3</c:v>
                </c:pt>
                <c:pt idx="928">
                  <c:v>9.6125216594359977E-3</c:v>
                </c:pt>
                <c:pt idx="929">
                  <c:v>9.5660655290223419E-3</c:v>
                </c:pt>
                <c:pt idx="930">
                  <c:v>9.5591419270913049E-3</c:v>
                </c:pt>
                <c:pt idx="931">
                  <c:v>9.5665541808394421E-3</c:v>
                </c:pt>
                <c:pt idx="932">
                  <c:v>9.5321615133521463E-3</c:v>
                </c:pt>
                <c:pt idx="933">
                  <c:v>9.5121495355280344E-3</c:v>
                </c:pt>
                <c:pt idx="934">
                  <c:v>9.5496322622464994E-3</c:v>
                </c:pt>
                <c:pt idx="935">
                  <c:v>9.5396057113389318E-3</c:v>
                </c:pt>
                <c:pt idx="936">
                  <c:v>9.5391365712772479E-3</c:v>
                </c:pt>
                <c:pt idx="937">
                  <c:v>9.4984766021320617E-3</c:v>
                </c:pt>
                <c:pt idx="938">
                  <c:v>9.556946772574201E-3</c:v>
                </c:pt>
                <c:pt idx="939">
                  <c:v>9.5694551046714531E-3</c:v>
                </c:pt>
                <c:pt idx="940">
                  <c:v>9.5829327281954143E-3</c:v>
                </c:pt>
                <c:pt idx="941">
                  <c:v>9.6446931390952208E-3</c:v>
                </c:pt>
                <c:pt idx="942">
                  <c:v>9.6349620260129994E-3</c:v>
                </c:pt>
                <c:pt idx="943">
                  <c:v>9.7054079115824563E-3</c:v>
                </c:pt>
                <c:pt idx="944">
                  <c:v>9.7495377593602422E-3</c:v>
                </c:pt>
                <c:pt idx="945">
                  <c:v>9.7331074127025869E-3</c:v>
                </c:pt>
                <c:pt idx="946">
                  <c:v>9.765855733517223E-3</c:v>
                </c:pt>
                <c:pt idx="947">
                  <c:v>9.779500358299293E-3</c:v>
                </c:pt>
                <c:pt idx="948">
                  <c:v>9.7949535432776749E-3</c:v>
                </c:pt>
                <c:pt idx="949">
                  <c:v>9.8154947780526355E-3</c:v>
                </c:pt>
                <c:pt idx="950">
                  <c:v>9.7511473168147254E-3</c:v>
                </c:pt>
                <c:pt idx="951">
                  <c:v>9.7657008892146346E-3</c:v>
                </c:pt>
                <c:pt idx="952">
                  <c:v>9.7327184166156218E-3</c:v>
                </c:pt>
                <c:pt idx="953">
                  <c:v>9.6648293254676023E-3</c:v>
                </c:pt>
                <c:pt idx="954">
                  <c:v>9.6536221667711791E-3</c:v>
                </c:pt>
                <c:pt idx="955">
                  <c:v>9.6725431749411783E-3</c:v>
                </c:pt>
                <c:pt idx="956">
                  <c:v>9.662530221575311E-3</c:v>
                </c:pt>
                <c:pt idx="957">
                  <c:v>9.6533737100049938E-3</c:v>
                </c:pt>
                <c:pt idx="958">
                  <c:v>9.649491664904265E-3</c:v>
                </c:pt>
                <c:pt idx="959">
                  <c:v>9.657062478715981E-3</c:v>
                </c:pt>
                <c:pt idx="960">
                  <c:v>9.6443355195514266E-3</c:v>
                </c:pt>
                <c:pt idx="961">
                  <c:v>9.6691861488570445E-3</c:v>
                </c:pt>
                <c:pt idx="962">
                  <c:v>9.6420244872716561E-3</c:v>
                </c:pt>
                <c:pt idx="963">
                  <c:v>9.6157272369828406E-3</c:v>
                </c:pt>
                <c:pt idx="964">
                  <c:v>9.6169569108428866E-3</c:v>
                </c:pt>
                <c:pt idx="965">
                  <c:v>9.5865843412769342E-3</c:v>
                </c:pt>
                <c:pt idx="966">
                  <c:v>9.5685623387283189E-3</c:v>
                </c:pt>
                <c:pt idx="967">
                  <c:v>9.6009293465709987E-3</c:v>
                </c:pt>
                <c:pt idx="968">
                  <c:v>9.625515199385988E-3</c:v>
                </c:pt>
                <c:pt idx="969">
                  <c:v>9.592667213850499E-3</c:v>
                </c:pt>
                <c:pt idx="970">
                  <c:v>9.5508506839386883E-3</c:v>
                </c:pt>
                <c:pt idx="971">
                  <c:v>9.5459944261459678E-3</c:v>
                </c:pt>
                <c:pt idx="972">
                  <c:v>9.5591203231463733E-3</c:v>
                </c:pt>
                <c:pt idx="973">
                  <c:v>9.6103379205745125E-3</c:v>
                </c:pt>
                <c:pt idx="974">
                  <c:v>9.6131503425982753E-3</c:v>
                </c:pt>
                <c:pt idx="975">
                  <c:v>9.6274360537059248E-3</c:v>
                </c:pt>
                <c:pt idx="976">
                  <c:v>9.6105136307311524E-3</c:v>
                </c:pt>
                <c:pt idx="977">
                  <c:v>9.6206471452924963E-3</c:v>
                </c:pt>
                <c:pt idx="978">
                  <c:v>9.6124253703896538E-3</c:v>
                </c:pt>
                <c:pt idx="979">
                  <c:v>9.6317963001873313E-3</c:v>
                </c:pt>
                <c:pt idx="980">
                  <c:v>9.6823559979684528E-3</c:v>
                </c:pt>
                <c:pt idx="981">
                  <c:v>9.6976979148907516E-3</c:v>
                </c:pt>
                <c:pt idx="982">
                  <c:v>9.7371233290833945E-3</c:v>
                </c:pt>
                <c:pt idx="983">
                  <c:v>9.7008378822484743E-3</c:v>
                </c:pt>
                <c:pt idx="984">
                  <c:v>9.7248942916269114E-3</c:v>
                </c:pt>
                <c:pt idx="985">
                  <c:v>9.758488504200696E-3</c:v>
                </c:pt>
                <c:pt idx="986">
                  <c:v>9.788217983567651E-3</c:v>
                </c:pt>
                <c:pt idx="987">
                  <c:v>9.7924516515860704E-3</c:v>
                </c:pt>
                <c:pt idx="988">
                  <c:v>9.7550123446235922E-3</c:v>
                </c:pt>
                <c:pt idx="989">
                  <c:v>9.7332178283627037E-3</c:v>
                </c:pt>
                <c:pt idx="990">
                  <c:v>9.7794418497604424E-3</c:v>
                </c:pt>
                <c:pt idx="991">
                  <c:v>9.7749308255130219E-3</c:v>
                </c:pt>
                <c:pt idx="992">
                  <c:v>9.8294491062315779E-3</c:v>
                </c:pt>
                <c:pt idx="993">
                  <c:v>9.8525005463413143E-3</c:v>
                </c:pt>
                <c:pt idx="994">
                  <c:v>9.8513193066639484E-3</c:v>
                </c:pt>
                <c:pt idx="995">
                  <c:v>9.8397358414782522E-3</c:v>
                </c:pt>
                <c:pt idx="996">
                  <c:v>9.8393492963464828E-3</c:v>
                </c:pt>
                <c:pt idx="997">
                  <c:v>9.8072297166240455E-3</c:v>
                </c:pt>
                <c:pt idx="998">
                  <c:v>9.8488455101860186E-3</c:v>
                </c:pt>
                <c:pt idx="999">
                  <c:v>9.9128594302716547E-3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23-4D4E-B819-D422DAD91692}"/>
            </c:ext>
          </c:extLst>
        </c:ser>
        <c:ser>
          <c:idx val="0"/>
          <c:order val="2"/>
          <c:tx>
            <c:v>path(ou)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Model!$G$6:$G$1005</c:f>
              <c:numCache>
                <c:formatCode>General</c:formatCode>
                <c:ptCount val="1000"/>
                <c:pt idx="0">
                  <c:v>0.01</c:v>
                </c:pt>
                <c:pt idx="1">
                  <c:v>1.0954487951759927E-2</c:v>
                </c:pt>
                <c:pt idx="2">
                  <c:v>8.6675817145656538E-3</c:v>
                </c:pt>
                <c:pt idx="3">
                  <c:v>6.5388478549113756E-3</c:v>
                </c:pt>
                <c:pt idx="4">
                  <c:v>3.1036837530414932E-3</c:v>
                </c:pt>
                <c:pt idx="5">
                  <c:v>3.2881385172764529E-4</c:v>
                </c:pt>
                <c:pt idx="6">
                  <c:v>-3.4750392571703042E-3</c:v>
                </c:pt>
                <c:pt idx="7">
                  <c:v>-5.8529404160473156E-3</c:v>
                </c:pt>
                <c:pt idx="8">
                  <c:v>-8.4429690944330654E-3</c:v>
                </c:pt>
                <c:pt idx="9">
                  <c:v>-9.6333161792570114E-3</c:v>
                </c:pt>
                <c:pt idx="10">
                  <c:v>-1.1675237895591935E-2</c:v>
                </c:pt>
                <c:pt idx="11">
                  <c:v>-8.7366693433556849E-3</c:v>
                </c:pt>
                <c:pt idx="12">
                  <c:v>-3.7181134105733656E-3</c:v>
                </c:pt>
                <c:pt idx="13">
                  <c:v>-6.1267702440310785E-3</c:v>
                </c:pt>
                <c:pt idx="14">
                  <c:v>-6.3375340663025552E-3</c:v>
                </c:pt>
                <c:pt idx="15">
                  <c:v>-7.1042931594527698E-3</c:v>
                </c:pt>
                <c:pt idx="16">
                  <c:v>-9.6156851985961956E-3</c:v>
                </c:pt>
                <c:pt idx="17">
                  <c:v>-4.9366393448636503E-3</c:v>
                </c:pt>
                <c:pt idx="18">
                  <c:v>1.444895244712017E-3</c:v>
                </c:pt>
                <c:pt idx="19">
                  <c:v>3.292312645620233E-3</c:v>
                </c:pt>
                <c:pt idx="20">
                  <c:v>3.3497756815880691E-3</c:v>
                </c:pt>
                <c:pt idx="21">
                  <c:v>3.291816243618365E-3</c:v>
                </c:pt>
                <c:pt idx="22">
                  <c:v>-4.67373542887904E-4</c:v>
                </c:pt>
                <c:pt idx="23">
                  <c:v>-3.4283125268755334E-3</c:v>
                </c:pt>
                <c:pt idx="24">
                  <c:v>-1.2707308214497696E-3</c:v>
                </c:pt>
                <c:pt idx="25">
                  <c:v>1.8906284970129305E-3</c:v>
                </c:pt>
                <c:pt idx="26">
                  <c:v>7.0958922287322305E-3</c:v>
                </c:pt>
                <c:pt idx="27">
                  <c:v>5.7258408183618612E-3</c:v>
                </c:pt>
                <c:pt idx="28">
                  <c:v>7.8562753819885686E-3</c:v>
                </c:pt>
                <c:pt idx="29">
                  <c:v>1.9630719093055625E-3</c:v>
                </c:pt>
                <c:pt idx="30">
                  <c:v>1.6302304179509086E-3</c:v>
                </c:pt>
                <c:pt idx="31">
                  <c:v>-4.2477810785559829E-3</c:v>
                </c:pt>
                <c:pt idx="32">
                  <c:v>-8.4944870850870609E-3</c:v>
                </c:pt>
                <c:pt idx="33">
                  <c:v>-8.3613411118805235E-3</c:v>
                </c:pt>
                <c:pt idx="34">
                  <c:v>-8.5201718499607303E-3</c:v>
                </c:pt>
                <c:pt idx="35">
                  <c:v>-5.2620115314296091E-3</c:v>
                </c:pt>
                <c:pt idx="36">
                  <c:v>-8.6626399290399888E-3</c:v>
                </c:pt>
                <c:pt idx="37">
                  <c:v>-9.2103255181192802E-3</c:v>
                </c:pt>
                <c:pt idx="38">
                  <c:v>-4.7722143209990645E-3</c:v>
                </c:pt>
                <c:pt idx="39">
                  <c:v>-8.4636472097282308E-3</c:v>
                </c:pt>
                <c:pt idx="40">
                  <c:v>-4.4970381607536934E-3</c:v>
                </c:pt>
                <c:pt idx="41">
                  <c:v>-4.8527217419067252E-3</c:v>
                </c:pt>
                <c:pt idx="42">
                  <c:v>-7.0412460615479353E-3</c:v>
                </c:pt>
                <c:pt idx="43">
                  <c:v>-8.0746966196562405E-3</c:v>
                </c:pt>
                <c:pt idx="44">
                  <c:v>-5.4741761536594566E-3</c:v>
                </c:pt>
                <c:pt idx="45">
                  <c:v>-6.2789680683513526E-3</c:v>
                </c:pt>
                <c:pt idx="46">
                  <c:v>-5.7545076524563241E-3</c:v>
                </c:pt>
                <c:pt idx="47">
                  <c:v>3.0647760351651338E-3</c:v>
                </c:pt>
                <c:pt idx="48">
                  <c:v>-1.9345326286030443E-3</c:v>
                </c:pt>
                <c:pt idx="49">
                  <c:v>-3.247282057133585E-3</c:v>
                </c:pt>
                <c:pt idx="50">
                  <c:v>-5.6370778265694109E-5</c:v>
                </c:pt>
                <c:pt idx="51">
                  <c:v>-1.0658844802547535E-3</c:v>
                </c:pt>
                <c:pt idx="52">
                  <c:v>-3.5696548283199554E-3</c:v>
                </c:pt>
                <c:pt idx="53">
                  <c:v>-1.3691584015332464E-3</c:v>
                </c:pt>
                <c:pt idx="54">
                  <c:v>1.0304099257599552E-3</c:v>
                </c:pt>
                <c:pt idx="55">
                  <c:v>-4.6410526089223211E-3</c:v>
                </c:pt>
                <c:pt idx="56">
                  <c:v>-3.8016896978455388E-3</c:v>
                </c:pt>
                <c:pt idx="57">
                  <c:v>2.8465427112683282E-3</c:v>
                </c:pt>
                <c:pt idx="58">
                  <c:v>4.5631302358885226E-3</c:v>
                </c:pt>
                <c:pt idx="59">
                  <c:v>5.0087768349119273E-4</c:v>
                </c:pt>
                <c:pt idx="60">
                  <c:v>-4.9360898936949972E-4</c:v>
                </c:pt>
                <c:pt idx="61">
                  <c:v>1.0273212706271048E-3</c:v>
                </c:pt>
                <c:pt idx="62">
                  <c:v>7.1169687773652512E-4</c:v>
                </c:pt>
                <c:pt idx="63">
                  <c:v>3.7169999397350466E-3</c:v>
                </c:pt>
                <c:pt idx="64">
                  <c:v>4.8314080268329306E-3</c:v>
                </c:pt>
                <c:pt idx="65">
                  <c:v>6.8089175071976097E-3</c:v>
                </c:pt>
                <c:pt idx="66">
                  <c:v>5.0514219075231438E-3</c:v>
                </c:pt>
                <c:pt idx="67">
                  <c:v>7.6821053850387299E-3</c:v>
                </c:pt>
                <c:pt idx="68">
                  <c:v>1.0934121145403885E-2</c:v>
                </c:pt>
                <c:pt idx="69">
                  <c:v>6.5786589224171594E-3</c:v>
                </c:pt>
                <c:pt idx="70">
                  <c:v>1.7850868560836111E-3</c:v>
                </c:pt>
                <c:pt idx="71">
                  <c:v>-3.0858305989312699E-3</c:v>
                </c:pt>
                <c:pt idx="72">
                  <c:v>-8.1756123310568092E-3</c:v>
                </c:pt>
                <c:pt idx="73">
                  <c:v>-7.1633363415207971E-3</c:v>
                </c:pt>
                <c:pt idx="74">
                  <c:v>-7.9030500763503028E-3</c:v>
                </c:pt>
                <c:pt idx="75">
                  <c:v>-5.109624373825207E-3</c:v>
                </c:pt>
                <c:pt idx="76">
                  <c:v>-7.1804258939409983E-3</c:v>
                </c:pt>
                <c:pt idx="77">
                  <c:v>-1.3205276593907557E-3</c:v>
                </c:pt>
                <c:pt idx="78">
                  <c:v>3.8921036460662535E-6</c:v>
                </c:pt>
                <c:pt idx="79">
                  <c:v>-8.034606812923385E-4</c:v>
                </c:pt>
                <c:pt idx="80">
                  <c:v>-3.3503777785079038E-3</c:v>
                </c:pt>
                <c:pt idx="81">
                  <c:v>3.9064534447662671E-4</c:v>
                </c:pt>
                <c:pt idx="82">
                  <c:v>4.5071937897852819E-3</c:v>
                </c:pt>
                <c:pt idx="83">
                  <c:v>2.1763215875417806E-3</c:v>
                </c:pt>
                <c:pt idx="84">
                  <c:v>4.0275756455544253E-3</c:v>
                </c:pt>
                <c:pt idx="85">
                  <c:v>5.279903889634549E-3</c:v>
                </c:pt>
                <c:pt idx="86">
                  <c:v>6.6332016374780547E-5</c:v>
                </c:pt>
                <c:pt idx="87">
                  <c:v>1.5155739736706895E-3</c:v>
                </c:pt>
                <c:pt idx="88">
                  <c:v>1.6511983171063485E-4</c:v>
                </c:pt>
                <c:pt idx="89">
                  <c:v>-2.1404997589515641E-3</c:v>
                </c:pt>
                <c:pt idx="90">
                  <c:v>-2.9726964691907218E-3</c:v>
                </c:pt>
                <c:pt idx="91">
                  <c:v>-4.7481794848221086E-3</c:v>
                </c:pt>
                <c:pt idx="92">
                  <c:v>-9.2906471775945666E-3</c:v>
                </c:pt>
                <c:pt idx="93">
                  <c:v>-1.0099624773536976E-2</c:v>
                </c:pt>
                <c:pt idx="94">
                  <c:v>-8.8119912863868378E-3</c:v>
                </c:pt>
                <c:pt idx="95">
                  <c:v>-4.3127985226925677E-3</c:v>
                </c:pt>
                <c:pt idx="96">
                  <c:v>-3.1266182719054884E-3</c:v>
                </c:pt>
                <c:pt idx="97">
                  <c:v>-3.9826315533212442E-3</c:v>
                </c:pt>
                <c:pt idx="98">
                  <c:v>-4.8325537665722101E-3</c:v>
                </c:pt>
                <c:pt idx="99">
                  <c:v>-4.3013062319152556E-3</c:v>
                </c:pt>
                <c:pt idx="100">
                  <c:v>-6.9247392750423943E-3</c:v>
                </c:pt>
                <c:pt idx="101">
                  <c:v>-7.2469612669351985E-3</c:v>
                </c:pt>
                <c:pt idx="102">
                  <c:v>-9.2749690210910934E-3</c:v>
                </c:pt>
                <c:pt idx="103">
                  <c:v>-1.0124609316299937E-2</c:v>
                </c:pt>
                <c:pt idx="104">
                  <c:v>-5.1429405370905356E-3</c:v>
                </c:pt>
                <c:pt idx="105">
                  <c:v>-5.0394036778465519E-3</c:v>
                </c:pt>
                <c:pt idx="106">
                  <c:v>-1.5116470339218025E-3</c:v>
                </c:pt>
                <c:pt idx="107">
                  <c:v>8.5631835120543323E-5</c:v>
                </c:pt>
                <c:pt idx="108">
                  <c:v>-1.754326071484519E-4</c:v>
                </c:pt>
                <c:pt idx="109">
                  <c:v>5.2519641098293405E-3</c:v>
                </c:pt>
                <c:pt idx="110">
                  <c:v>8.4852536494132661E-3</c:v>
                </c:pt>
                <c:pt idx="111">
                  <c:v>8.6482457068401321E-3</c:v>
                </c:pt>
                <c:pt idx="112">
                  <c:v>7.27303839053162E-3</c:v>
                </c:pt>
                <c:pt idx="113">
                  <c:v>4.9365287433871001E-3</c:v>
                </c:pt>
                <c:pt idx="114">
                  <c:v>4.9839603572082898E-3</c:v>
                </c:pt>
                <c:pt idx="115">
                  <c:v>1.0031979681150388E-2</c:v>
                </c:pt>
                <c:pt idx="116">
                  <c:v>9.3857623799373253E-3</c:v>
                </c:pt>
                <c:pt idx="117">
                  <c:v>6.6128050916236161E-3</c:v>
                </c:pt>
                <c:pt idx="118">
                  <c:v>3.4187795460948632E-3</c:v>
                </c:pt>
                <c:pt idx="119">
                  <c:v>5.8604960719787014E-3</c:v>
                </c:pt>
                <c:pt idx="120">
                  <c:v>3.9837985853545385E-3</c:v>
                </c:pt>
                <c:pt idx="121">
                  <c:v>4.5414086561776021E-3</c:v>
                </c:pt>
                <c:pt idx="122">
                  <c:v>6.2991751428157598E-3</c:v>
                </c:pt>
                <c:pt idx="123">
                  <c:v>7.2429791257648691E-3</c:v>
                </c:pt>
                <c:pt idx="124">
                  <c:v>6.6582219979365986E-3</c:v>
                </c:pt>
                <c:pt idx="125">
                  <c:v>4.2604141128277694E-3</c:v>
                </c:pt>
                <c:pt idx="126">
                  <c:v>5.0643297244517107E-3</c:v>
                </c:pt>
                <c:pt idx="127">
                  <c:v>1.3117629315236745E-2</c:v>
                </c:pt>
                <c:pt idx="128">
                  <c:v>1.3013004116954847E-2</c:v>
                </c:pt>
                <c:pt idx="129">
                  <c:v>1.4019269665168482E-2</c:v>
                </c:pt>
                <c:pt idx="130">
                  <c:v>1.2198141908337158E-2</c:v>
                </c:pt>
                <c:pt idx="131">
                  <c:v>4.9912971892672213E-3</c:v>
                </c:pt>
                <c:pt idx="132">
                  <c:v>7.028942679389672E-3</c:v>
                </c:pt>
                <c:pt idx="133">
                  <c:v>9.416110985119238E-3</c:v>
                </c:pt>
                <c:pt idx="134">
                  <c:v>4.9483500160198762E-3</c:v>
                </c:pt>
                <c:pt idx="135">
                  <c:v>5.3766989094004847E-3</c:v>
                </c:pt>
                <c:pt idx="136">
                  <c:v>1.3565856753050651E-2</c:v>
                </c:pt>
                <c:pt idx="137">
                  <c:v>1.3032750739022235E-2</c:v>
                </c:pt>
                <c:pt idx="138">
                  <c:v>1.6674134961977116E-2</c:v>
                </c:pt>
                <c:pt idx="139">
                  <c:v>1.2631118807088575E-2</c:v>
                </c:pt>
                <c:pt idx="140">
                  <c:v>1.0434118458890595E-2</c:v>
                </c:pt>
                <c:pt idx="141">
                  <c:v>1.1025676729197591E-2</c:v>
                </c:pt>
                <c:pt idx="142">
                  <c:v>1.1217960537380476E-2</c:v>
                </c:pt>
                <c:pt idx="143">
                  <c:v>1.4567232053030441E-2</c:v>
                </c:pt>
                <c:pt idx="144">
                  <c:v>1.726369541254999E-2</c:v>
                </c:pt>
                <c:pt idx="145">
                  <c:v>1.6060868112706118E-2</c:v>
                </c:pt>
                <c:pt idx="146">
                  <c:v>1.7229745063525696E-2</c:v>
                </c:pt>
                <c:pt idx="147">
                  <c:v>1.6635056072078679E-2</c:v>
                </c:pt>
                <c:pt idx="148">
                  <c:v>1.4118722641255341E-2</c:v>
                </c:pt>
                <c:pt idx="149">
                  <c:v>1.1906049014481687E-2</c:v>
                </c:pt>
                <c:pt idx="150">
                  <c:v>1.2421016513799364E-2</c:v>
                </c:pt>
                <c:pt idx="151">
                  <c:v>1.1826022907368439E-2</c:v>
                </c:pt>
                <c:pt idx="152">
                  <c:v>1.2673645217167953E-2</c:v>
                </c:pt>
                <c:pt idx="153">
                  <c:v>1.2646168577608917E-2</c:v>
                </c:pt>
                <c:pt idx="154">
                  <c:v>1.6474800272808638E-2</c:v>
                </c:pt>
                <c:pt idx="155">
                  <c:v>1.1422723496594844E-2</c:v>
                </c:pt>
                <c:pt idx="156">
                  <c:v>9.6075605868363792E-3</c:v>
                </c:pt>
                <c:pt idx="157">
                  <c:v>5.7976447650981162E-3</c:v>
                </c:pt>
                <c:pt idx="158">
                  <c:v>4.7771995763974014E-3</c:v>
                </c:pt>
                <c:pt idx="159">
                  <c:v>-2.6978484215620909E-3</c:v>
                </c:pt>
                <c:pt idx="160">
                  <c:v>-7.5512048796322947E-4</c:v>
                </c:pt>
                <c:pt idx="161">
                  <c:v>-2.2766397114177706E-3</c:v>
                </c:pt>
                <c:pt idx="162">
                  <c:v>-3.8171606120708254E-3</c:v>
                </c:pt>
                <c:pt idx="163">
                  <c:v>-4.944528466708514E-3</c:v>
                </c:pt>
                <c:pt idx="164">
                  <c:v>-8.1151239108647466E-3</c:v>
                </c:pt>
                <c:pt idx="165">
                  <c:v>-3.2778720004796678E-3</c:v>
                </c:pt>
                <c:pt idx="166">
                  <c:v>1.2081452157248259E-4</c:v>
                </c:pt>
                <c:pt idx="167">
                  <c:v>1.1182392268465446E-3</c:v>
                </c:pt>
                <c:pt idx="168">
                  <c:v>1.9393358929427258E-3</c:v>
                </c:pt>
                <c:pt idx="169">
                  <c:v>8.3609378281239623E-3</c:v>
                </c:pt>
                <c:pt idx="170">
                  <c:v>9.7953083280391054E-3</c:v>
                </c:pt>
                <c:pt idx="171">
                  <c:v>1.3706975493670276E-2</c:v>
                </c:pt>
                <c:pt idx="172">
                  <c:v>1.2741006206052148E-2</c:v>
                </c:pt>
                <c:pt idx="173">
                  <c:v>1.3365959839425746E-2</c:v>
                </c:pt>
                <c:pt idx="174">
                  <c:v>6.0178656194707801E-3</c:v>
                </c:pt>
                <c:pt idx="175">
                  <c:v>4.2355993807251767E-3</c:v>
                </c:pt>
                <c:pt idx="176">
                  <c:v>-7.7791082454540996E-4</c:v>
                </c:pt>
                <c:pt idx="177">
                  <c:v>-2.5244620435446374E-3</c:v>
                </c:pt>
                <c:pt idx="178">
                  <c:v>-1.3836330886998704E-3</c:v>
                </c:pt>
                <c:pt idx="179">
                  <c:v>4.4841499741828748E-3</c:v>
                </c:pt>
                <c:pt idx="180">
                  <c:v>5.996724619164377E-3</c:v>
                </c:pt>
                <c:pt idx="181">
                  <c:v>9.5957728971629158E-3</c:v>
                </c:pt>
                <c:pt idx="182">
                  <c:v>1.3170149001474481E-2</c:v>
                </c:pt>
                <c:pt idx="183">
                  <c:v>1.6533516853739574E-2</c:v>
                </c:pt>
                <c:pt idx="184">
                  <c:v>1.2185813880790958E-2</c:v>
                </c:pt>
                <c:pt idx="185">
                  <c:v>1.029473983387947E-2</c:v>
                </c:pt>
                <c:pt idx="186">
                  <c:v>3.2727697104226435E-3</c:v>
                </c:pt>
                <c:pt idx="187">
                  <c:v>9.7187966337861911E-4</c:v>
                </c:pt>
                <c:pt idx="188">
                  <c:v>2.699657511769463E-3</c:v>
                </c:pt>
                <c:pt idx="189">
                  <c:v>1.3615866059500745E-3</c:v>
                </c:pt>
                <c:pt idx="190">
                  <c:v>2.4333410489049017E-3</c:v>
                </c:pt>
                <c:pt idx="191">
                  <c:v>-1.3291991492482822E-3</c:v>
                </c:pt>
                <c:pt idx="192">
                  <c:v>-2.9809825927650875E-3</c:v>
                </c:pt>
                <c:pt idx="193">
                  <c:v>3.6541699844634679E-4</c:v>
                </c:pt>
                <c:pt idx="194">
                  <c:v>9.6253963050277214E-3</c:v>
                </c:pt>
                <c:pt idx="195">
                  <c:v>6.9568750488470917E-3</c:v>
                </c:pt>
                <c:pt idx="196">
                  <c:v>8.236220912781287E-3</c:v>
                </c:pt>
                <c:pt idx="197">
                  <c:v>1.1650291731143589E-2</c:v>
                </c:pt>
                <c:pt idx="198">
                  <c:v>8.6588721824445228E-3</c:v>
                </c:pt>
                <c:pt idx="199">
                  <c:v>1.1304756810105661E-2</c:v>
                </c:pt>
                <c:pt idx="200">
                  <c:v>1.3138248478196449E-2</c:v>
                </c:pt>
                <c:pt idx="201">
                  <c:v>1.3869737266064724E-2</c:v>
                </c:pt>
                <c:pt idx="202">
                  <c:v>1.404839097891558E-2</c:v>
                </c:pt>
                <c:pt idx="203">
                  <c:v>1.6685566112137975E-2</c:v>
                </c:pt>
                <c:pt idx="204">
                  <c:v>1.9885826599932144E-2</c:v>
                </c:pt>
                <c:pt idx="205">
                  <c:v>2.0091632951438506E-2</c:v>
                </c:pt>
                <c:pt idx="206">
                  <c:v>1.9621263373518192E-2</c:v>
                </c:pt>
                <c:pt idx="207">
                  <c:v>1.7189840580587812E-2</c:v>
                </c:pt>
                <c:pt idx="208">
                  <c:v>1.7795977744935795E-2</c:v>
                </c:pt>
                <c:pt idx="209">
                  <c:v>2.319701092493209E-2</c:v>
                </c:pt>
                <c:pt idx="210">
                  <c:v>1.8617464491219135E-2</c:v>
                </c:pt>
                <c:pt idx="211">
                  <c:v>1.6369708998824811E-2</c:v>
                </c:pt>
                <c:pt idx="212">
                  <c:v>1.3700231323436597E-2</c:v>
                </c:pt>
                <c:pt idx="213">
                  <c:v>1.1901467280901606E-2</c:v>
                </c:pt>
                <c:pt idx="214">
                  <c:v>1.1615235067958732E-2</c:v>
                </c:pt>
                <c:pt idx="215">
                  <c:v>9.0319010789690225E-3</c:v>
                </c:pt>
                <c:pt idx="216">
                  <c:v>5.8216772505524025E-3</c:v>
                </c:pt>
                <c:pt idx="217">
                  <c:v>4.2248911764664488E-4</c:v>
                </c:pt>
                <c:pt idx="218">
                  <c:v>5.7509576667914399E-3</c:v>
                </c:pt>
                <c:pt idx="219">
                  <c:v>9.9378983119605274E-3</c:v>
                </c:pt>
                <c:pt idx="220">
                  <c:v>7.2710498290945308E-3</c:v>
                </c:pt>
                <c:pt idx="221">
                  <c:v>1.0028519060904571E-2</c:v>
                </c:pt>
                <c:pt idx="222">
                  <c:v>1.3127819926962271E-2</c:v>
                </c:pt>
                <c:pt idx="223">
                  <c:v>1.3788036268487897E-2</c:v>
                </c:pt>
                <c:pt idx="224">
                  <c:v>1.3383983726422084E-2</c:v>
                </c:pt>
                <c:pt idx="225">
                  <c:v>1.5595705842338804E-2</c:v>
                </c:pt>
                <c:pt idx="226">
                  <c:v>1.6607712206562292E-2</c:v>
                </c:pt>
                <c:pt idx="227">
                  <c:v>1.6181118506319005E-2</c:v>
                </c:pt>
                <c:pt idx="228">
                  <c:v>1.3532257475695418E-2</c:v>
                </c:pt>
                <c:pt idx="229">
                  <c:v>9.8226857801137126E-3</c:v>
                </c:pt>
                <c:pt idx="230">
                  <c:v>1.199641715788112E-2</c:v>
                </c:pt>
                <c:pt idx="231">
                  <c:v>8.0844311502243967E-3</c:v>
                </c:pt>
                <c:pt idx="232">
                  <c:v>1.0194645247276975E-2</c:v>
                </c:pt>
                <c:pt idx="233">
                  <c:v>1.5376818732222292E-2</c:v>
                </c:pt>
                <c:pt idx="234">
                  <c:v>1.6117922804979715E-2</c:v>
                </c:pt>
                <c:pt idx="235">
                  <c:v>1.3594325895115066E-2</c:v>
                </c:pt>
                <c:pt idx="236">
                  <c:v>1.7102363232063676E-2</c:v>
                </c:pt>
                <c:pt idx="237">
                  <c:v>1.8779511365586216E-2</c:v>
                </c:pt>
                <c:pt idx="238">
                  <c:v>1.5744438264029378E-2</c:v>
                </c:pt>
                <c:pt idx="239">
                  <c:v>1.7513310261582878E-2</c:v>
                </c:pt>
                <c:pt idx="240">
                  <c:v>1.6719224581093216E-2</c:v>
                </c:pt>
                <c:pt idx="241">
                  <c:v>1.7403542484105396E-2</c:v>
                </c:pt>
                <c:pt idx="242">
                  <c:v>1.7391232317247637E-2</c:v>
                </c:pt>
                <c:pt idx="243">
                  <c:v>1.8973547476909373E-2</c:v>
                </c:pt>
                <c:pt idx="244">
                  <c:v>1.8666730555489165E-2</c:v>
                </c:pt>
                <c:pt idx="245">
                  <c:v>2.2581084154270174E-2</c:v>
                </c:pt>
                <c:pt idx="246">
                  <c:v>2.8677210485420095E-2</c:v>
                </c:pt>
                <c:pt idx="247">
                  <c:v>2.7858383238324871E-2</c:v>
                </c:pt>
                <c:pt idx="248">
                  <c:v>2.8583237077725733E-2</c:v>
                </c:pt>
                <c:pt idx="249">
                  <c:v>2.784057300740898E-2</c:v>
                </c:pt>
                <c:pt idx="250">
                  <c:v>2.5846353380592834E-2</c:v>
                </c:pt>
                <c:pt idx="251">
                  <c:v>3.2502725353270971E-2</c:v>
                </c:pt>
                <c:pt idx="252">
                  <c:v>2.991247940422789E-2</c:v>
                </c:pt>
                <c:pt idx="253">
                  <c:v>2.3672570804919177E-2</c:v>
                </c:pt>
                <c:pt idx="254">
                  <c:v>2.1673414953066069E-2</c:v>
                </c:pt>
                <c:pt idx="255">
                  <c:v>2.2324604441224163E-2</c:v>
                </c:pt>
                <c:pt idx="256">
                  <c:v>2.6070344120201164E-2</c:v>
                </c:pt>
                <c:pt idx="257">
                  <c:v>2.3088587529987197E-2</c:v>
                </c:pt>
                <c:pt idx="258">
                  <c:v>2.1621759419429541E-2</c:v>
                </c:pt>
                <c:pt idx="259">
                  <c:v>2.6994893653936411E-2</c:v>
                </c:pt>
                <c:pt idx="260">
                  <c:v>3.0251638089376857E-2</c:v>
                </c:pt>
                <c:pt idx="261">
                  <c:v>2.9325145577507865E-2</c:v>
                </c:pt>
                <c:pt idx="262">
                  <c:v>2.8447214735465052E-2</c:v>
                </c:pt>
                <c:pt idx="263">
                  <c:v>2.2979723044049678E-2</c:v>
                </c:pt>
                <c:pt idx="264">
                  <c:v>2.0620062291781888E-2</c:v>
                </c:pt>
                <c:pt idx="265">
                  <c:v>2.2559214258300292E-2</c:v>
                </c:pt>
                <c:pt idx="266">
                  <c:v>2.6397227273634985E-2</c:v>
                </c:pt>
                <c:pt idx="267">
                  <c:v>3.1139038301741841E-2</c:v>
                </c:pt>
                <c:pt idx="268">
                  <c:v>2.7143729002648179E-2</c:v>
                </c:pt>
                <c:pt idx="269">
                  <c:v>2.1750463536625166E-2</c:v>
                </c:pt>
                <c:pt idx="270">
                  <c:v>2.7928388738830332E-2</c:v>
                </c:pt>
                <c:pt idx="271">
                  <c:v>2.7250953117489089E-2</c:v>
                </c:pt>
                <c:pt idx="272">
                  <c:v>2.5930715215308219E-2</c:v>
                </c:pt>
                <c:pt idx="273">
                  <c:v>2.5007236350550136E-2</c:v>
                </c:pt>
                <c:pt idx="274">
                  <c:v>2.9817467532355122E-2</c:v>
                </c:pt>
                <c:pt idx="275">
                  <c:v>2.9265847751691797E-2</c:v>
                </c:pt>
                <c:pt idx="276">
                  <c:v>2.7737364001782689E-2</c:v>
                </c:pt>
                <c:pt idx="277">
                  <c:v>2.808377864425389E-2</c:v>
                </c:pt>
                <c:pt idx="278">
                  <c:v>2.9302919259813726E-2</c:v>
                </c:pt>
                <c:pt idx="279">
                  <c:v>2.527820345607356E-2</c:v>
                </c:pt>
                <c:pt idx="280">
                  <c:v>2.772070600894954E-2</c:v>
                </c:pt>
                <c:pt idx="281">
                  <c:v>2.8144040764037193E-2</c:v>
                </c:pt>
                <c:pt idx="282">
                  <c:v>2.9244776304492452E-2</c:v>
                </c:pt>
                <c:pt idx="283">
                  <c:v>3.186967401333024E-2</c:v>
                </c:pt>
                <c:pt idx="284">
                  <c:v>3.1300710190115627E-2</c:v>
                </c:pt>
                <c:pt idx="285">
                  <c:v>3.3468540993391499E-2</c:v>
                </c:pt>
                <c:pt idx="286">
                  <c:v>2.9454622975659945E-2</c:v>
                </c:pt>
                <c:pt idx="287">
                  <c:v>3.2660043948521011E-2</c:v>
                </c:pt>
                <c:pt idx="288">
                  <c:v>3.2013709065223647E-2</c:v>
                </c:pt>
                <c:pt idx="289">
                  <c:v>2.7995945763141034E-2</c:v>
                </c:pt>
                <c:pt idx="290">
                  <c:v>2.4839481199681417E-2</c:v>
                </c:pt>
                <c:pt idx="291">
                  <c:v>2.2032722306989942E-2</c:v>
                </c:pt>
                <c:pt idx="292">
                  <c:v>2.1880847594961936E-2</c:v>
                </c:pt>
                <c:pt idx="293">
                  <c:v>1.8910127617926806E-2</c:v>
                </c:pt>
                <c:pt idx="294">
                  <c:v>1.7851557847908085E-2</c:v>
                </c:pt>
                <c:pt idx="295">
                  <c:v>2.5532115118566047E-2</c:v>
                </c:pt>
                <c:pt idx="296">
                  <c:v>2.3143624086172071E-2</c:v>
                </c:pt>
                <c:pt idx="297">
                  <c:v>2.5381671591995048E-2</c:v>
                </c:pt>
                <c:pt idx="298">
                  <c:v>2.0834021184985979E-2</c:v>
                </c:pt>
                <c:pt idx="299">
                  <c:v>2.1422602138266817E-2</c:v>
                </c:pt>
                <c:pt idx="300">
                  <c:v>2.1172342814586891E-2</c:v>
                </c:pt>
                <c:pt idx="301">
                  <c:v>2.1621428401058067E-2</c:v>
                </c:pt>
                <c:pt idx="302">
                  <c:v>2.0254542034931735E-2</c:v>
                </c:pt>
                <c:pt idx="303">
                  <c:v>2.4596180464558415E-2</c:v>
                </c:pt>
                <c:pt idx="304">
                  <c:v>1.9877411392285892E-2</c:v>
                </c:pt>
                <c:pt idx="305">
                  <c:v>2.3358099093585712E-2</c:v>
                </c:pt>
                <c:pt idx="306">
                  <c:v>2.343252485780958E-2</c:v>
                </c:pt>
                <c:pt idx="307">
                  <c:v>2.245933346701167E-2</c:v>
                </c:pt>
                <c:pt idx="308">
                  <c:v>2.4386926204029886E-2</c:v>
                </c:pt>
                <c:pt idx="309">
                  <c:v>2.1548779422218119E-2</c:v>
                </c:pt>
                <c:pt idx="310">
                  <c:v>2.2457435110737008E-2</c:v>
                </c:pt>
                <c:pt idx="311">
                  <c:v>1.8691816354225961E-2</c:v>
                </c:pt>
                <c:pt idx="312">
                  <c:v>2.0964682460418396E-2</c:v>
                </c:pt>
                <c:pt idx="313">
                  <c:v>2.0655645337475617E-2</c:v>
                </c:pt>
                <c:pt idx="314">
                  <c:v>2.0688193243612263E-2</c:v>
                </c:pt>
                <c:pt idx="315">
                  <c:v>1.7763223726199418E-2</c:v>
                </c:pt>
                <c:pt idx="316">
                  <c:v>1.7998453291631328E-2</c:v>
                </c:pt>
                <c:pt idx="317">
                  <c:v>2.2064962365859472E-2</c:v>
                </c:pt>
                <c:pt idx="318">
                  <c:v>1.7616268642445095E-2</c:v>
                </c:pt>
                <c:pt idx="319">
                  <c:v>1.1369654207805878E-2</c:v>
                </c:pt>
                <c:pt idx="320">
                  <c:v>5.7156448886487325E-3</c:v>
                </c:pt>
                <c:pt idx="321">
                  <c:v>3.4672142524836656E-3</c:v>
                </c:pt>
                <c:pt idx="322">
                  <c:v>5.9596394305020412E-3</c:v>
                </c:pt>
                <c:pt idx="323">
                  <c:v>-9.9668663568469595E-4</c:v>
                </c:pt>
                <c:pt idx="324">
                  <c:v>-1.7603343619036634E-3</c:v>
                </c:pt>
                <c:pt idx="325">
                  <c:v>9.4559242543694726E-4</c:v>
                </c:pt>
                <c:pt idx="326">
                  <c:v>-3.5528248372258672E-3</c:v>
                </c:pt>
                <c:pt idx="327">
                  <c:v>-7.5250779832508347E-3</c:v>
                </c:pt>
                <c:pt idx="328">
                  <c:v>-5.7370490943457319E-3</c:v>
                </c:pt>
                <c:pt idx="329">
                  <c:v>-4.7015733562066342E-3</c:v>
                </c:pt>
                <c:pt idx="330">
                  <c:v>-1.4646409487193528E-3</c:v>
                </c:pt>
                <c:pt idx="331">
                  <c:v>3.1999449354615846E-3</c:v>
                </c:pt>
                <c:pt idx="332">
                  <c:v>4.7280024893133505E-3</c:v>
                </c:pt>
                <c:pt idx="333">
                  <c:v>3.9147609416170862E-3</c:v>
                </c:pt>
                <c:pt idx="334">
                  <c:v>4.6350585916708088E-3</c:v>
                </c:pt>
                <c:pt idx="335">
                  <c:v>6.4315890010902058E-3</c:v>
                </c:pt>
                <c:pt idx="336">
                  <c:v>8.7780138363837568E-3</c:v>
                </c:pt>
                <c:pt idx="337">
                  <c:v>8.9716129214944419E-3</c:v>
                </c:pt>
                <c:pt idx="338">
                  <c:v>1.0584922452735726E-2</c:v>
                </c:pt>
                <c:pt idx="339">
                  <c:v>1.3013486232586318E-2</c:v>
                </c:pt>
                <c:pt idx="340">
                  <c:v>8.091509741767337E-3</c:v>
                </c:pt>
                <c:pt idx="341">
                  <c:v>3.4403797380008587E-3</c:v>
                </c:pt>
                <c:pt idx="342">
                  <c:v>3.3542448303564951E-3</c:v>
                </c:pt>
                <c:pt idx="343">
                  <c:v>2.3374516459556483E-3</c:v>
                </c:pt>
                <c:pt idx="344">
                  <c:v>2.6102343168598286E-3</c:v>
                </c:pt>
                <c:pt idx="345">
                  <c:v>-3.5651505167465852E-3</c:v>
                </c:pt>
                <c:pt idx="346">
                  <c:v>-1.6915947287113736E-3</c:v>
                </c:pt>
                <c:pt idx="347">
                  <c:v>-4.7827970159291531E-3</c:v>
                </c:pt>
                <c:pt idx="348">
                  <c:v>-5.6494585484693069E-3</c:v>
                </c:pt>
                <c:pt idx="349">
                  <c:v>-5.080488191934138E-3</c:v>
                </c:pt>
                <c:pt idx="350">
                  <c:v>-7.0661871785591916E-3</c:v>
                </c:pt>
                <c:pt idx="351">
                  <c:v>-1.2590945833832823E-3</c:v>
                </c:pt>
                <c:pt idx="352">
                  <c:v>-2.1671512387672906E-3</c:v>
                </c:pt>
                <c:pt idx="353">
                  <c:v>-7.1700573497291498E-3</c:v>
                </c:pt>
                <c:pt idx="354">
                  <c:v>-1.4003876523539958E-2</c:v>
                </c:pt>
                <c:pt idx="355">
                  <c:v>-1.3380189016638407E-2</c:v>
                </c:pt>
                <c:pt idx="356">
                  <c:v>-1.3999186769478532E-2</c:v>
                </c:pt>
                <c:pt idx="357">
                  <c:v>-1.4403244939800344E-2</c:v>
                </c:pt>
                <c:pt idx="358">
                  <c:v>-1.5819481808799444E-2</c:v>
                </c:pt>
                <c:pt idx="359">
                  <c:v>-1.2257969984094189E-2</c:v>
                </c:pt>
                <c:pt idx="360">
                  <c:v>-1.4070031422483515E-2</c:v>
                </c:pt>
                <c:pt idx="361">
                  <c:v>-1.1095401282432082E-2</c:v>
                </c:pt>
                <c:pt idx="362">
                  <c:v>-1.5771966207236632E-2</c:v>
                </c:pt>
                <c:pt idx="363">
                  <c:v>-1.2310190421921595E-2</c:v>
                </c:pt>
                <c:pt idx="364">
                  <c:v>-1.0578318975417868E-2</c:v>
                </c:pt>
                <c:pt idx="365">
                  <c:v>-1.1133886732131216E-2</c:v>
                </c:pt>
                <c:pt idx="366">
                  <c:v>-1.3117868114108274E-2</c:v>
                </c:pt>
                <c:pt idx="367">
                  <c:v>-9.1864256113750702E-3</c:v>
                </c:pt>
                <c:pt idx="368">
                  <c:v>-1.0915607999539067E-2</c:v>
                </c:pt>
                <c:pt idx="369">
                  <c:v>-4.6535571982916852E-3</c:v>
                </c:pt>
                <c:pt idx="370">
                  <c:v>-2.4739783227018738E-3</c:v>
                </c:pt>
                <c:pt idx="371">
                  <c:v>-1.7648445482463431E-4</c:v>
                </c:pt>
                <c:pt idx="372">
                  <c:v>9.8517452332209932E-4</c:v>
                </c:pt>
                <c:pt idx="373">
                  <c:v>-3.4533387318887447E-3</c:v>
                </c:pt>
                <c:pt idx="374">
                  <c:v>-7.3876481687031818E-3</c:v>
                </c:pt>
                <c:pt idx="375">
                  <c:v>-4.2638512016697321E-3</c:v>
                </c:pt>
                <c:pt idx="376">
                  <c:v>-8.4166045077740895E-3</c:v>
                </c:pt>
                <c:pt idx="377">
                  <c:v>-1.0970128654640917E-2</c:v>
                </c:pt>
                <c:pt idx="378">
                  <c:v>-1.0731136399727897E-2</c:v>
                </c:pt>
                <c:pt idx="379">
                  <c:v>-8.8406048832165053E-3</c:v>
                </c:pt>
                <c:pt idx="380">
                  <c:v>-7.7350728099417282E-3</c:v>
                </c:pt>
                <c:pt idx="381">
                  <c:v>-8.1256018480877837E-3</c:v>
                </c:pt>
                <c:pt idx="382">
                  <c:v>-6.7143000328787721E-3</c:v>
                </c:pt>
                <c:pt idx="383">
                  <c:v>-8.5827264316435028E-3</c:v>
                </c:pt>
                <c:pt idx="384">
                  <c:v>-9.7856411397210675E-3</c:v>
                </c:pt>
                <c:pt idx="385">
                  <c:v>-1.2327047681657707E-2</c:v>
                </c:pt>
                <c:pt idx="386">
                  <c:v>-1.4970472493622555E-2</c:v>
                </c:pt>
                <c:pt idx="387">
                  <c:v>-1.0287501498464247E-2</c:v>
                </c:pt>
                <c:pt idx="388">
                  <c:v>-7.7994547901355012E-3</c:v>
                </c:pt>
                <c:pt idx="389">
                  <c:v>-4.5717772627670303E-3</c:v>
                </c:pt>
                <c:pt idx="390">
                  <c:v>-4.9822638156756145E-4</c:v>
                </c:pt>
                <c:pt idx="391">
                  <c:v>1.2150599164053382E-3</c:v>
                </c:pt>
                <c:pt idx="392">
                  <c:v>-1.7473230256009205E-3</c:v>
                </c:pt>
                <c:pt idx="393">
                  <c:v>-4.4945069442642507E-3</c:v>
                </c:pt>
                <c:pt idx="394">
                  <c:v>-3.1797043073509132E-3</c:v>
                </c:pt>
                <c:pt idx="395">
                  <c:v>-7.2596430391662151E-3</c:v>
                </c:pt>
                <c:pt idx="396">
                  <c:v>-3.6939091737307138E-3</c:v>
                </c:pt>
                <c:pt idx="397">
                  <c:v>5.2236052091684951E-4</c:v>
                </c:pt>
                <c:pt idx="398">
                  <c:v>3.5607466677168385E-3</c:v>
                </c:pt>
                <c:pt idx="399">
                  <c:v>-1.7472966047791735E-4</c:v>
                </c:pt>
                <c:pt idx="400">
                  <c:v>4.4844081402191814E-3</c:v>
                </c:pt>
                <c:pt idx="401">
                  <c:v>5.6625422439822376E-3</c:v>
                </c:pt>
                <c:pt idx="402">
                  <c:v>5.1609827472138365E-3</c:v>
                </c:pt>
                <c:pt idx="403">
                  <c:v>8.9935421228116465E-4</c:v>
                </c:pt>
                <c:pt idx="404">
                  <c:v>1.0012717294497048E-3</c:v>
                </c:pt>
                <c:pt idx="405">
                  <c:v>-4.1633252121894516E-3</c:v>
                </c:pt>
                <c:pt idx="406">
                  <c:v>-5.293916297461859E-3</c:v>
                </c:pt>
                <c:pt idx="407">
                  <c:v>-6.5473726887354238E-3</c:v>
                </c:pt>
                <c:pt idx="408">
                  <c:v>-4.5962961014474769E-3</c:v>
                </c:pt>
                <c:pt idx="409">
                  <c:v>-8.919758129648403E-3</c:v>
                </c:pt>
                <c:pt idx="410">
                  <c:v>-2.7994252290555301E-3</c:v>
                </c:pt>
                <c:pt idx="411">
                  <c:v>-1.4598915498511317E-3</c:v>
                </c:pt>
                <c:pt idx="412">
                  <c:v>-4.5882778350238339E-4</c:v>
                </c:pt>
                <c:pt idx="413">
                  <c:v>6.2498204195483365E-4</c:v>
                </c:pt>
                <c:pt idx="414">
                  <c:v>9.4846811566218995E-4</c:v>
                </c:pt>
                <c:pt idx="415">
                  <c:v>-4.1205904825056729E-3</c:v>
                </c:pt>
                <c:pt idx="416">
                  <c:v>-5.3304402101807796E-3</c:v>
                </c:pt>
                <c:pt idx="417">
                  <c:v>-7.1185477903114346E-3</c:v>
                </c:pt>
                <c:pt idx="418">
                  <c:v>-1.0845841582084473E-2</c:v>
                </c:pt>
                <c:pt idx="419">
                  <c:v>-1.1756676375336252E-2</c:v>
                </c:pt>
                <c:pt idx="420">
                  <c:v>-1.456543469598154E-2</c:v>
                </c:pt>
                <c:pt idx="421">
                  <c:v>-1.1637873205262828E-2</c:v>
                </c:pt>
                <c:pt idx="422">
                  <c:v>-1.3305458669112095E-2</c:v>
                </c:pt>
                <c:pt idx="423">
                  <c:v>-7.2373457606157215E-3</c:v>
                </c:pt>
                <c:pt idx="424">
                  <c:v>-6.9505033098799501E-3</c:v>
                </c:pt>
                <c:pt idx="425">
                  <c:v>-5.3046955718981867E-3</c:v>
                </c:pt>
                <c:pt idx="426">
                  <c:v>-9.4354088624703548E-3</c:v>
                </c:pt>
                <c:pt idx="427">
                  <c:v>-1.3333723376721729E-2</c:v>
                </c:pt>
                <c:pt idx="428">
                  <c:v>-1.1538158153660716E-2</c:v>
                </c:pt>
                <c:pt idx="429">
                  <c:v>-1.5221274092625905E-2</c:v>
                </c:pt>
                <c:pt idx="430">
                  <c:v>-1.9477657097101551E-2</c:v>
                </c:pt>
                <c:pt idx="431">
                  <c:v>-1.5773950066034489E-2</c:v>
                </c:pt>
                <c:pt idx="432">
                  <c:v>-1.7055328104486782E-2</c:v>
                </c:pt>
                <c:pt idx="433">
                  <c:v>-1.7705825048720938E-2</c:v>
                </c:pt>
                <c:pt idx="434">
                  <c:v>-1.6800220716144294E-2</c:v>
                </c:pt>
                <c:pt idx="435">
                  <c:v>-1.2575805622762956E-2</c:v>
                </c:pt>
                <c:pt idx="436">
                  <c:v>-1.6868815265135916E-2</c:v>
                </c:pt>
                <c:pt idx="437">
                  <c:v>-1.4311080154519009E-2</c:v>
                </c:pt>
                <c:pt idx="438">
                  <c:v>-1.3977206861636929E-2</c:v>
                </c:pt>
                <c:pt idx="439">
                  <c:v>-1.2293973129792633E-2</c:v>
                </c:pt>
                <c:pt idx="440">
                  <c:v>-1.191639072121904E-2</c:v>
                </c:pt>
                <c:pt idx="441">
                  <c:v>-1.3655338400255483E-2</c:v>
                </c:pt>
                <c:pt idx="442">
                  <c:v>-1.0583215087236071E-2</c:v>
                </c:pt>
                <c:pt idx="443">
                  <c:v>-8.9225239677354941E-3</c:v>
                </c:pt>
                <c:pt idx="444">
                  <c:v>-7.3087560734684393E-3</c:v>
                </c:pt>
                <c:pt idx="445">
                  <c:v>-7.5102057635201029E-3</c:v>
                </c:pt>
                <c:pt idx="446">
                  <c:v>-5.1200287422841148E-3</c:v>
                </c:pt>
                <c:pt idx="447">
                  <c:v>-6.2593183874758811E-3</c:v>
                </c:pt>
                <c:pt idx="448">
                  <c:v>-9.9003677166926984E-3</c:v>
                </c:pt>
                <c:pt idx="449">
                  <c:v>-1.0651500378144638E-2</c:v>
                </c:pt>
                <c:pt idx="450">
                  <c:v>-1.2885380226097773E-2</c:v>
                </c:pt>
                <c:pt idx="451">
                  <c:v>-1.6876413346625804E-2</c:v>
                </c:pt>
                <c:pt idx="452">
                  <c:v>-2.126823308910613E-2</c:v>
                </c:pt>
                <c:pt idx="453">
                  <c:v>-1.9761512841303633E-2</c:v>
                </c:pt>
                <c:pt idx="454">
                  <c:v>-1.8393672169165862E-2</c:v>
                </c:pt>
                <c:pt idx="455">
                  <c:v>-2.0372851915458224E-2</c:v>
                </c:pt>
                <c:pt idx="456">
                  <c:v>-1.874052286769385E-2</c:v>
                </c:pt>
                <c:pt idx="457">
                  <c:v>-2.0348687931720618E-2</c:v>
                </c:pt>
                <c:pt idx="458">
                  <c:v>-2.1104512694069551E-2</c:v>
                </c:pt>
                <c:pt idx="459">
                  <c:v>-2.1062748981665984E-2</c:v>
                </c:pt>
                <c:pt idx="460">
                  <c:v>-1.7058649484534599E-2</c:v>
                </c:pt>
                <c:pt idx="461">
                  <c:v>-1.7053789238578525E-2</c:v>
                </c:pt>
                <c:pt idx="462">
                  <c:v>-2.1672803922738001E-2</c:v>
                </c:pt>
                <c:pt idx="463">
                  <c:v>-2.9343182858472993E-2</c:v>
                </c:pt>
                <c:pt idx="464">
                  <c:v>-2.7856819038370839E-2</c:v>
                </c:pt>
                <c:pt idx="465">
                  <c:v>-3.2671724065959341E-2</c:v>
                </c:pt>
                <c:pt idx="466">
                  <c:v>-3.0357851458764466E-2</c:v>
                </c:pt>
                <c:pt idx="467">
                  <c:v>-2.7111306373006284E-2</c:v>
                </c:pt>
                <c:pt idx="468">
                  <c:v>-2.9991721727113053E-2</c:v>
                </c:pt>
                <c:pt idx="469">
                  <c:v>-3.3614520196218495E-2</c:v>
                </c:pt>
                <c:pt idx="470">
                  <c:v>-3.5618864389090364E-2</c:v>
                </c:pt>
                <c:pt idx="471">
                  <c:v>-4.0004820929852414E-2</c:v>
                </c:pt>
                <c:pt idx="472">
                  <c:v>-3.9241080475906645E-2</c:v>
                </c:pt>
                <c:pt idx="473">
                  <c:v>-4.0910264446339724E-2</c:v>
                </c:pt>
                <c:pt idx="474">
                  <c:v>-3.7219133430541285E-2</c:v>
                </c:pt>
                <c:pt idx="475">
                  <c:v>-3.7943324535484137E-2</c:v>
                </c:pt>
                <c:pt idx="476">
                  <c:v>-3.8978913485509116E-2</c:v>
                </c:pt>
                <c:pt idx="477">
                  <c:v>-3.9948325619763775E-2</c:v>
                </c:pt>
                <c:pt idx="478">
                  <c:v>-4.5296543938096685E-2</c:v>
                </c:pt>
                <c:pt idx="479">
                  <c:v>-4.320392315187449E-2</c:v>
                </c:pt>
                <c:pt idx="480">
                  <c:v>-3.6223143951016785E-2</c:v>
                </c:pt>
                <c:pt idx="481">
                  <c:v>-3.629593485322017E-2</c:v>
                </c:pt>
                <c:pt idx="482">
                  <c:v>-3.7586919956663266E-2</c:v>
                </c:pt>
                <c:pt idx="483">
                  <c:v>-3.2910620710597735E-2</c:v>
                </c:pt>
                <c:pt idx="484">
                  <c:v>-3.0916552239603663E-2</c:v>
                </c:pt>
                <c:pt idx="485">
                  <c:v>-2.6671915521650335E-2</c:v>
                </c:pt>
                <c:pt idx="486">
                  <c:v>-2.6997850048598882E-2</c:v>
                </c:pt>
                <c:pt idx="487">
                  <c:v>-2.6850494075423073E-2</c:v>
                </c:pt>
                <c:pt idx="488">
                  <c:v>-2.2883323397557671E-2</c:v>
                </c:pt>
                <c:pt idx="489">
                  <c:v>-1.69266099742773E-2</c:v>
                </c:pt>
                <c:pt idx="490">
                  <c:v>-1.5659734985002852E-2</c:v>
                </c:pt>
                <c:pt idx="491">
                  <c:v>-1.389569922217327E-2</c:v>
                </c:pt>
                <c:pt idx="492">
                  <c:v>-1.020833896622516E-2</c:v>
                </c:pt>
                <c:pt idx="493">
                  <c:v>-1.0874420572874018E-2</c:v>
                </c:pt>
                <c:pt idx="494">
                  <c:v>-7.3072357581696465E-3</c:v>
                </c:pt>
                <c:pt idx="495">
                  <c:v>-2.7288045820134397E-3</c:v>
                </c:pt>
                <c:pt idx="496">
                  <c:v>-4.9356582310692114E-3</c:v>
                </c:pt>
                <c:pt idx="497">
                  <c:v>-5.377353155616299E-3</c:v>
                </c:pt>
                <c:pt idx="498">
                  <c:v>-2.0614251682802296E-3</c:v>
                </c:pt>
                <c:pt idx="499">
                  <c:v>-6.2614506377235259E-3</c:v>
                </c:pt>
                <c:pt idx="500">
                  <c:v>-5.899079737587699E-3</c:v>
                </c:pt>
                <c:pt idx="501">
                  <c:v>-5.8580158274954743E-3</c:v>
                </c:pt>
                <c:pt idx="502">
                  <c:v>3.5659204109115758E-4</c:v>
                </c:pt>
                <c:pt idx="503">
                  <c:v>-1.3939371388636745E-3</c:v>
                </c:pt>
                <c:pt idx="504">
                  <c:v>-8.2639873894678039E-4</c:v>
                </c:pt>
                <c:pt idx="505">
                  <c:v>-1.860911036652005E-3</c:v>
                </c:pt>
                <c:pt idx="506">
                  <c:v>-5.7072864770954428E-3</c:v>
                </c:pt>
                <c:pt idx="507">
                  <c:v>-6.7180743206684901E-3</c:v>
                </c:pt>
                <c:pt idx="508">
                  <c:v>-8.8550981737811375E-3</c:v>
                </c:pt>
                <c:pt idx="509">
                  <c:v>-1.4045989120327479E-2</c:v>
                </c:pt>
                <c:pt idx="510">
                  <c:v>-1.2992367448724416E-2</c:v>
                </c:pt>
                <c:pt idx="511">
                  <c:v>-1.3440276031985651E-2</c:v>
                </c:pt>
                <c:pt idx="512">
                  <c:v>-1.1431985450199146E-2</c:v>
                </c:pt>
                <c:pt idx="513">
                  <c:v>-1.7015738565369441E-2</c:v>
                </c:pt>
                <c:pt idx="514">
                  <c:v>-1.9154837742071641E-2</c:v>
                </c:pt>
                <c:pt idx="515">
                  <c:v>-2.0106171195840877E-2</c:v>
                </c:pt>
                <c:pt idx="516">
                  <c:v>-2.4939534295107469E-2</c:v>
                </c:pt>
                <c:pt idx="517">
                  <c:v>-2.4704304965329431E-2</c:v>
                </c:pt>
                <c:pt idx="518">
                  <c:v>-2.2905310145364774E-2</c:v>
                </c:pt>
                <c:pt idx="519">
                  <c:v>-2.2848511041383184E-2</c:v>
                </c:pt>
                <c:pt idx="520">
                  <c:v>-2.3219655237427639E-2</c:v>
                </c:pt>
                <c:pt idx="521">
                  <c:v>-2.3396609462674498E-2</c:v>
                </c:pt>
                <c:pt idx="522">
                  <c:v>-2.1871401039368077E-2</c:v>
                </c:pt>
                <c:pt idx="523">
                  <c:v>-1.6140308735550241E-2</c:v>
                </c:pt>
                <c:pt idx="524">
                  <c:v>-1.2120485635896367E-2</c:v>
                </c:pt>
                <c:pt idx="525">
                  <c:v>-1.2261636818378201E-2</c:v>
                </c:pt>
                <c:pt idx="526">
                  <c:v>-1.1859221500842525E-2</c:v>
                </c:pt>
                <c:pt idx="527">
                  <c:v>-1.4925979454846671E-2</c:v>
                </c:pt>
                <c:pt idx="528">
                  <c:v>-1.9397106471680123E-2</c:v>
                </c:pt>
                <c:pt idx="529">
                  <c:v>-1.8516345706400206E-2</c:v>
                </c:pt>
                <c:pt idx="530">
                  <c:v>-1.7635018423773779E-2</c:v>
                </c:pt>
                <c:pt idx="531">
                  <c:v>-2.1629176652424937E-2</c:v>
                </c:pt>
                <c:pt idx="532">
                  <c:v>-2.3191804826921139E-2</c:v>
                </c:pt>
                <c:pt idx="533">
                  <c:v>-2.0686818620060408E-2</c:v>
                </c:pt>
                <c:pt idx="534">
                  <c:v>-2.2368876287008836E-2</c:v>
                </c:pt>
                <c:pt idx="535">
                  <c:v>-2.5521925596837573E-2</c:v>
                </c:pt>
                <c:pt idx="536">
                  <c:v>-2.8166835281006358E-2</c:v>
                </c:pt>
                <c:pt idx="537">
                  <c:v>-2.3984172837247922E-2</c:v>
                </c:pt>
                <c:pt idx="538">
                  <c:v>-2.076613158592042E-2</c:v>
                </c:pt>
                <c:pt idx="539">
                  <c:v>-2.3090861763042144E-2</c:v>
                </c:pt>
                <c:pt idx="540">
                  <c:v>-2.1614698427031551E-2</c:v>
                </c:pt>
                <c:pt idx="541">
                  <c:v>-2.5078538870217666E-2</c:v>
                </c:pt>
                <c:pt idx="542">
                  <c:v>-2.6684960421373832E-2</c:v>
                </c:pt>
                <c:pt idx="543">
                  <c:v>-2.6287136890338712E-2</c:v>
                </c:pt>
                <c:pt idx="544">
                  <c:v>-3.2741863793762441E-2</c:v>
                </c:pt>
                <c:pt idx="545">
                  <c:v>-3.660157665627304E-2</c:v>
                </c:pt>
                <c:pt idx="546">
                  <c:v>-3.9765160298449793E-2</c:v>
                </c:pt>
                <c:pt idx="547">
                  <c:v>-3.8317313249842583E-2</c:v>
                </c:pt>
                <c:pt idx="548">
                  <c:v>-3.3242214572960255E-2</c:v>
                </c:pt>
                <c:pt idx="549">
                  <c:v>-3.6379944876954166E-2</c:v>
                </c:pt>
                <c:pt idx="550">
                  <c:v>-3.7491340691293749E-2</c:v>
                </c:pt>
                <c:pt idx="551">
                  <c:v>-3.3422682210480073E-2</c:v>
                </c:pt>
                <c:pt idx="552">
                  <c:v>-4.0468223318737222E-2</c:v>
                </c:pt>
                <c:pt idx="553">
                  <c:v>-3.8666313685878452E-2</c:v>
                </c:pt>
                <c:pt idx="554">
                  <c:v>-3.8175178307663524E-2</c:v>
                </c:pt>
                <c:pt idx="555">
                  <c:v>-4.0757975916446858E-2</c:v>
                </c:pt>
                <c:pt idx="556">
                  <c:v>-4.7855710436742631E-2</c:v>
                </c:pt>
                <c:pt idx="557">
                  <c:v>-4.5471307451146699E-2</c:v>
                </c:pt>
                <c:pt idx="558">
                  <c:v>-4.0776849730977296E-2</c:v>
                </c:pt>
                <c:pt idx="559">
                  <c:v>-4.136161273728927E-2</c:v>
                </c:pt>
                <c:pt idx="560">
                  <c:v>-4.0502065217600448E-2</c:v>
                </c:pt>
                <c:pt idx="561">
                  <c:v>-4.1725466627339974E-2</c:v>
                </c:pt>
                <c:pt idx="562">
                  <c:v>-4.11510803836578E-2</c:v>
                </c:pt>
                <c:pt idx="563">
                  <c:v>-4.1543116382648931E-2</c:v>
                </c:pt>
                <c:pt idx="564">
                  <c:v>-3.7712771860838296E-2</c:v>
                </c:pt>
                <c:pt idx="565">
                  <c:v>-3.965886577700916E-2</c:v>
                </c:pt>
                <c:pt idx="566">
                  <c:v>-4.4624026770504331E-2</c:v>
                </c:pt>
                <c:pt idx="567">
                  <c:v>-4.5851695842383973E-2</c:v>
                </c:pt>
                <c:pt idx="568">
                  <c:v>-4.7444493807470928E-2</c:v>
                </c:pt>
                <c:pt idx="569">
                  <c:v>-4.8946071999144039E-2</c:v>
                </c:pt>
                <c:pt idx="570">
                  <c:v>-5.3332593514804717E-2</c:v>
                </c:pt>
                <c:pt idx="571">
                  <c:v>-5.7361770249462526E-2</c:v>
                </c:pt>
                <c:pt idx="572">
                  <c:v>-6.5144138168351795E-2</c:v>
                </c:pt>
                <c:pt idx="573">
                  <c:v>-6.7538730914547485E-2</c:v>
                </c:pt>
                <c:pt idx="574">
                  <c:v>-6.3797084973034254E-2</c:v>
                </c:pt>
                <c:pt idx="575">
                  <c:v>-6.55740760199571E-2</c:v>
                </c:pt>
                <c:pt idx="576">
                  <c:v>-7.2106874140240432E-2</c:v>
                </c:pt>
                <c:pt idx="577">
                  <c:v>-7.0714009438803516E-2</c:v>
                </c:pt>
                <c:pt idx="578">
                  <c:v>-7.1176161368816826E-2</c:v>
                </c:pt>
                <c:pt idx="579">
                  <c:v>-6.3070673855318046E-2</c:v>
                </c:pt>
                <c:pt idx="580">
                  <c:v>-6.3053647252980294E-2</c:v>
                </c:pt>
                <c:pt idx="581">
                  <c:v>-5.8837115468133645E-2</c:v>
                </c:pt>
                <c:pt idx="582">
                  <c:v>-5.7819187656075764E-2</c:v>
                </c:pt>
                <c:pt idx="583">
                  <c:v>-5.8812648334725381E-2</c:v>
                </c:pt>
                <c:pt idx="584">
                  <c:v>-5.8626223743127696E-2</c:v>
                </c:pt>
                <c:pt idx="585">
                  <c:v>-5.6434321910298513E-2</c:v>
                </c:pt>
                <c:pt idx="586">
                  <c:v>-6.2503663454895941E-2</c:v>
                </c:pt>
                <c:pt idx="587">
                  <c:v>-5.974138218317393E-2</c:v>
                </c:pt>
                <c:pt idx="588">
                  <c:v>-5.8603545720499445E-2</c:v>
                </c:pt>
                <c:pt idx="589">
                  <c:v>-5.7603978639779632E-2</c:v>
                </c:pt>
                <c:pt idx="590">
                  <c:v>-6.2345405301195027E-2</c:v>
                </c:pt>
                <c:pt idx="591">
                  <c:v>-5.8841868006691507E-2</c:v>
                </c:pt>
                <c:pt idx="592">
                  <c:v>-6.0673193585329868E-2</c:v>
                </c:pt>
                <c:pt idx="593">
                  <c:v>-5.6344484678031721E-2</c:v>
                </c:pt>
                <c:pt idx="594">
                  <c:v>-5.5732830519140089E-2</c:v>
                </c:pt>
                <c:pt idx="595">
                  <c:v>-5.1055024851703781E-2</c:v>
                </c:pt>
                <c:pt idx="596">
                  <c:v>-4.9294411021205228E-2</c:v>
                </c:pt>
                <c:pt idx="597">
                  <c:v>-5.450953333647128E-2</c:v>
                </c:pt>
                <c:pt idx="598">
                  <c:v>-5.6896879712429974E-2</c:v>
                </c:pt>
                <c:pt idx="599">
                  <c:v>-5.6646908219481054E-2</c:v>
                </c:pt>
                <c:pt idx="600">
                  <c:v>-5.0604496428895612E-2</c:v>
                </c:pt>
                <c:pt idx="601">
                  <c:v>-4.6753097716905639E-2</c:v>
                </c:pt>
                <c:pt idx="602">
                  <c:v>-4.433125812097561E-2</c:v>
                </c:pt>
                <c:pt idx="603">
                  <c:v>-4.1642505674166649E-2</c:v>
                </c:pt>
                <c:pt idx="604">
                  <c:v>-4.5594523454388171E-2</c:v>
                </c:pt>
                <c:pt idx="605">
                  <c:v>-4.4175183176485742E-2</c:v>
                </c:pt>
                <c:pt idx="606">
                  <c:v>-4.1870456773329651E-2</c:v>
                </c:pt>
                <c:pt idx="607">
                  <c:v>-3.9526906865082131E-2</c:v>
                </c:pt>
                <c:pt idx="608">
                  <c:v>-4.1743588969619896E-2</c:v>
                </c:pt>
                <c:pt idx="609">
                  <c:v>-3.988442287019197E-2</c:v>
                </c:pt>
                <c:pt idx="610">
                  <c:v>-4.498086506852382E-2</c:v>
                </c:pt>
                <c:pt idx="611">
                  <c:v>-4.6577822316351658E-2</c:v>
                </c:pt>
                <c:pt idx="612">
                  <c:v>-4.4013403384601968E-2</c:v>
                </c:pt>
                <c:pt idx="613">
                  <c:v>-4.5186635489383606E-2</c:v>
                </c:pt>
                <c:pt idx="614">
                  <c:v>-3.9238775130239836E-2</c:v>
                </c:pt>
                <c:pt idx="615">
                  <c:v>-4.1913754609812122E-2</c:v>
                </c:pt>
                <c:pt idx="616">
                  <c:v>-3.6770479850467157E-2</c:v>
                </c:pt>
                <c:pt idx="617">
                  <c:v>-3.7689321446669109E-2</c:v>
                </c:pt>
                <c:pt idx="618">
                  <c:v>-4.0429907476399227E-2</c:v>
                </c:pt>
                <c:pt idx="619">
                  <c:v>-4.1588644545940634E-2</c:v>
                </c:pt>
                <c:pt idx="620">
                  <c:v>-4.3596141529142735E-2</c:v>
                </c:pt>
                <c:pt idx="621">
                  <c:v>-4.7975177110955766E-2</c:v>
                </c:pt>
                <c:pt idx="622">
                  <c:v>-4.6521369266002283E-2</c:v>
                </c:pt>
                <c:pt idx="623">
                  <c:v>-4.7339390000187317E-2</c:v>
                </c:pt>
                <c:pt idx="624">
                  <c:v>-5.2106421395979541E-2</c:v>
                </c:pt>
                <c:pt idx="625">
                  <c:v>-5.5818688759289768E-2</c:v>
                </c:pt>
                <c:pt idx="626">
                  <c:v>-5.5631755162965556E-2</c:v>
                </c:pt>
                <c:pt idx="627">
                  <c:v>-5.558149060228592E-2</c:v>
                </c:pt>
                <c:pt idx="628">
                  <c:v>-5.6977163874742602E-2</c:v>
                </c:pt>
                <c:pt idx="629">
                  <c:v>-5.6150337253922496E-2</c:v>
                </c:pt>
                <c:pt idx="630">
                  <c:v>-5.0115281689739194E-2</c:v>
                </c:pt>
                <c:pt idx="631">
                  <c:v>-5.0230869812535821E-2</c:v>
                </c:pt>
                <c:pt idx="632">
                  <c:v>-5.3520201236033321E-2</c:v>
                </c:pt>
                <c:pt idx="633">
                  <c:v>-4.7520578897494906E-2</c:v>
                </c:pt>
                <c:pt idx="634">
                  <c:v>-4.542011540325238E-2</c:v>
                </c:pt>
                <c:pt idx="635">
                  <c:v>-4.8481094432893702E-2</c:v>
                </c:pt>
                <c:pt idx="636">
                  <c:v>-4.9497796843072747E-2</c:v>
                </c:pt>
                <c:pt idx="637">
                  <c:v>-4.8726281101983335E-2</c:v>
                </c:pt>
                <c:pt idx="638">
                  <c:v>-4.7668604352417217E-2</c:v>
                </c:pt>
                <c:pt idx="639">
                  <c:v>-4.9871215471379467E-2</c:v>
                </c:pt>
                <c:pt idx="640">
                  <c:v>-4.8394247311568696E-2</c:v>
                </c:pt>
                <c:pt idx="641">
                  <c:v>-4.5193381112249326E-2</c:v>
                </c:pt>
                <c:pt idx="642">
                  <c:v>-4.4391011519147303E-2</c:v>
                </c:pt>
                <c:pt idx="643">
                  <c:v>-4.973898858354403E-2</c:v>
                </c:pt>
                <c:pt idx="644">
                  <c:v>-5.043552676101417E-2</c:v>
                </c:pt>
                <c:pt idx="645">
                  <c:v>-5.5053253723781441E-2</c:v>
                </c:pt>
                <c:pt idx="646">
                  <c:v>-5.5517843697333848E-2</c:v>
                </c:pt>
                <c:pt idx="647">
                  <c:v>-5.297685666356218E-2</c:v>
                </c:pt>
                <c:pt idx="648">
                  <c:v>-5.6226952983392531E-2</c:v>
                </c:pt>
                <c:pt idx="649">
                  <c:v>-5.9966713093639559E-2</c:v>
                </c:pt>
                <c:pt idx="650">
                  <c:v>-6.0691337702435545E-2</c:v>
                </c:pt>
                <c:pt idx="651">
                  <c:v>-5.9015444238264554E-2</c:v>
                </c:pt>
                <c:pt idx="652">
                  <c:v>-5.926685599256315E-2</c:v>
                </c:pt>
                <c:pt idx="653">
                  <c:v>-6.5086961372318203E-2</c:v>
                </c:pt>
                <c:pt idx="654">
                  <c:v>-7.1351825162173657E-2</c:v>
                </c:pt>
                <c:pt idx="655">
                  <c:v>-6.5737466544878567E-2</c:v>
                </c:pt>
                <c:pt idx="656">
                  <c:v>-6.547670444940426E-2</c:v>
                </c:pt>
                <c:pt idx="657">
                  <c:v>-6.6634348852003117E-2</c:v>
                </c:pt>
                <c:pt idx="658">
                  <c:v>-6.298364959741605E-2</c:v>
                </c:pt>
                <c:pt idx="659">
                  <c:v>-6.4124675247539925E-2</c:v>
                </c:pt>
                <c:pt idx="660">
                  <c:v>-6.379030712210873E-2</c:v>
                </c:pt>
                <c:pt idx="661">
                  <c:v>-6.8550541979561674E-2</c:v>
                </c:pt>
                <c:pt idx="662">
                  <c:v>-6.9824240587358158E-2</c:v>
                </c:pt>
                <c:pt idx="663">
                  <c:v>-6.8166257233297736E-2</c:v>
                </c:pt>
                <c:pt idx="664">
                  <c:v>-6.9751884265576394E-2</c:v>
                </c:pt>
                <c:pt idx="665">
                  <c:v>-6.8805921436280296E-2</c:v>
                </c:pt>
                <c:pt idx="666">
                  <c:v>-6.5316250642869916E-2</c:v>
                </c:pt>
                <c:pt idx="667">
                  <c:v>-6.4225069300357748E-2</c:v>
                </c:pt>
                <c:pt idx="668">
                  <c:v>-6.4061814457359034E-2</c:v>
                </c:pt>
                <c:pt idx="669">
                  <c:v>-6.5831168615509736E-2</c:v>
                </c:pt>
                <c:pt idx="670">
                  <c:v>-6.5931144767650884E-2</c:v>
                </c:pt>
                <c:pt idx="671">
                  <c:v>-6.5248444945392503E-2</c:v>
                </c:pt>
                <c:pt idx="672">
                  <c:v>-6.1991535744381987E-2</c:v>
                </c:pt>
                <c:pt idx="673">
                  <c:v>-6.5651865448824273E-2</c:v>
                </c:pt>
                <c:pt idx="674">
                  <c:v>-5.8482356398895298E-2</c:v>
                </c:pt>
                <c:pt idx="675">
                  <c:v>-6.3639502705149328E-2</c:v>
                </c:pt>
                <c:pt idx="676">
                  <c:v>-6.4905212255971401E-2</c:v>
                </c:pt>
                <c:pt idx="677">
                  <c:v>-6.4331973906789047E-2</c:v>
                </c:pt>
                <c:pt idx="678">
                  <c:v>-6.1513178585801929E-2</c:v>
                </c:pt>
                <c:pt idx="679">
                  <c:v>-6.0400187887609286E-2</c:v>
                </c:pt>
                <c:pt idx="680">
                  <c:v>-6.1565924680385964E-2</c:v>
                </c:pt>
                <c:pt idx="681">
                  <c:v>-6.5716362309092766E-2</c:v>
                </c:pt>
                <c:pt idx="682">
                  <c:v>-6.6679406763277382E-2</c:v>
                </c:pt>
                <c:pt idx="683">
                  <c:v>-6.5878086034534655E-2</c:v>
                </c:pt>
                <c:pt idx="684">
                  <c:v>-6.49988682374915E-2</c:v>
                </c:pt>
                <c:pt idx="685">
                  <c:v>-6.5746885242827444E-2</c:v>
                </c:pt>
                <c:pt idx="686">
                  <c:v>-7.1471806921580228E-2</c:v>
                </c:pt>
                <c:pt idx="687">
                  <c:v>-7.2851011258704135E-2</c:v>
                </c:pt>
                <c:pt idx="688">
                  <c:v>-7.9459259145473929E-2</c:v>
                </c:pt>
                <c:pt idx="689">
                  <c:v>-7.8377952395751599E-2</c:v>
                </c:pt>
                <c:pt idx="690">
                  <c:v>-7.2055358371531292E-2</c:v>
                </c:pt>
                <c:pt idx="691">
                  <c:v>-7.5601920452858851E-2</c:v>
                </c:pt>
                <c:pt idx="692">
                  <c:v>-8.0745917499520536E-2</c:v>
                </c:pt>
                <c:pt idx="693">
                  <c:v>-8.3174687597304495E-2</c:v>
                </c:pt>
                <c:pt idx="694">
                  <c:v>-8.3471953094716292E-2</c:v>
                </c:pt>
                <c:pt idx="695">
                  <c:v>-8.101235795696296E-2</c:v>
                </c:pt>
                <c:pt idx="696">
                  <c:v>-7.9682023766493679E-2</c:v>
                </c:pt>
                <c:pt idx="697">
                  <c:v>-8.22214392205559E-2</c:v>
                </c:pt>
                <c:pt idx="698">
                  <c:v>-8.2250321500445617E-2</c:v>
                </c:pt>
                <c:pt idx="699">
                  <c:v>-8.1867252261662776E-2</c:v>
                </c:pt>
                <c:pt idx="700">
                  <c:v>-8.4806655226167413E-2</c:v>
                </c:pt>
                <c:pt idx="701">
                  <c:v>-8.1203674782309526E-2</c:v>
                </c:pt>
                <c:pt idx="702">
                  <c:v>-8.1500076979290362E-2</c:v>
                </c:pt>
                <c:pt idx="703">
                  <c:v>-8.0597755606135579E-2</c:v>
                </c:pt>
                <c:pt idx="704">
                  <c:v>-7.9764149216631539E-2</c:v>
                </c:pt>
                <c:pt idx="705">
                  <c:v>-8.3826724378893921E-2</c:v>
                </c:pt>
                <c:pt idx="706">
                  <c:v>-8.599566553560134E-2</c:v>
                </c:pt>
                <c:pt idx="707">
                  <c:v>-8.340496087006441E-2</c:v>
                </c:pt>
                <c:pt idx="708">
                  <c:v>-8.637249900734878E-2</c:v>
                </c:pt>
                <c:pt idx="709">
                  <c:v>-9.1501686923679243E-2</c:v>
                </c:pt>
                <c:pt idx="710">
                  <c:v>-9.2597907074143337E-2</c:v>
                </c:pt>
                <c:pt idx="711">
                  <c:v>-9.136172712192242E-2</c:v>
                </c:pt>
                <c:pt idx="712">
                  <c:v>-9.4003848324894529E-2</c:v>
                </c:pt>
                <c:pt idx="713">
                  <c:v>-9.2155701633712228E-2</c:v>
                </c:pt>
                <c:pt idx="714">
                  <c:v>-9.0763801953158932E-2</c:v>
                </c:pt>
                <c:pt idx="715">
                  <c:v>-9.0360558106299657E-2</c:v>
                </c:pt>
                <c:pt idx="716">
                  <c:v>-9.4025053896977615E-2</c:v>
                </c:pt>
                <c:pt idx="717">
                  <c:v>-9.2422633546901167E-2</c:v>
                </c:pt>
                <c:pt idx="718">
                  <c:v>-9.0084032684987367E-2</c:v>
                </c:pt>
                <c:pt idx="719">
                  <c:v>-9.169831683718789E-2</c:v>
                </c:pt>
                <c:pt idx="720">
                  <c:v>-8.7234186788460732E-2</c:v>
                </c:pt>
                <c:pt idx="721">
                  <c:v>-9.110693638025473E-2</c:v>
                </c:pt>
                <c:pt idx="722">
                  <c:v>-9.7618611617955542E-2</c:v>
                </c:pt>
                <c:pt idx="723">
                  <c:v>-9.6397973698833891E-2</c:v>
                </c:pt>
                <c:pt idx="724">
                  <c:v>-9.8856063660628712E-2</c:v>
                </c:pt>
                <c:pt idx="725">
                  <c:v>-0.10348774754812995</c:v>
                </c:pt>
                <c:pt idx="726">
                  <c:v>-0.10057105348542117</c:v>
                </c:pt>
                <c:pt idx="727">
                  <c:v>-0.10125386069895723</c:v>
                </c:pt>
                <c:pt idx="728">
                  <c:v>-0.1066595627657952</c:v>
                </c:pt>
                <c:pt idx="729">
                  <c:v>-0.10697974168464672</c:v>
                </c:pt>
                <c:pt idx="730">
                  <c:v>-0.10282842371283961</c:v>
                </c:pt>
                <c:pt idx="731">
                  <c:v>-0.10672219728825651</c:v>
                </c:pt>
                <c:pt idx="732">
                  <c:v>-0.10750511868165578</c:v>
                </c:pt>
                <c:pt idx="733">
                  <c:v>-0.10704142797182556</c:v>
                </c:pt>
                <c:pt idx="734">
                  <c:v>-0.10403982881749804</c:v>
                </c:pt>
                <c:pt idx="735">
                  <c:v>-0.10729705687390378</c:v>
                </c:pt>
                <c:pt idx="736">
                  <c:v>-0.1055650276148649</c:v>
                </c:pt>
                <c:pt idx="737">
                  <c:v>-0.10644215727994927</c:v>
                </c:pt>
                <c:pt idx="738">
                  <c:v>-0.1082377206469549</c:v>
                </c:pt>
                <c:pt idx="739">
                  <c:v>-0.10741129961682944</c:v>
                </c:pt>
                <c:pt idx="740">
                  <c:v>-0.10781427771638978</c:v>
                </c:pt>
                <c:pt idx="741">
                  <c:v>-0.10720402735251024</c:v>
                </c:pt>
                <c:pt idx="742">
                  <c:v>-0.1054624185545341</c:v>
                </c:pt>
                <c:pt idx="743">
                  <c:v>-0.10609006353754558</c:v>
                </c:pt>
                <c:pt idx="744">
                  <c:v>-0.1045010206631547</c:v>
                </c:pt>
                <c:pt idx="745">
                  <c:v>-0.11019433293912223</c:v>
                </c:pt>
                <c:pt idx="746">
                  <c:v>-0.11272866705651408</c:v>
                </c:pt>
                <c:pt idx="747">
                  <c:v>-0.11201390387042792</c:v>
                </c:pt>
                <c:pt idx="748">
                  <c:v>-0.11725470405011358</c:v>
                </c:pt>
                <c:pt idx="749">
                  <c:v>-0.11785109599971853</c:v>
                </c:pt>
                <c:pt idx="750">
                  <c:v>-0.11781568942262644</c:v>
                </c:pt>
                <c:pt idx="751">
                  <c:v>-0.11976431618633088</c:v>
                </c:pt>
                <c:pt idx="752">
                  <c:v>-0.12030936402809701</c:v>
                </c:pt>
                <c:pt idx="753">
                  <c:v>-0.12033436051535952</c:v>
                </c:pt>
                <c:pt idx="754">
                  <c:v>-0.12713521705047628</c:v>
                </c:pt>
                <c:pt idx="755">
                  <c:v>-0.12292734096154836</c:v>
                </c:pt>
                <c:pt idx="756">
                  <c:v>-0.12556921485868106</c:v>
                </c:pt>
                <c:pt idx="757">
                  <c:v>-0.1244618727662474</c:v>
                </c:pt>
                <c:pt idx="758">
                  <c:v>-0.12286010108934144</c:v>
                </c:pt>
                <c:pt idx="759">
                  <c:v>-0.12040507814604023</c:v>
                </c:pt>
                <c:pt idx="760">
                  <c:v>-0.11810646819176181</c:v>
                </c:pt>
                <c:pt idx="761">
                  <c:v>-0.11896560693677356</c:v>
                </c:pt>
                <c:pt idx="762">
                  <c:v>-0.12208816751356093</c:v>
                </c:pt>
                <c:pt idx="763">
                  <c:v>-0.12697650504399513</c:v>
                </c:pt>
                <c:pt idx="764">
                  <c:v>-0.13214998114339038</c:v>
                </c:pt>
                <c:pt idx="765">
                  <c:v>-0.13420591162136652</c:v>
                </c:pt>
                <c:pt idx="766">
                  <c:v>-0.13540559814907871</c:v>
                </c:pt>
                <c:pt idx="767">
                  <c:v>-0.13690565283619063</c:v>
                </c:pt>
                <c:pt idx="768">
                  <c:v>-0.14219800409749689</c:v>
                </c:pt>
                <c:pt idx="769">
                  <c:v>-0.14575627166851232</c:v>
                </c:pt>
                <c:pt idx="770">
                  <c:v>-0.14721860012990468</c:v>
                </c:pt>
                <c:pt idx="771">
                  <c:v>-0.14133415867102131</c:v>
                </c:pt>
                <c:pt idx="772">
                  <c:v>-0.13952134535733285</c:v>
                </c:pt>
                <c:pt idx="773">
                  <c:v>-0.14031738418834663</c:v>
                </c:pt>
                <c:pt idx="774">
                  <c:v>-0.14584991965665312</c:v>
                </c:pt>
                <c:pt idx="775">
                  <c:v>-0.14595171784096422</c:v>
                </c:pt>
                <c:pt idx="776">
                  <c:v>-0.14466900400252572</c:v>
                </c:pt>
                <c:pt idx="777">
                  <c:v>-0.14297633887467517</c:v>
                </c:pt>
                <c:pt idx="778">
                  <c:v>-0.14366754920032049</c:v>
                </c:pt>
                <c:pt idx="779">
                  <c:v>-0.14605388296762917</c:v>
                </c:pt>
                <c:pt idx="780">
                  <c:v>-0.14193914632560614</c:v>
                </c:pt>
                <c:pt idx="781">
                  <c:v>-0.14099184871895754</c:v>
                </c:pt>
                <c:pt idx="782">
                  <c:v>-0.13948689682793283</c:v>
                </c:pt>
                <c:pt idx="783">
                  <c:v>-0.13780132369191314</c:v>
                </c:pt>
                <c:pt idx="784">
                  <c:v>-0.13442385448400426</c:v>
                </c:pt>
                <c:pt idx="785">
                  <c:v>-0.13345385226148435</c:v>
                </c:pt>
                <c:pt idx="786">
                  <c:v>-0.134835160992857</c:v>
                </c:pt>
                <c:pt idx="787">
                  <c:v>-0.13559079884846703</c:v>
                </c:pt>
                <c:pt idx="788">
                  <c:v>-0.14397545501214368</c:v>
                </c:pt>
                <c:pt idx="789">
                  <c:v>-0.13293692520037864</c:v>
                </c:pt>
                <c:pt idx="790">
                  <c:v>-0.12908322141519801</c:v>
                </c:pt>
                <c:pt idx="791">
                  <c:v>-0.1283079192626369</c:v>
                </c:pt>
                <c:pt idx="792">
                  <c:v>-0.12909183699801266</c:v>
                </c:pt>
                <c:pt idx="793">
                  <c:v>-0.12870838685309216</c:v>
                </c:pt>
                <c:pt idx="794">
                  <c:v>-0.12592748505512147</c:v>
                </c:pt>
                <c:pt idx="795">
                  <c:v>-0.12265330556663476</c:v>
                </c:pt>
                <c:pt idx="796">
                  <c:v>-0.12147756278969406</c:v>
                </c:pt>
                <c:pt idx="797">
                  <c:v>-0.12034656509351528</c:v>
                </c:pt>
                <c:pt idx="798">
                  <c:v>-0.12425150749826683</c:v>
                </c:pt>
                <c:pt idx="799">
                  <c:v>-0.12708621082065499</c:v>
                </c:pt>
                <c:pt idx="800">
                  <c:v>-0.12640090451954131</c:v>
                </c:pt>
                <c:pt idx="801">
                  <c:v>-0.12437545535563987</c:v>
                </c:pt>
                <c:pt idx="802">
                  <c:v>-0.12375277826822176</c:v>
                </c:pt>
                <c:pt idx="803">
                  <c:v>-0.12615269302649948</c:v>
                </c:pt>
                <c:pt idx="804">
                  <c:v>-0.12708465258053933</c:v>
                </c:pt>
                <c:pt idx="805">
                  <c:v>-0.12392378166703505</c:v>
                </c:pt>
                <c:pt idx="806">
                  <c:v>-0.12711798159909768</c:v>
                </c:pt>
                <c:pt idx="807">
                  <c:v>-0.13015726968570224</c:v>
                </c:pt>
                <c:pt idx="808">
                  <c:v>-0.1303036443918012</c:v>
                </c:pt>
                <c:pt idx="809">
                  <c:v>-0.12366090132675826</c:v>
                </c:pt>
                <c:pt idx="810">
                  <c:v>-0.12159758226262665</c:v>
                </c:pt>
                <c:pt idx="811">
                  <c:v>-0.11837207752251358</c:v>
                </c:pt>
                <c:pt idx="812">
                  <c:v>-0.11871805158727855</c:v>
                </c:pt>
                <c:pt idx="813">
                  <c:v>-0.11782599760962965</c:v>
                </c:pt>
                <c:pt idx="814">
                  <c:v>-0.11865130523720629</c:v>
                </c:pt>
                <c:pt idx="815">
                  <c:v>-0.12012345312235669</c:v>
                </c:pt>
                <c:pt idx="816">
                  <c:v>-0.1198867311180546</c:v>
                </c:pt>
                <c:pt idx="817">
                  <c:v>-0.11898313353001501</c:v>
                </c:pt>
                <c:pt idx="818">
                  <c:v>-0.11986511761697674</c:v>
                </c:pt>
                <c:pt idx="819">
                  <c:v>-0.11804507545850822</c:v>
                </c:pt>
                <c:pt idx="820">
                  <c:v>-0.11586963783837606</c:v>
                </c:pt>
                <c:pt idx="821">
                  <c:v>-0.12107580626897158</c:v>
                </c:pt>
                <c:pt idx="822">
                  <c:v>-0.12509780969452455</c:v>
                </c:pt>
                <c:pt idx="823">
                  <c:v>-0.12472886553936086</c:v>
                </c:pt>
                <c:pt idx="824">
                  <c:v>-0.12111830743973694</c:v>
                </c:pt>
                <c:pt idx="825">
                  <c:v>-0.11915386904424599</c:v>
                </c:pt>
                <c:pt idx="826">
                  <c:v>-0.11706297540562471</c:v>
                </c:pt>
                <c:pt idx="827">
                  <c:v>-0.11401608263697198</c:v>
                </c:pt>
                <c:pt idx="828">
                  <c:v>-0.11624973201663751</c:v>
                </c:pt>
                <c:pt idx="829">
                  <c:v>-0.11255131487634616</c:v>
                </c:pt>
                <c:pt idx="830">
                  <c:v>-0.10916461199740657</c:v>
                </c:pt>
                <c:pt idx="831">
                  <c:v>-0.11494721234158625</c:v>
                </c:pt>
                <c:pt idx="832">
                  <c:v>-0.11166441557533852</c:v>
                </c:pt>
                <c:pt idx="833">
                  <c:v>-0.11824970123689631</c:v>
                </c:pt>
                <c:pt idx="834">
                  <c:v>-0.119333061659762</c:v>
                </c:pt>
                <c:pt idx="835">
                  <c:v>-0.11933199239591187</c:v>
                </c:pt>
                <c:pt idx="836">
                  <c:v>-0.11888130545456765</c:v>
                </c:pt>
                <c:pt idx="837">
                  <c:v>-0.11919439805474208</c:v>
                </c:pt>
                <c:pt idx="838">
                  <c:v>-0.12020727508921711</c:v>
                </c:pt>
                <c:pt idx="839">
                  <c:v>-0.12598336249713785</c:v>
                </c:pt>
                <c:pt idx="840">
                  <c:v>-0.12373609607104387</c:v>
                </c:pt>
                <c:pt idx="841">
                  <c:v>-0.1234230136036544</c:v>
                </c:pt>
                <c:pt idx="842">
                  <c:v>-0.11727978489198314</c:v>
                </c:pt>
                <c:pt idx="843">
                  <c:v>-0.11529865599397124</c:v>
                </c:pt>
                <c:pt idx="844">
                  <c:v>-0.11089715727669038</c:v>
                </c:pt>
                <c:pt idx="845">
                  <c:v>-0.10810369936740272</c:v>
                </c:pt>
                <c:pt idx="846">
                  <c:v>-0.10978560908172783</c:v>
                </c:pt>
                <c:pt idx="847">
                  <c:v>-0.11156765007678374</c:v>
                </c:pt>
                <c:pt idx="848">
                  <c:v>-0.11231295610304924</c:v>
                </c:pt>
                <c:pt idx="849">
                  <c:v>-0.11238763278267919</c:v>
                </c:pt>
                <c:pt idx="850">
                  <c:v>-0.1136474254535275</c:v>
                </c:pt>
                <c:pt idx="851">
                  <c:v>-0.11456900381066232</c:v>
                </c:pt>
                <c:pt idx="852">
                  <c:v>-0.11731633192230957</c:v>
                </c:pt>
                <c:pt idx="853">
                  <c:v>-0.11180690036757128</c:v>
                </c:pt>
                <c:pt idx="854">
                  <c:v>-0.11129996937452895</c:v>
                </c:pt>
                <c:pt idx="855">
                  <c:v>-0.11788758928595378</c:v>
                </c:pt>
                <c:pt idx="856">
                  <c:v>-0.12361687380485001</c:v>
                </c:pt>
                <c:pt idx="857">
                  <c:v>-0.12431896175676706</c:v>
                </c:pt>
                <c:pt idx="858">
                  <c:v>-0.12191027095152911</c:v>
                </c:pt>
                <c:pt idx="859">
                  <c:v>-0.12026487761973007</c:v>
                </c:pt>
                <c:pt idx="860">
                  <c:v>-0.11778708663319122</c:v>
                </c:pt>
                <c:pt idx="861">
                  <c:v>-0.11658905354339903</c:v>
                </c:pt>
                <c:pt idx="862">
                  <c:v>-0.11658374767182379</c:v>
                </c:pt>
                <c:pt idx="863">
                  <c:v>-0.11939935050219813</c:v>
                </c:pt>
                <c:pt idx="864">
                  <c:v>-0.12201013512733709</c:v>
                </c:pt>
                <c:pt idx="865">
                  <c:v>-0.11988421866140873</c:v>
                </c:pt>
                <c:pt idx="866">
                  <c:v>-0.11890499707630196</c:v>
                </c:pt>
                <c:pt idx="867">
                  <c:v>-0.11555373405967835</c:v>
                </c:pt>
                <c:pt idx="868">
                  <c:v>-0.11738946293727935</c:v>
                </c:pt>
                <c:pt idx="869">
                  <c:v>-0.11250531519020496</c:v>
                </c:pt>
                <c:pt idx="870">
                  <c:v>-0.11369117096348157</c:v>
                </c:pt>
                <c:pt idx="871">
                  <c:v>-0.11373074514618441</c:v>
                </c:pt>
                <c:pt idx="872">
                  <c:v>-0.11093599838983656</c:v>
                </c:pt>
                <c:pt idx="873">
                  <c:v>-0.10804867173437657</c:v>
                </c:pt>
                <c:pt idx="874">
                  <c:v>-0.10639507699153558</c:v>
                </c:pt>
                <c:pt idx="875">
                  <c:v>-0.10534589377646417</c:v>
                </c:pt>
                <c:pt idx="876">
                  <c:v>-0.10353239259498392</c:v>
                </c:pt>
                <c:pt idx="877">
                  <c:v>-0.10122784255012029</c:v>
                </c:pt>
                <c:pt idx="878">
                  <c:v>-0.10954386509582506</c:v>
                </c:pt>
                <c:pt idx="879">
                  <c:v>-0.11388223248848875</c:v>
                </c:pt>
                <c:pt idx="880">
                  <c:v>-0.11718893560901036</c:v>
                </c:pt>
                <c:pt idx="881">
                  <c:v>-0.12167119062574538</c:v>
                </c:pt>
                <c:pt idx="882">
                  <c:v>-0.12074460528017925</c:v>
                </c:pt>
                <c:pt idx="883">
                  <c:v>-0.12075747618914502</c:v>
                </c:pt>
                <c:pt idx="884">
                  <c:v>-0.12390669416776608</c:v>
                </c:pt>
                <c:pt idx="885">
                  <c:v>-0.1219833905217189</c:v>
                </c:pt>
                <c:pt idx="886">
                  <c:v>-0.12135497729492385</c:v>
                </c:pt>
                <c:pt idx="887">
                  <c:v>-0.12315486650058459</c:v>
                </c:pt>
                <c:pt idx="888">
                  <c:v>-0.12516987144910302</c:v>
                </c:pt>
                <c:pt idx="889">
                  <c:v>-0.12759905683618916</c:v>
                </c:pt>
                <c:pt idx="890">
                  <c:v>-0.12772855011237746</c:v>
                </c:pt>
                <c:pt idx="891">
                  <c:v>-0.11978752727318867</c:v>
                </c:pt>
                <c:pt idx="892">
                  <c:v>-0.11980429781737309</c:v>
                </c:pt>
                <c:pt idx="893">
                  <c:v>-0.11465726776407896</c:v>
                </c:pt>
                <c:pt idx="894">
                  <c:v>-0.11345776558794383</c:v>
                </c:pt>
                <c:pt idx="895">
                  <c:v>-0.10667485406379026</c:v>
                </c:pt>
                <c:pt idx="896">
                  <c:v>-0.10318041776414578</c:v>
                </c:pt>
                <c:pt idx="897">
                  <c:v>-0.10491819107524496</c:v>
                </c:pt>
                <c:pt idx="898">
                  <c:v>-0.10134290572459068</c:v>
                </c:pt>
                <c:pt idx="899">
                  <c:v>-0.10651639655066479</c:v>
                </c:pt>
                <c:pt idx="900">
                  <c:v>-0.10212432624150442</c:v>
                </c:pt>
                <c:pt idx="901">
                  <c:v>-9.726600750897052E-2</c:v>
                </c:pt>
                <c:pt idx="902">
                  <c:v>-9.4546163728928156E-2</c:v>
                </c:pt>
                <c:pt idx="903">
                  <c:v>-0.10234199236870178</c:v>
                </c:pt>
                <c:pt idx="904">
                  <c:v>-0.10552717487929603</c:v>
                </c:pt>
                <c:pt idx="905">
                  <c:v>-9.828735908827714E-2</c:v>
                </c:pt>
                <c:pt idx="906">
                  <c:v>-9.9788458780366435E-2</c:v>
                </c:pt>
                <c:pt idx="907">
                  <c:v>-0.1014664885770237</c:v>
                </c:pt>
                <c:pt idx="908">
                  <c:v>-0.10557089997666623</c:v>
                </c:pt>
                <c:pt idx="909">
                  <c:v>-9.9281340256007392E-2</c:v>
                </c:pt>
                <c:pt idx="910">
                  <c:v>-0.10018150745551525</c:v>
                </c:pt>
                <c:pt idx="911">
                  <c:v>-0.10641580955469565</c:v>
                </c:pt>
                <c:pt idx="912">
                  <c:v>-0.10449720346322305</c:v>
                </c:pt>
                <c:pt idx="913">
                  <c:v>-0.10384141880609077</c:v>
                </c:pt>
                <c:pt idx="914">
                  <c:v>-0.1077832149540493</c:v>
                </c:pt>
                <c:pt idx="915">
                  <c:v>-0.10791478219734821</c:v>
                </c:pt>
                <c:pt idx="916">
                  <c:v>-0.10564999540500618</c:v>
                </c:pt>
                <c:pt idx="917">
                  <c:v>-0.10644383908424776</c:v>
                </c:pt>
                <c:pt idx="918">
                  <c:v>-0.10717356541320501</c:v>
                </c:pt>
                <c:pt idx="919">
                  <c:v>-0.11169499650280214</c:v>
                </c:pt>
                <c:pt idx="920">
                  <c:v>-0.11825705507762072</c:v>
                </c:pt>
                <c:pt idx="921">
                  <c:v>-0.11596840684913616</c:v>
                </c:pt>
                <c:pt idx="922">
                  <c:v>-0.11136940695878546</c:v>
                </c:pt>
                <c:pt idx="923">
                  <c:v>-0.11504465642262672</c:v>
                </c:pt>
                <c:pt idx="924">
                  <c:v>-0.11495218791380786</c:v>
                </c:pt>
                <c:pt idx="925">
                  <c:v>-0.11162352124864144</c:v>
                </c:pt>
                <c:pt idx="926">
                  <c:v>-0.11125625661008751</c:v>
                </c:pt>
                <c:pt idx="927">
                  <c:v>-0.10726367884256804</c:v>
                </c:pt>
                <c:pt idx="928">
                  <c:v>-0.10473780194432451</c:v>
                </c:pt>
                <c:pt idx="929">
                  <c:v>-0.10965667486938924</c:v>
                </c:pt>
                <c:pt idx="930">
                  <c:v>-0.11045469828146663</c:v>
                </c:pt>
                <c:pt idx="931">
                  <c:v>-0.10975357839454125</c:v>
                </c:pt>
                <c:pt idx="932">
                  <c:v>-0.11342899176964849</c:v>
                </c:pt>
                <c:pt idx="933">
                  <c:v>-0.11560416354472619</c:v>
                </c:pt>
                <c:pt idx="934">
                  <c:v>-0.11174502889557951</c:v>
                </c:pt>
                <c:pt idx="935">
                  <c:v>-0.11286929080157444</c:v>
                </c:pt>
                <c:pt idx="936">
                  <c:v>-0.11299217707705225</c:v>
                </c:pt>
                <c:pt idx="937">
                  <c:v>-0.11733720773733126</c:v>
                </c:pt>
                <c:pt idx="938">
                  <c:v>-0.11127390446334914</c:v>
                </c:pt>
                <c:pt idx="939">
                  <c:v>-0.11003987359042783</c:v>
                </c:pt>
                <c:pt idx="940">
                  <c:v>-0.10870652682769132</c:v>
                </c:pt>
                <c:pt idx="941">
                  <c:v>-0.10235681877997412</c:v>
                </c:pt>
                <c:pt idx="942">
                  <c:v>-0.10344099859392836</c:v>
                </c:pt>
                <c:pt idx="943">
                  <c:v>-9.6231128781996703E-2</c:v>
                </c:pt>
                <c:pt idx="944">
                  <c:v>-9.1770100945512703E-2</c:v>
                </c:pt>
                <c:pt idx="945">
                  <c:v>-9.3532501091159195E-2</c:v>
                </c:pt>
                <c:pt idx="946">
                  <c:v>-9.0249328104337681E-2</c:v>
                </c:pt>
                <c:pt idx="947">
                  <c:v>-8.8929167756652716E-2</c:v>
                </c:pt>
                <c:pt idx="948">
                  <c:v>-8.7426436126781013E-2</c:v>
                </c:pt>
                <c:pt idx="949">
                  <c:v>-8.540786604057779E-2</c:v>
                </c:pt>
                <c:pt idx="950">
                  <c:v>-9.2061277829872848E-2</c:v>
                </c:pt>
                <c:pt idx="951">
                  <c:v>-9.064575668286054E-2</c:v>
                </c:pt>
                <c:pt idx="952">
                  <c:v>-9.4104614329682618E-2</c:v>
                </c:pt>
                <c:pt idx="953">
                  <c:v>-0.10117963887578924</c:v>
                </c:pt>
                <c:pt idx="954">
                  <c:v>-0.10241471363852733</c:v>
                </c:pt>
                <c:pt idx="955">
                  <c:v>-0.1005314940594722</c:v>
                </c:pt>
                <c:pt idx="956">
                  <c:v>-0.10164211501409537</c:v>
                </c:pt>
                <c:pt idx="957">
                  <c:v>-0.10266497977867935</c:v>
                </c:pt>
                <c:pt idx="958">
                  <c:v>-0.10314191418930424</c:v>
                </c:pt>
                <c:pt idx="959">
                  <c:v>-0.10243236147814969</c:v>
                </c:pt>
                <c:pt idx="960">
                  <c:v>-0.10382580910755247</c:v>
                </c:pt>
                <c:pt idx="961">
                  <c:v>-0.10132715822347525</c:v>
                </c:pt>
                <c:pt idx="962">
                  <c:v>-0.10421492893854534</c:v>
                </c:pt>
                <c:pt idx="963">
                  <c:v>-0.10702045094295487</c:v>
                </c:pt>
                <c:pt idx="964">
                  <c:v>-0.10696687822798465</c:v>
                </c:pt>
                <c:pt idx="965">
                  <c:v>-0.11020424821165142</c:v>
                </c:pt>
                <c:pt idx="966">
                  <c:v>-0.11215981832526403</c:v>
                </c:pt>
                <c:pt idx="967">
                  <c:v>-0.10885683511281667</c:v>
                </c:pt>
                <c:pt idx="968">
                  <c:v>-0.10637356836621499</c:v>
                </c:pt>
                <c:pt idx="969">
                  <c:v>-0.10986618761221725</c:v>
                </c:pt>
                <c:pt idx="970">
                  <c:v>-0.11430872620193799</c:v>
                </c:pt>
                <c:pt idx="971">
                  <c:v>-0.11489085891086469</c:v>
                </c:pt>
                <c:pt idx="972">
                  <c:v>-0.11359036311739107</c:v>
                </c:pt>
                <c:pt idx="973">
                  <c:v>-0.10832058819903448</c:v>
                </c:pt>
                <c:pt idx="974">
                  <c:v>-0.1081021643865559</c:v>
                </c:pt>
                <c:pt idx="975">
                  <c:v>-0.10669146853644615</c:v>
                </c:pt>
                <c:pt idx="976">
                  <c:v>-0.10852498327177475</c:v>
                </c:pt>
                <c:pt idx="977">
                  <c:v>-0.10754531560237503</c:v>
                </c:pt>
                <c:pt idx="978">
                  <c:v>-0.10847447685482912</c:v>
                </c:pt>
                <c:pt idx="979">
                  <c:v>-0.10653555724047314</c:v>
                </c:pt>
                <c:pt idx="980">
                  <c:v>-0.10137464194488649</c:v>
                </c:pt>
                <c:pt idx="981">
                  <c:v>-9.9866310811418321E-2</c:v>
                </c:pt>
                <c:pt idx="982">
                  <c:v>-9.5884324320858694E-2</c:v>
                </c:pt>
                <c:pt idx="983">
                  <c:v>-9.9693012001583009E-2</c:v>
                </c:pt>
                <c:pt idx="984">
                  <c:v>-9.7291404483999505E-2</c:v>
                </c:pt>
                <c:pt idx="985">
                  <c:v>-9.3918341628867016E-2</c:v>
                </c:pt>
                <c:pt idx="986">
                  <c:v>-9.0952204338279621E-2</c:v>
                </c:pt>
                <c:pt idx="987">
                  <c:v>-9.059569351166627E-2</c:v>
                </c:pt>
                <c:pt idx="988">
                  <c:v>-9.4502048337894148E-2</c:v>
                </c:pt>
                <c:pt idx="989">
                  <c:v>-9.6814168479978716E-2</c:v>
                </c:pt>
                <c:pt idx="990">
                  <c:v>-9.2151861925588899E-2</c:v>
                </c:pt>
                <c:pt idx="991">
                  <c:v>-9.2689002551116062E-2</c:v>
                </c:pt>
                <c:pt idx="992">
                  <c:v>-8.720314662223605E-2</c:v>
                </c:pt>
                <c:pt idx="993">
                  <c:v>-8.4937144565804534E-2</c:v>
                </c:pt>
                <c:pt idx="994">
                  <c:v>-8.5133540592836079E-2</c:v>
                </c:pt>
                <c:pt idx="995">
                  <c:v>-8.6386485243143754E-2</c:v>
                </c:pt>
                <c:pt idx="996">
                  <c:v>-8.650212568064046E-2</c:v>
                </c:pt>
                <c:pt idx="997">
                  <c:v>-8.98480487515914E-2</c:v>
                </c:pt>
                <c:pt idx="998">
                  <c:v>-8.5689870506822668E-2</c:v>
                </c:pt>
                <c:pt idx="999">
                  <c:v>-7.9288016233746886E-2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5B-2346-ADDE-FE370279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53344"/>
        <c:axId val="574267264"/>
      </c:scatterChart>
      <c:valAx>
        <c:axId val="5972533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67264"/>
        <c:crosses val="autoZero"/>
        <c:crossBetween val="midCat"/>
      </c:valAx>
      <c:valAx>
        <c:axId val="57426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5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Error between paths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84977206796519"/>
                  <c:y val="-0.216100539515893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Model!$F$6:$F$1005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</c:numCache>
            </c:numRef>
          </c:xVal>
          <c:yVal>
            <c:numRef>
              <c:f>Model!$J$6:$J$1005</c:f>
              <c:numCache>
                <c:formatCode>General</c:formatCode>
                <c:ptCount val="1000"/>
                <c:pt idx="0">
                  <c:v>0</c:v>
                </c:pt>
                <c:pt idx="1">
                  <c:v>9.4602670171300453E-4</c:v>
                </c:pt>
                <c:pt idx="2">
                  <c:v>1.3189901307434655E-3</c:v>
                </c:pt>
                <c:pt idx="3">
                  <c:v>3.4274490817586102E-3</c:v>
                </c:pt>
                <c:pt idx="4">
                  <c:v>6.8294574298371274E-3</c:v>
                </c:pt>
                <c:pt idx="5">
                  <c:v>9.5777857130955046E-3</c:v>
                </c:pt>
                <c:pt idx="6">
                  <c:v>1.334505644012097E-2</c:v>
                </c:pt>
                <c:pt idx="7">
                  <c:v>1.5700468329652256E-2</c:v>
                </c:pt>
                <c:pt idx="8">
                  <c:v>1.8265983925039961E-2</c:v>
                </c:pt>
                <c:pt idx="9">
                  <c:v>1.9445530744266009E-2</c:v>
                </c:pt>
                <c:pt idx="10">
                  <c:v>2.1468362985317173E-2</c:v>
                </c:pt>
                <c:pt idx="11">
                  <c:v>1.8559289085059803E-2</c:v>
                </c:pt>
                <c:pt idx="12">
                  <c:v>1.3590729619015841E-2</c:v>
                </c:pt>
                <c:pt idx="13">
                  <c:v>1.5976589620400983E-2</c:v>
                </c:pt>
                <c:pt idx="14">
                  <c:v>1.618611919137293E-2</c:v>
                </c:pt>
                <c:pt idx="15">
                  <c:v>1.6946198409087506E-2</c:v>
                </c:pt>
                <c:pt idx="16">
                  <c:v>1.9433858424282739E-2</c:v>
                </c:pt>
                <c:pt idx="17">
                  <c:v>1.4801452483836242E-2</c:v>
                </c:pt>
                <c:pt idx="18">
                  <c:v>8.4835900232866045E-3</c:v>
                </c:pt>
                <c:pt idx="19">
                  <c:v>6.6552862662711551E-3</c:v>
                </c:pt>
                <c:pt idx="20">
                  <c:v>6.5992408461806457E-3</c:v>
                </c:pt>
                <c:pt idx="21">
                  <c:v>6.6574754745336393E-3</c:v>
                </c:pt>
                <c:pt idx="22">
                  <c:v>1.0380367301975465E-2</c:v>
                </c:pt>
                <c:pt idx="23">
                  <c:v>1.331298564688169E-2</c:v>
                </c:pt>
                <c:pt idx="24">
                  <c:v>1.1177484224110487E-2</c:v>
                </c:pt>
                <c:pt idx="25">
                  <c:v>8.048178400941311E-3</c:v>
                </c:pt>
                <c:pt idx="26">
                  <c:v>2.8953749430909248E-3</c:v>
                </c:pt>
                <c:pt idx="27">
                  <c:v>4.2526703778124801E-3</c:v>
                </c:pt>
                <c:pt idx="28">
                  <c:v>2.1442668357620071E-3</c:v>
                </c:pt>
                <c:pt idx="29">
                  <c:v>7.9798536290025621E-3</c:v>
                </c:pt>
                <c:pt idx="30">
                  <c:v>8.3102496434734625E-3</c:v>
                </c:pt>
                <c:pt idx="31">
                  <c:v>1.4131137275395972E-2</c:v>
                </c:pt>
                <c:pt idx="32">
                  <c:v>1.833700607699194E-2</c:v>
                </c:pt>
                <c:pt idx="33">
                  <c:v>1.8205992196616318E-2</c:v>
                </c:pt>
                <c:pt idx="34">
                  <c:v>1.8364095733048431E-2</c:v>
                </c:pt>
                <c:pt idx="35">
                  <c:v>1.5138727400844001E-2</c:v>
                </c:pt>
                <c:pt idx="36">
                  <c:v>1.8506828131189333E-2</c:v>
                </c:pt>
                <c:pt idx="37">
                  <c:v>1.9049978939561778E-2</c:v>
                </c:pt>
                <c:pt idx="38">
                  <c:v>1.4656241135738409E-2</c:v>
                </c:pt>
                <c:pt idx="39">
                  <c:v>1.8312272778816006E-2</c:v>
                </c:pt>
                <c:pt idx="40">
                  <c:v>1.4385438884447467E-2</c:v>
                </c:pt>
                <c:pt idx="41">
                  <c:v>1.4738459486596554E-2</c:v>
                </c:pt>
                <c:pt idx="42">
                  <c:v>1.6906315814625306E-2</c:v>
                </c:pt>
                <c:pt idx="43">
                  <c:v>1.7930459222593703E-2</c:v>
                </c:pt>
                <c:pt idx="44">
                  <c:v>1.5356302946094233E-2</c:v>
                </c:pt>
                <c:pt idx="45">
                  <c:v>1.6154019260086746E-2</c:v>
                </c:pt>
                <c:pt idx="46">
                  <c:v>1.5635546387803664E-2</c:v>
                </c:pt>
                <c:pt idx="47">
                  <c:v>6.9041897460298011E-3</c:v>
                </c:pt>
                <c:pt idx="48">
                  <c:v>1.1854880194494526E-2</c:v>
                </c:pt>
                <c:pt idx="49">
                  <c:v>1.3155521135916165E-2</c:v>
                </c:pt>
                <c:pt idx="50">
                  <c:v>9.996958174732333E-3</c:v>
                </c:pt>
                <c:pt idx="51">
                  <c:v>1.0997336245047685E-2</c:v>
                </c:pt>
                <c:pt idx="52">
                  <c:v>1.3477237887778574E-2</c:v>
                </c:pt>
                <c:pt idx="53">
                  <c:v>1.1299297012125451E-2</c:v>
                </c:pt>
                <c:pt idx="54">
                  <c:v>8.9243098573809805E-3</c:v>
                </c:pt>
                <c:pt idx="55">
                  <c:v>1.4540599994077414E-2</c:v>
                </c:pt>
                <c:pt idx="56">
                  <c:v>1.3710345190306146E-2</c:v>
                </c:pt>
                <c:pt idx="57">
                  <c:v>7.1287175796761245E-3</c:v>
                </c:pt>
                <c:pt idx="58">
                  <c:v>5.4300347558120521E-3</c:v>
                </c:pt>
                <c:pt idx="59">
                  <c:v>9.4528275737317535E-3</c:v>
                </c:pt>
                <c:pt idx="60">
                  <c:v>1.0438315709478179E-2</c:v>
                </c:pt>
                <c:pt idx="61">
                  <c:v>8.9332921146611129E-3</c:v>
                </c:pt>
                <c:pt idx="62">
                  <c:v>9.2466363173082759E-3</c:v>
                </c:pt>
                <c:pt idx="63">
                  <c:v>6.2720055963201658E-3</c:v>
                </c:pt>
                <c:pt idx="64">
                  <c:v>5.1695337412121286E-3</c:v>
                </c:pt>
                <c:pt idx="65">
                  <c:v>3.2125789895433724E-3</c:v>
                </c:pt>
                <c:pt idx="66">
                  <c:v>4.9534217419349696E-3</c:v>
                </c:pt>
                <c:pt idx="67">
                  <c:v>2.3498193439878152E-3</c:v>
                </c:pt>
                <c:pt idx="68">
                  <c:v>8.6881742597489167E-4</c:v>
                </c:pt>
                <c:pt idx="69">
                  <c:v>3.4439792873418142E-3</c:v>
                </c:pt>
                <c:pt idx="70">
                  <c:v>8.1907145902009662E-3</c:v>
                </c:pt>
                <c:pt idx="71">
                  <c:v>1.3014247552819005E-2</c:v>
                </c:pt>
                <c:pt idx="72">
                  <c:v>1.8054715971441603E-2</c:v>
                </c:pt>
                <c:pt idx="73">
                  <c:v>1.7053226752180337E-2</c:v>
                </c:pt>
                <c:pt idx="74">
                  <c:v>1.7786497573960981E-2</c:v>
                </c:pt>
                <c:pt idx="75">
                  <c:v>1.5021412845579216E-2</c:v>
                </c:pt>
                <c:pt idx="76">
                  <c:v>1.7072649929083233E-2</c:v>
                </c:pt>
                <c:pt idx="77">
                  <c:v>1.1271432702909697E-2</c:v>
                </c:pt>
                <c:pt idx="78">
                  <c:v>9.9609801045426744E-3</c:v>
                </c:pt>
                <c:pt idx="79">
                  <c:v>1.0761177613499498E-2</c:v>
                </c:pt>
                <c:pt idx="80">
                  <c:v>1.3283736336920902E-2</c:v>
                </c:pt>
                <c:pt idx="81">
                  <c:v>9.580600134980714E-3</c:v>
                </c:pt>
                <c:pt idx="82">
                  <c:v>5.5058290672152727E-3</c:v>
                </c:pt>
                <c:pt idx="83">
                  <c:v>7.8143589950795053E-3</c:v>
                </c:pt>
                <c:pt idx="84">
                  <c:v>5.9823779267339757E-3</c:v>
                </c:pt>
                <c:pt idx="85">
                  <c:v>4.7433868563227424E-3</c:v>
                </c:pt>
                <c:pt idx="86">
                  <c:v>9.9059496610063805E-3</c:v>
                </c:pt>
                <c:pt idx="87">
                  <c:v>8.4719468623686758E-3</c:v>
                </c:pt>
                <c:pt idx="88">
                  <c:v>9.8098390980901479E-3</c:v>
                </c:pt>
                <c:pt idx="89">
                  <c:v>1.2093448005495576E-2</c:v>
                </c:pt>
                <c:pt idx="90">
                  <c:v>1.29182501403854E-2</c:v>
                </c:pt>
                <c:pt idx="91">
                  <c:v>1.4677020534257136E-2</c:v>
                </c:pt>
                <c:pt idx="92">
                  <c:v>1.9175552601730428E-2</c:v>
                </c:pt>
                <c:pt idx="93">
                  <c:v>1.9977407809447342E-2</c:v>
                </c:pt>
                <c:pt idx="94">
                  <c:v>1.8703267000292036E-2</c:v>
                </c:pt>
                <c:pt idx="95">
                  <c:v>1.4249285969355496E-2</c:v>
                </c:pt>
                <c:pt idx="96">
                  <c:v>1.3075680832348021E-2</c:v>
                </c:pt>
                <c:pt idx="97">
                  <c:v>1.3924065914764704E-2</c:v>
                </c:pt>
                <c:pt idx="98">
                  <c:v>1.4766425190986466E-2</c:v>
                </c:pt>
                <c:pt idx="99">
                  <c:v>1.424126963766784E-2</c:v>
                </c:pt>
                <c:pt idx="100">
                  <c:v>1.6839630082295932E-2</c:v>
                </c:pt>
                <c:pt idx="101">
                  <c:v>1.7159509526249835E-2</c:v>
                </c:pt>
                <c:pt idx="102">
                  <c:v>1.9168370627453513E-2</c:v>
                </c:pt>
                <c:pt idx="103">
                  <c:v>2.0010482451154249E-2</c:v>
                </c:pt>
                <c:pt idx="104">
                  <c:v>1.5078767371921011E-2</c:v>
                </c:pt>
                <c:pt idx="105">
                  <c:v>1.4977093506201687E-2</c:v>
                </c:pt>
                <c:pt idx="106">
                  <c:v>1.1485121819259208E-2</c:v>
                </c:pt>
                <c:pt idx="107">
                  <c:v>9.9045536445035356E-3</c:v>
                </c:pt>
                <c:pt idx="108">
                  <c:v>1.0163872370864298E-2</c:v>
                </c:pt>
                <c:pt idx="109">
                  <c:v>4.7914162826997687E-3</c:v>
                </c:pt>
                <c:pt idx="110">
                  <c:v>1.5913534071751376E-3</c:v>
                </c:pt>
                <c:pt idx="111">
                  <c:v>1.430861038835338E-3</c:v>
                </c:pt>
                <c:pt idx="112">
                  <c:v>2.7931494501003858E-3</c:v>
                </c:pt>
                <c:pt idx="113">
                  <c:v>5.1071437100803719E-3</c:v>
                </c:pt>
                <c:pt idx="114">
                  <c:v>5.0610448375970375E-3</c:v>
                </c:pt>
                <c:pt idx="115">
                  <c:v>6.447317436772057E-5</c:v>
                </c:pt>
                <c:pt idx="116">
                  <c:v>7.0506786566512658E-4</c:v>
                </c:pt>
                <c:pt idx="117">
                  <c:v>3.4510846159975621E-3</c:v>
                </c:pt>
                <c:pt idx="118">
                  <c:v>6.6140350836876487E-3</c:v>
                </c:pt>
                <c:pt idx="119">
                  <c:v>4.1975824211160596E-3</c:v>
                </c:pt>
                <c:pt idx="120">
                  <c:v>6.0563741243117525E-3</c:v>
                </c:pt>
                <c:pt idx="121">
                  <c:v>5.5051942261609265E-3</c:v>
                </c:pt>
                <c:pt idx="122">
                  <c:v>3.765875399828018E-3</c:v>
                </c:pt>
                <c:pt idx="123">
                  <c:v>2.8323911394194604E-3</c:v>
                </c:pt>
                <c:pt idx="124">
                  <c:v>3.41215057703216E-3</c:v>
                </c:pt>
                <c:pt idx="125">
                  <c:v>5.7868202686660172E-3</c:v>
                </c:pt>
                <c:pt idx="126">
                  <c:v>4.991803986299702E-3</c:v>
                </c:pt>
                <c:pt idx="127">
                  <c:v>2.9797172889603762E-3</c:v>
                </c:pt>
                <c:pt idx="128">
                  <c:v>2.8752725574209166E-3</c:v>
                </c:pt>
                <c:pt idx="129">
                  <c:v>3.8705055185214877E-3</c:v>
                </c:pt>
                <c:pt idx="130">
                  <c:v>2.0668780282727672E-3</c:v>
                </c:pt>
                <c:pt idx="131">
                  <c:v>5.0684379009495626E-3</c:v>
                </c:pt>
                <c:pt idx="132">
                  <c:v>3.052071974260673E-3</c:v>
                </c:pt>
                <c:pt idx="133">
                  <c:v>6.8974504946650583E-4</c:v>
                </c:pt>
                <c:pt idx="134">
                  <c:v>5.1135420974058217E-3</c:v>
                </c:pt>
                <c:pt idx="135">
                  <c:v>4.6903434198143756E-3</c:v>
                </c:pt>
                <c:pt idx="136">
                  <c:v>3.4155743049500784E-3</c:v>
                </c:pt>
                <c:pt idx="137">
                  <c:v>2.8869755901259914E-3</c:v>
                </c:pt>
                <c:pt idx="138">
                  <c:v>6.490648564144854E-3</c:v>
                </c:pt>
                <c:pt idx="139">
                  <c:v>2.4876434468082635E-3</c:v>
                </c:pt>
                <c:pt idx="140">
                  <c:v>3.1192226877754109E-4</c:v>
                </c:pt>
                <c:pt idx="141">
                  <c:v>8.9664865406317677E-4</c:v>
                </c:pt>
                <c:pt idx="142">
                  <c:v>1.0861217812069071E-3</c:v>
                </c:pt>
                <c:pt idx="143">
                  <c:v>4.4006921125421695E-3</c:v>
                </c:pt>
                <c:pt idx="144">
                  <c:v>7.0689561703391763E-3</c:v>
                </c:pt>
                <c:pt idx="145">
                  <c:v>5.8774417273259501E-3</c:v>
                </c:pt>
                <c:pt idx="146">
                  <c:v>7.0335829583092948E-3</c:v>
                </c:pt>
                <c:pt idx="147">
                  <c:v>6.4440426739573332E-3</c:v>
                </c:pt>
                <c:pt idx="148">
                  <c:v>3.9523162346192364E-3</c:v>
                </c:pt>
                <c:pt idx="149">
                  <c:v>1.761127002022916E-3</c:v>
                </c:pt>
                <c:pt idx="150">
                  <c:v>2.2700193815391578E-3</c:v>
                </c:pt>
                <c:pt idx="151">
                  <c:v>1.6801594007632911E-3</c:v>
                </c:pt>
                <c:pt idx="152">
                  <c:v>2.5183448783577655E-3</c:v>
                </c:pt>
                <c:pt idx="153">
                  <c:v>2.4902698016315821E-3</c:v>
                </c:pt>
                <c:pt idx="154">
                  <c:v>6.2792532007851752E-3</c:v>
                </c:pt>
                <c:pt idx="155">
                  <c:v>1.2774277718007303E-3</c:v>
                </c:pt>
                <c:pt idx="156">
                  <c:v>5.2029858172867108E-4</c:v>
                </c:pt>
                <c:pt idx="157">
                  <c:v>4.2927574726116316E-3</c:v>
                </c:pt>
                <c:pt idx="158">
                  <c:v>5.3038245794339856E-3</c:v>
                </c:pt>
                <c:pt idx="159">
                  <c:v>1.2705024570261044E-2</c:v>
                </c:pt>
                <c:pt idx="160">
                  <c:v>1.0782508847628339E-2</c:v>
                </c:pt>
                <c:pt idx="161">
                  <c:v>1.2289709144435565E-2</c:v>
                </c:pt>
                <c:pt idx="162">
                  <c:v>1.3815741217554425E-2</c:v>
                </c:pt>
                <c:pt idx="163">
                  <c:v>1.4932744941069203E-2</c:v>
                </c:pt>
                <c:pt idx="164">
                  <c:v>1.8072722526363071E-2</c:v>
                </c:pt>
                <c:pt idx="165">
                  <c:v>1.3284353161968703E-2</c:v>
                </c:pt>
                <c:pt idx="166">
                  <c:v>9.9204129945330566E-3</c:v>
                </c:pt>
                <c:pt idx="167">
                  <c:v>8.9338132214238451E-3</c:v>
                </c:pt>
                <c:pt idx="168">
                  <c:v>8.1217888571731046E-3</c:v>
                </c:pt>
                <c:pt idx="169">
                  <c:v>1.7655455996052859E-3</c:v>
                </c:pt>
                <c:pt idx="170">
                  <c:v>3.4651004064479608E-4</c:v>
                </c:pt>
                <c:pt idx="171">
                  <c:v>3.5247261774311138E-3</c:v>
                </c:pt>
                <c:pt idx="172">
                  <c:v>2.5676615866000764E-3</c:v>
                </c:pt>
                <c:pt idx="173">
                  <c:v>3.1854078943171684E-3</c:v>
                </c:pt>
                <c:pt idx="174">
                  <c:v>4.0893878455863413E-3</c:v>
                </c:pt>
                <c:pt idx="175">
                  <c:v>5.8546085274506741E-3</c:v>
                </c:pt>
                <c:pt idx="176">
                  <c:v>1.0818765153201845E-2</c:v>
                </c:pt>
                <c:pt idx="177">
                  <c:v>1.2548733333831675E-2</c:v>
                </c:pt>
                <c:pt idx="178">
                  <c:v>1.1420140131325357E-2</c:v>
                </c:pt>
                <c:pt idx="179">
                  <c:v>5.611985157936982E-3</c:v>
                </c:pt>
                <c:pt idx="180">
                  <c:v>4.1154819468035451E-3</c:v>
                </c:pt>
                <c:pt idx="181">
                  <c:v>5.5358346045856523E-4</c:v>
                </c:pt>
                <c:pt idx="182">
                  <c:v>2.9837514671255064E-3</c:v>
                </c:pt>
                <c:pt idx="183">
                  <c:v>6.3120846386953769E-3</c:v>
                </c:pt>
                <c:pt idx="184">
                  <c:v>2.0076292466558489E-3</c:v>
                </c:pt>
                <c:pt idx="185">
                  <c:v>1.3481538884196897E-4</c:v>
                </c:pt>
                <c:pt idx="186">
                  <c:v>6.8172773299016859E-3</c:v>
                </c:pt>
                <c:pt idx="187">
                  <c:v>9.0959515734064245E-3</c:v>
                </c:pt>
                <c:pt idx="188">
                  <c:v>7.3863556303649996E-3</c:v>
                </c:pt>
                <c:pt idx="189">
                  <c:v>8.7118653234276918E-3</c:v>
                </c:pt>
                <c:pt idx="190">
                  <c:v>7.6517179244016261E-3</c:v>
                </c:pt>
                <c:pt idx="191">
                  <c:v>1.1377428033733716E-2</c:v>
                </c:pt>
                <c:pt idx="192">
                  <c:v>1.3013561652565342E-2</c:v>
                </c:pt>
                <c:pt idx="193">
                  <c:v>9.7014760737557781E-3</c:v>
                </c:pt>
                <c:pt idx="194">
                  <c:v>5.3555018477485609E-4</c:v>
                </c:pt>
                <c:pt idx="195">
                  <c:v>3.1779961581513173E-3</c:v>
                </c:pt>
                <c:pt idx="196">
                  <c:v>1.9124307306251694E-3</c:v>
                </c:pt>
                <c:pt idx="197">
                  <c:v>1.4662279059610359E-3</c:v>
                </c:pt>
                <c:pt idx="198">
                  <c:v>1.4957950838759698E-3</c:v>
                </c:pt>
                <c:pt idx="199">
                  <c:v>1.122442719106144E-3</c:v>
                </c:pt>
                <c:pt idx="200">
                  <c:v>2.9364600117148584E-3</c:v>
                </c:pt>
                <c:pt idx="201">
                  <c:v>3.6596383881506416E-3</c:v>
                </c:pt>
                <c:pt idx="202">
                  <c:v>3.8355944188602775E-3</c:v>
                </c:pt>
                <c:pt idx="203">
                  <c:v>6.4450461865630648E-3</c:v>
                </c:pt>
                <c:pt idx="204">
                  <c:v>9.611748643165911E-3</c:v>
                </c:pt>
                <c:pt idx="205">
                  <c:v>9.8145563437683301E-3</c:v>
                </c:pt>
                <c:pt idx="206">
                  <c:v>9.3481027031198059E-3</c:v>
                </c:pt>
                <c:pt idx="207">
                  <c:v>6.9406174891421084E-3</c:v>
                </c:pt>
                <c:pt idx="208">
                  <c:v>7.5396806609159921E-3</c:v>
                </c:pt>
                <c:pt idx="209">
                  <c:v>1.2884539523695861E-2</c:v>
                </c:pt>
                <c:pt idx="210">
                  <c:v>8.3509914472406407E-3</c:v>
                </c:pt>
                <c:pt idx="211">
                  <c:v>6.1252864246109564E-3</c:v>
                </c:pt>
                <c:pt idx="212">
                  <c:v>3.4821030160546579E-3</c:v>
                </c:pt>
                <c:pt idx="213">
                  <c:v>1.7007327506760647E-3</c:v>
                </c:pt>
                <c:pt idx="214">
                  <c:v>1.4165267541184062E-3</c:v>
                </c:pt>
                <c:pt idx="215">
                  <c:v>1.1414987170285697E-3</c:v>
                </c:pt>
                <c:pt idx="216">
                  <c:v>4.320146193362278E-3</c:v>
                </c:pt>
                <c:pt idx="217">
                  <c:v>9.6658558811951109E-3</c:v>
                </c:pt>
                <c:pt idx="218">
                  <c:v>4.391882457536191E-3</c:v>
                </c:pt>
                <c:pt idx="219">
                  <c:v>2.481618483978678E-4</c:v>
                </c:pt>
                <c:pt idx="220">
                  <c:v>2.888887463250488E-3</c:v>
                </c:pt>
                <c:pt idx="221">
                  <c:v>1.6020918141680142E-4</c:v>
                </c:pt>
                <c:pt idx="222">
                  <c:v>2.906739101455837E-3</c:v>
                </c:pt>
                <c:pt idx="223">
                  <c:v>3.559354794506359E-3</c:v>
                </c:pt>
                <c:pt idx="224">
                  <c:v>3.1585311664380743E-3</c:v>
                </c:pt>
                <c:pt idx="225">
                  <c:v>5.3468365823129953E-3</c:v>
                </c:pt>
                <c:pt idx="226">
                  <c:v>6.3476274386692171E-3</c:v>
                </c:pt>
                <c:pt idx="227">
                  <c:v>5.9244998562462004E-3</c:v>
                </c:pt>
                <c:pt idx="228">
                  <c:v>3.3017548233457168E-3</c:v>
                </c:pt>
                <c:pt idx="229">
                  <c:v>3.7099954000990691E-4</c:v>
                </c:pt>
                <c:pt idx="230">
                  <c:v>1.7797785635966824E-3</c:v>
                </c:pt>
                <c:pt idx="231">
                  <c:v>2.0933886535199221E-3</c:v>
                </c:pt>
                <c:pt idx="232">
                  <c:v>5.4451981831224461E-6</c:v>
                </c:pt>
                <c:pt idx="233">
                  <c:v>5.1231068109337582E-3</c:v>
                </c:pt>
                <c:pt idx="234">
                  <c:v>5.8557573899517754E-3</c:v>
                </c:pt>
                <c:pt idx="235">
                  <c:v>3.357014617506527E-3</c:v>
                </c:pt>
                <c:pt idx="236">
                  <c:v>6.8283616953013961E-3</c:v>
                </c:pt>
                <c:pt idx="237">
                  <c:v>8.4874542731373289E-3</c:v>
                </c:pt>
                <c:pt idx="238">
                  <c:v>5.4825305503362586E-3</c:v>
                </c:pt>
                <c:pt idx="239">
                  <c:v>7.2324314119470122E-3</c:v>
                </c:pt>
                <c:pt idx="240">
                  <c:v>6.4455761144873117E-3</c:v>
                </c:pt>
                <c:pt idx="241">
                  <c:v>7.122003650522615E-3</c:v>
                </c:pt>
                <c:pt idx="242">
                  <c:v>7.1089275233851782E-3</c:v>
                </c:pt>
                <c:pt idx="243">
                  <c:v>8.6741442635706826E-3</c:v>
                </c:pt>
                <c:pt idx="244">
                  <c:v>8.3695770050020348E-3</c:v>
                </c:pt>
                <c:pt idx="245">
                  <c:v>1.2242838774384182E-2</c:v>
                </c:pt>
                <c:pt idx="246">
                  <c:v>1.8275139345910608E-2</c:v>
                </c:pt>
                <c:pt idx="247">
                  <c:v>1.7463872890589868E-2</c:v>
                </c:pt>
                <c:pt idx="248">
                  <c:v>1.818031135014711E-2</c:v>
                </c:pt>
                <c:pt idx="249">
                  <c:v>1.7444420717049002E-2</c:v>
                </c:pt>
                <c:pt idx="250">
                  <c:v>1.5469904748414995E-2</c:v>
                </c:pt>
                <c:pt idx="251">
                  <c:v>2.2056385766030855E-2</c:v>
                </c:pt>
                <c:pt idx="252">
                  <c:v>1.9492118393859229E-2</c:v>
                </c:pt>
                <c:pt idx="253">
                  <c:v>1.3315815489439919E-2</c:v>
                </c:pt>
                <c:pt idx="254">
                  <c:v>1.133634297245407E-2</c:v>
                </c:pt>
                <c:pt idx="255">
                  <c:v>1.1979928923014143E-2</c:v>
                </c:pt>
                <c:pt idx="256">
                  <c:v>1.5686124554062916E-2</c:v>
                </c:pt>
                <c:pt idx="257">
                  <c:v>1.2734232713081014E-2</c:v>
                </c:pt>
                <c:pt idx="258">
                  <c:v>1.1281607046655222E-2</c:v>
                </c:pt>
                <c:pt idx="259">
                  <c:v>1.6598389153192439E-2</c:v>
                </c:pt>
                <c:pt idx="260">
                  <c:v>1.9820463042532099E-2</c:v>
                </c:pt>
                <c:pt idx="261">
                  <c:v>1.8902667973935767E-2</c:v>
                </c:pt>
                <c:pt idx="262">
                  <c:v>1.8032924850685979E-2</c:v>
                </c:pt>
                <c:pt idx="263">
                  <c:v>1.2621042273371904E-2</c:v>
                </c:pt>
                <c:pt idx="264">
                  <c:v>1.0284778132524515E-2</c:v>
                </c:pt>
                <c:pt idx="265">
                  <c:v>1.220306218487394E-2</c:v>
                </c:pt>
                <c:pt idx="266">
                  <c:v>1.6000531985397446E-2</c:v>
                </c:pt>
                <c:pt idx="267">
                  <c:v>2.0692241785951443E-2</c:v>
                </c:pt>
                <c:pt idx="268">
                  <c:v>1.6737476870905349E-2</c:v>
                </c:pt>
                <c:pt idx="269">
                  <c:v>1.1399013704716904E-2</c:v>
                </c:pt>
                <c:pt idx="270">
                  <c:v>1.751218435613314E-2</c:v>
                </c:pt>
                <c:pt idx="271">
                  <c:v>1.6840855685750333E-2</c:v>
                </c:pt>
                <c:pt idx="272">
                  <c:v>1.5533376113583139E-2</c:v>
                </c:pt>
                <c:pt idx="273">
                  <c:v>1.4618539500095498E-2</c:v>
                </c:pt>
                <c:pt idx="274">
                  <c:v>1.9377999046833599E-2</c:v>
                </c:pt>
                <c:pt idx="275">
                  <c:v>1.883119134733658E-2</c:v>
                </c:pt>
                <c:pt idx="276">
                  <c:v>1.7317654162185288E-2</c:v>
                </c:pt>
                <c:pt idx="277">
                  <c:v>1.7659560369711971E-2</c:v>
                </c:pt>
                <c:pt idx="278">
                  <c:v>1.8865127199585503E-2</c:v>
                </c:pt>
                <c:pt idx="279">
                  <c:v>1.4881226532062785E-2</c:v>
                </c:pt>
                <c:pt idx="280">
                  <c:v>1.7297509945135445E-2</c:v>
                </c:pt>
                <c:pt idx="281">
                  <c:v>1.7715536374204158E-2</c:v>
                </c:pt>
                <c:pt idx="282">
                  <c:v>1.8803923035731696E-2</c:v>
                </c:pt>
                <c:pt idx="283">
                  <c:v>2.1400585263809647E-2</c:v>
                </c:pt>
                <c:pt idx="284">
                  <c:v>2.0836625793273517E-2</c:v>
                </c:pt>
                <c:pt idx="285">
                  <c:v>2.2980928119515374E-2</c:v>
                </c:pt>
                <c:pt idx="286">
                  <c:v>1.9007905162131012E-2</c:v>
                </c:pt>
                <c:pt idx="287">
                  <c:v>2.2179019824648524E-2</c:v>
                </c:pt>
                <c:pt idx="288">
                  <c:v>2.1538500984686685E-2</c:v>
                </c:pt>
                <c:pt idx="289">
                  <c:v>1.7561625315409366E-2</c:v>
                </c:pt>
                <c:pt idx="290">
                  <c:v>1.4436977599978626E-2</c:v>
                </c:pt>
                <c:pt idx="291">
                  <c:v>1.1658330613804991E-2</c:v>
                </c:pt>
                <c:pt idx="292">
                  <c:v>1.1507119270565682E-2</c:v>
                </c:pt>
                <c:pt idx="293">
                  <c:v>8.5661238414558721E-3</c:v>
                </c:pt>
                <c:pt idx="294">
                  <c:v>7.517548246944972E-3</c:v>
                </c:pt>
                <c:pt idx="295">
                  <c:v>1.5117902095417333E-2</c:v>
                </c:pt>
                <c:pt idx="296">
                  <c:v>1.2753229500696664E-2</c:v>
                </c:pt>
                <c:pt idx="297">
                  <c:v>1.4967196601734938E-2</c:v>
                </c:pt>
                <c:pt idx="298">
                  <c:v>1.0465670819383772E-2</c:v>
                </c:pt>
                <c:pt idx="299">
                  <c:v>1.104727258259252E-2</c:v>
                </c:pt>
                <c:pt idx="300">
                  <c:v>1.0798693167103515E-2</c:v>
                </c:pt>
                <c:pt idx="301">
                  <c:v>1.1242236746407465E-2</c:v>
                </c:pt>
                <c:pt idx="302">
                  <c:v>9.8885574389702986E-3</c:v>
                </c:pt>
                <c:pt idx="303">
                  <c:v>1.4184399089717579E-2</c:v>
                </c:pt>
                <c:pt idx="304">
                  <c:v>9.5135085227625368E-3</c:v>
                </c:pt>
                <c:pt idx="305">
                  <c:v>1.2957325550582136E-2</c:v>
                </c:pt>
                <c:pt idx="306">
                  <c:v>1.3030072240513356E-2</c:v>
                </c:pt>
                <c:pt idx="307">
                  <c:v>1.2066044137366283E-2</c:v>
                </c:pt>
                <c:pt idx="308">
                  <c:v>1.3972769017138753E-2</c:v>
                </c:pt>
                <c:pt idx="309">
                  <c:v>1.1163090652759784E-2</c:v>
                </c:pt>
                <c:pt idx="310">
                  <c:v>1.20614433375953E-2</c:v>
                </c:pt>
                <c:pt idx="311">
                  <c:v>8.3338105695030303E-3</c:v>
                </c:pt>
                <c:pt idx="312">
                  <c:v>1.0582317053328584E-2</c:v>
                </c:pt>
                <c:pt idx="313">
                  <c:v>1.0275568719101567E-2</c:v>
                </c:pt>
                <c:pt idx="314">
                  <c:v>1.0306876447204148E-2</c:v>
                </c:pt>
                <c:pt idx="315">
                  <c:v>7.41118304043311E-3</c:v>
                </c:pt>
                <c:pt idx="316">
                  <c:v>7.6430901265038178E-3</c:v>
                </c:pt>
                <c:pt idx="317">
                  <c:v>1.1666700243172132E-2</c:v>
                </c:pt>
                <c:pt idx="318">
                  <c:v>7.2630420863292345E-3</c:v>
                </c:pt>
                <c:pt idx="319">
                  <c:v>1.0796991733266308E-3</c:v>
                </c:pt>
                <c:pt idx="320">
                  <c:v>4.5174556254350901E-3</c:v>
                </c:pt>
                <c:pt idx="321">
                  <c:v>6.7438891389100877E-3</c:v>
                </c:pt>
                <c:pt idx="322">
                  <c:v>4.2776955919071082E-3</c:v>
                </c:pt>
                <c:pt idx="323">
                  <c:v>1.1164270414962849E-2</c:v>
                </c:pt>
                <c:pt idx="324">
                  <c:v>1.1921057373952493E-2</c:v>
                </c:pt>
                <c:pt idx="325">
                  <c:v>9.2433906184355066E-3</c:v>
                </c:pt>
                <c:pt idx="326">
                  <c:v>1.3697164276915384E-2</c:v>
                </c:pt>
                <c:pt idx="327">
                  <c:v>1.7630255926637486E-2</c:v>
                </c:pt>
                <c:pt idx="328">
                  <c:v>1.586107422193261E-2</c:v>
                </c:pt>
                <c:pt idx="329">
                  <c:v>1.4836890543003051E-2</c:v>
                </c:pt>
                <c:pt idx="330">
                  <c:v>1.1633515461626298E-2</c:v>
                </c:pt>
                <c:pt idx="331">
                  <c:v>7.0171072761459367E-3</c:v>
                </c:pt>
                <c:pt idx="332">
                  <c:v>5.5054707876523203E-3</c:v>
                </c:pt>
                <c:pt idx="333">
                  <c:v>6.3113078537041321E-3</c:v>
                </c:pt>
                <c:pt idx="334">
                  <c:v>5.599216635278838E-3</c:v>
                </c:pt>
                <c:pt idx="335">
                  <c:v>3.8218757703537953E-3</c:v>
                </c:pt>
                <c:pt idx="336">
                  <c:v>1.5003018433154443E-3</c:v>
                </c:pt>
                <c:pt idx="337">
                  <c:v>1.3095661082767086E-3</c:v>
                </c:pt>
                <c:pt idx="338">
                  <c:v>2.8633864870336589E-4</c:v>
                </c:pt>
                <c:pt idx="339">
                  <c:v>2.6890928866889329E-3</c:v>
                </c:pt>
                <c:pt idx="340">
                  <c:v>2.1833215611558841E-3</c:v>
                </c:pt>
                <c:pt idx="341">
                  <c:v>6.7878811724973905E-3</c:v>
                </c:pt>
                <c:pt idx="342">
                  <c:v>6.874012221287671E-3</c:v>
                </c:pt>
                <c:pt idx="343">
                  <c:v>7.8813332472185069E-3</c:v>
                </c:pt>
                <c:pt idx="344">
                  <c:v>7.6121960495410777E-3</c:v>
                </c:pt>
                <c:pt idx="345">
                  <c:v>1.3725822035273142E-2</c:v>
                </c:pt>
                <c:pt idx="346">
                  <c:v>1.1872088242004055E-2</c:v>
                </c:pt>
                <c:pt idx="347">
                  <c:v>1.4932884828513576E-2</c:v>
                </c:pt>
                <c:pt idx="348">
                  <c:v>1.57916540736497E-2</c:v>
                </c:pt>
                <c:pt idx="349">
                  <c:v>1.5229284099901819E-2</c:v>
                </c:pt>
                <c:pt idx="350">
                  <c:v>1.71958060875891E-2</c:v>
                </c:pt>
                <c:pt idx="351">
                  <c:v>1.1448274611979035E-2</c:v>
                </c:pt>
                <c:pt idx="352">
                  <c:v>1.2347992509539739E-2</c:v>
                </c:pt>
                <c:pt idx="353">
                  <c:v>1.730120144340919E-2</c:v>
                </c:pt>
                <c:pt idx="354">
                  <c:v>2.406721427221354E-2</c:v>
                </c:pt>
                <c:pt idx="355">
                  <c:v>2.345061511440312E-2</c:v>
                </c:pt>
                <c:pt idx="356">
                  <c:v>2.4064254396923019E-2</c:v>
                </c:pt>
                <c:pt idx="357">
                  <c:v>2.4465107915344144E-2</c:v>
                </c:pt>
                <c:pt idx="358">
                  <c:v>2.5868016100520398E-2</c:v>
                </c:pt>
                <c:pt idx="359">
                  <c:v>2.2343016196565132E-2</c:v>
                </c:pt>
                <c:pt idx="360">
                  <c:v>2.4137754328642517E-2</c:v>
                </c:pt>
                <c:pt idx="361">
                  <c:v>2.1193809632879333E-2</c:v>
                </c:pt>
                <c:pt idx="362">
                  <c:v>2.5824338386246443E-2</c:v>
                </c:pt>
                <c:pt idx="363">
                  <c:v>2.2398087465680363E-2</c:v>
                </c:pt>
                <c:pt idx="364">
                  <c:v>2.0684460799485355E-2</c:v>
                </c:pt>
                <c:pt idx="365">
                  <c:v>2.12352912438095E-2</c:v>
                </c:pt>
                <c:pt idx="366">
                  <c:v>2.3200197316416274E-2</c:v>
                </c:pt>
                <c:pt idx="367">
                  <c:v>1.9309118728340818E-2</c:v>
                </c:pt>
                <c:pt idx="368">
                  <c:v>2.102174901478647E-2</c:v>
                </c:pt>
                <c:pt idx="369">
                  <c:v>1.4823718640394588E-2</c:v>
                </c:pt>
                <c:pt idx="370">
                  <c:v>1.2667082658655737E-2</c:v>
                </c:pt>
                <c:pt idx="371">
                  <c:v>1.0393784982812144E-2</c:v>
                </c:pt>
                <c:pt idx="372">
                  <c:v>9.2448130875453297E-3</c:v>
                </c:pt>
                <c:pt idx="373">
                  <c:v>1.3639109325152891E-2</c:v>
                </c:pt>
                <c:pt idx="374">
                  <c:v>1.7534479662366979E-2</c:v>
                </c:pt>
                <c:pt idx="375">
                  <c:v>1.4443129124216789E-2</c:v>
                </c:pt>
                <c:pt idx="376">
                  <c:v>1.8554763758809142E-2</c:v>
                </c:pt>
                <c:pt idx="377">
                  <c:v>2.1083412520538559E-2</c:v>
                </c:pt>
                <c:pt idx="378">
                  <c:v>2.0847674053859181E-2</c:v>
                </c:pt>
                <c:pt idx="379">
                  <c:v>1.8977041241260553E-2</c:v>
                </c:pt>
                <c:pt idx="380">
                  <c:v>1.7883519209812432E-2</c:v>
                </c:pt>
                <c:pt idx="381">
                  <c:v>1.8270959739386521E-2</c:v>
                </c:pt>
                <c:pt idx="382">
                  <c:v>1.6874770261070073E-2</c:v>
                </c:pt>
                <c:pt idx="383">
                  <c:v>1.8725179419643835E-2</c:v>
                </c:pt>
                <c:pt idx="384">
                  <c:v>1.9916813847897064E-2</c:v>
                </c:pt>
                <c:pt idx="385">
                  <c:v>2.2433482865239246E-2</c:v>
                </c:pt>
                <c:pt idx="386">
                  <c:v>2.5051205312781044E-2</c:v>
                </c:pt>
                <c:pt idx="387">
                  <c:v>2.0416160721948087E-2</c:v>
                </c:pt>
                <c:pt idx="388">
                  <c:v>1.7954072799168681E-2</c:v>
                </c:pt>
                <c:pt idx="389">
                  <c:v>1.4759919317050578E-2</c:v>
                </c:pt>
                <c:pt idx="390">
                  <c:v>1.0728615203688979E-2</c:v>
                </c:pt>
                <c:pt idx="391">
                  <c:v>9.0336563418563411E-3</c:v>
                </c:pt>
                <c:pt idx="392">
                  <c:v>1.1966741237769774E-2</c:v>
                </c:pt>
                <c:pt idx="393">
                  <c:v>1.4686891033892376E-2</c:v>
                </c:pt>
                <c:pt idx="394">
                  <c:v>1.3386294978322369E-2</c:v>
                </c:pt>
                <c:pt idx="395">
                  <c:v>1.7425741573402792E-2</c:v>
                </c:pt>
                <c:pt idx="396">
                  <c:v>1.3897002162250059E-2</c:v>
                </c:pt>
                <c:pt idx="397">
                  <c:v>9.7244978094042124E-3</c:v>
                </c:pt>
                <c:pt idx="398">
                  <c:v>6.7180152608243802E-3</c:v>
                </c:pt>
                <c:pt idx="399">
                  <c:v>1.0416227242907682E-2</c:v>
                </c:pt>
                <c:pt idx="400">
                  <c:v>5.8055587725969957E-3</c:v>
                </c:pt>
                <c:pt idx="401">
                  <c:v>4.6403764420257449E-3</c:v>
                </c:pt>
                <c:pt idx="402">
                  <c:v>5.1376757719071107E-3</c:v>
                </c:pt>
                <c:pt idx="403">
                  <c:v>9.3565974848226815E-3</c:v>
                </c:pt>
                <c:pt idx="404">
                  <c:v>9.2565929140631491E-3</c:v>
                </c:pt>
                <c:pt idx="405">
                  <c:v>1.4369474972047939E-2</c:v>
                </c:pt>
                <c:pt idx="406">
                  <c:v>1.5489452547300858E-2</c:v>
                </c:pt>
                <c:pt idx="407">
                  <c:v>1.673106030993482E-2</c:v>
                </c:pt>
                <c:pt idx="408">
                  <c:v>1.4800634619537543E-2</c:v>
                </c:pt>
                <c:pt idx="409">
                  <c:v>1.9081149768537503E-2</c:v>
                </c:pt>
                <c:pt idx="410">
                  <c:v>1.3023749781035699E-2</c:v>
                </c:pt>
                <c:pt idx="411">
                  <c:v>1.1698721252511228E-2</c:v>
                </c:pt>
                <c:pt idx="412">
                  <c:v>1.07087318405728E-2</c:v>
                </c:pt>
                <c:pt idx="413">
                  <c:v>9.6368544473881736E-3</c:v>
                </c:pt>
                <c:pt idx="414">
                  <c:v>9.3175454457620922E-3</c:v>
                </c:pt>
                <c:pt idx="415">
                  <c:v>1.4335818931130097E-2</c:v>
                </c:pt>
                <c:pt idx="416">
                  <c:v>1.5534240909074824E-2</c:v>
                </c:pt>
                <c:pt idx="417">
                  <c:v>1.7305069390674853E-2</c:v>
                </c:pt>
                <c:pt idx="418">
                  <c:v>2.0995508614858147E-2</c:v>
                </c:pt>
                <c:pt idx="419">
                  <c:v>2.1897999753006565E-2</c:v>
                </c:pt>
                <c:pt idx="420">
                  <c:v>2.4679303103707168E-2</c:v>
                </c:pt>
                <c:pt idx="421">
                  <c:v>2.1782092731323074E-2</c:v>
                </c:pt>
                <c:pt idx="422">
                  <c:v>2.3433709138180062E-2</c:v>
                </c:pt>
                <c:pt idx="423">
                  <c:v>1.7427787491881726E-2</c:v>
                </c:pt>
                <c:pt idx="424">
                  <c:v>1.7144713008365415E-2</c:v>
                </c:pt>
                <c:pt idx="425">
                  <c:v>1.55164746799094E-2</c:v>
                </c:pt>
                <c:pt idx="426">
                  <c:v>1.9606159521885304E-2</c:v>
                </c:pt>
                <c:pt idx="427">
                  <c:v>2.3465950573046145E-2</c:v>
                </c:pt>
                <c:pt idx="428">
                  <c:v>2.1689352894306475E-2</c:v>
                </c:pt>
                <c:pt idx="429">
                  <c:v>2.5336183645263251E-2</c:v>
                </c:pt>
                <c:pt idx="430">
                  <c:v>2.9550661802580119E-2</c:v>
                </c:pt>
                <c:pt idx="431">
                  <c:v>2.5884982108561855E-2</c:v>
                </c:pt>
                <c:pt idx="432">
                  <c:v>2.7154319660060763E-2</c:v>
                </c:pt>
                <c:pt idx="433">
                  <c:v>2.7799122879863539E-2</c:v>
                </c:pt>
                <c:pt idx="434">
                  <c:v>2.6903457754967434E-2</c:v>
                </c:pt>
                <c:pt idx="435">
                  <c:v>2.2722443648944997E-2</c:v>
                </c:pt>
                <c:pt idx="436">
                  <c:v>2.6973050216048768E-2</c:v>
                </c:pt>
                <c:pt idx="437">
                  <c:v>2.4441905894612662E-2</c:v>
                </c:pt>
                <c:pt idx="438">
                  <c:v>2.4112245369939122E-2</c:v>
                </c:pt>
                <c:pt idx="439">
                  <c:v>2.244684888839503E-2</c:v>
                </c:pt>
                <c:pt idx="440">
                  <c:v>2.2073932312553592E-2</c:v>
                </c:pt>
                <c:pt idx="441">
                  <c:v>2.3796169503991563E-2</c:v>
                </c:pt>
                <c:pt idx="442">
                  <c:v>2.0755942877909959E-2</c:v>
                </c:pt>
                <c:pt idx="443">
                  <c:v>1.9112930853605183E-2</c:v>
                </c:pt>
                <c:pt idx="444">
                  <c:v>1.7516398150676599E-2</c:v>
                </c:pt>
                <c:pt idx="445">
                  <c:v>1.7716661757983081E-2</c:v>
                </c:pt>
                <c:pt idx="446">
                  <c:v>1.5351650612353232E-2</c:v>
                </c:pt>
                <c:pt idx="447">
                  <c:v>1.6480210709712149E-2</c:v>
                </c:pt>
                <c:pt idx="448">
                  <c:v>2.0085155181883682E-2</c:v>
                </c:pt>
                <c:pt idx="449">
                  <c:v>2.0829533338925676E-2</c:v>
                </c:pt>
                <c:pt idx="450">
                  <c:v>2.3041667134150991E-2</c:v>
                </c:pt>
                <c:pt idx="451">
                  <c:v>2.6993295643154357E-2</c:v>
                </c:pt>
                <c:pt idx="452">
                  <c:v>3.1341843466771269E-2</c:v>
                </c:pt>
                <c:pt idx="453">
                  <c:v>2.9851071696644887E-2</c:v>
                </c:pt>
                <c:pt idx="454">
                  <c:v>2.8497810238780168E-2</c:v>
                </c:pt>
                <c:pt idx="455">
                  <c:v>3.0457950984537414E-2</c:v>
                </c:pt>
                <c:pt idx="456">
                  <c:v>2.8842852138655867E-2</c:v>
                </c:pt>
                <c:pt idx="457">
                  <c:v>3.0435704124189729E-2</c:v>
                </c:pt>
                <c:pt idx="458">
                  <c:v>3.1184782296087787E-2</c:v>
                </c:pt>
                <c:pt idx="459">
                  <c:v>3.1144272786678633E-2</c:v>
                </c:pt>
                <c:pt idx="460">
                  <c:v>2.7181256078072043E-2</c:v>
                </c:pt>
                <c:pt idx="461">
                  <c:v>2.7177287730807981E-2</c:v>
                </c:pt>
                <c:pt idx="462">
                  <c:v>3.1750723592159545E-2</c:v>
                </c:pt>
                <c:pt idx="463">
                  <c:v>3.9345316614787129E-2</c:v>
                </c:pt>
                <c:pt idx="464">
                  <c:v>3.7874575908014817E-2</c:v>
                </c:pt>
                <c:pt idx="465">
                  <c:v>4.2642429038820553E-2</c:v>
                </c:pt>
                <c:pt idx="466">
                  <c:v>4.0352351104239736E-2</c:v>
                </c:pt>
                <c:pt idx="467">
                  <c:v>3.7138960645341154E-2</c:v>
                </c:pt>
                <c:pt idx="468">
                  <c:v>3.9991504117892124E-2</c:v>
                </c:pt>
                <c:pt idx="469">
                  <c:v>4.3579144148542824E-2</c:v>
                </c:pt>
                <c:pt idx="470">
                  <c:v>4.5564450876029568E-2</c:v>
                </c:pt>
                <c:pt idx="471">
                  <c:v>4.990791510199255E-2</c:v>
                </c:pt>
                <c:pt idx="472">
                  <c:v>4.9152503563771412E-2</c:v>
                </c:pt>
                <c:pt idx="473">
                  <c:v>5.0806045888064144E-2</c:v>
                </c:pt>
                <c:pt idx="474">
                  <c:v>4.7152120102987333E-2</c:v>
                </c:pt>
                <c:pt idx="475">
                  <c:v>4.786996433735375E-2</c:v>
                </c:pt>
                <c:pt idx="476">
                  <c:v>4.8896137287873558E-2</c:v>
                </c:pt>
                <c:pt idx="477">
                  <c:v>4.9856793672399806E-2</c:v>
                </c:pt>
                <c:pt idx="478">
                  <c:v>5.5153236749816564E-2</c:v>
                </c:pt>
                <c:pt idx="479">
                  <c:v>5.3081948892701222E-2</c:v>
                </c:pt>
                <c:pt idx="480">
                  <c:v>4.6170805255702656E-2</c:v>
                </c:pt>
                <c:pt idx="481">
                  <c:v>4.6243684930927578E-2</c:v>
                </c:pt>
                <c:pt idx="482">
                  <c:v>4.7522710820834799E-2</c:v>
                </c:pt>
                <c:pt idx="483">
                  <c:v>4.289355114190508E-2</c:v>
                </c:pt>
                <c:pt idx="484">
                  <c:v>4.0920123193092371E-2</c:v>
                </c:pt>
                <c:pt idx="485">
                  <c:v>3.6718642041164526E-2</c:v>
                </c:pt>
                <c:pt idx="486">
                  <c:v>3.7042145860207924E-2</c:v>
                </c:pt>
                <c:pt idx="487">
                  <c:v>3.6897088988870022E-2</c:v>
                </c:pt>
                <c:pt idx="488">
                  <c:v>3.2970480393689675E-2</c:v>
                </c:pt>
                <c:pt idx="489">
                  <c:v>2.7074567106817812E-2</c:v>
                </c:pt>
                <c:pt idx="490">
                  <c:v>2.5821338336699716E-2</c:v>
                </c:pt>
                <c:pt idx="491">
                  <c:v>2.4076003412478435E-2</c:v>
                </c:pt>
                <c:pt idx="492">
                  <c:v>2.0426918213609452E-2</c:v>
                </c:pt>
                <c:pt idx="493">
                  <c:v>2.10870867332782E-2</c:v>
                </c:pt>
                <c:pt idx="494">
                  <c:v>1.7557077127350197E-2</c:v>
                </c:pt>
                <c:pt idx="495">
                  <c:v>1.3026318879137366E-2</c:v>
                </c:pt>
                <c:pt idx="496">
                  <c:v>1.5211453526789284E-2</c:v>
                </c:pt>
                <c:pt idx="497">
                  <c:v>1.5649500756067837E-2</c:v>
                </c:pt>
                <c:pt idx="498">
                  <c:v>1.2368394816845027E-2</c:v>
                </c:pt>
                <c:pt idx="499">
                  <c:v>1.6526302059830141E-2</c:v>
                </c:pt>
                <c:pt idx="500">
                  <c:v>1.6168499586174698E-2</c:v>
                </c:pt>
                <c:pt idx="501">
                  <c:v>1.6128722095196907E-2</c:v>
                </c:pt>
                <c:pt idx="502">
                  <c:v>9.9787013352144564E-3</c:v>
                </c:pt>
                <c:pt idx="503">
                  <c:v>1.1712118824651917E-2</c:v>
                </c:pt>
                <c:pt idx="504">
                  <c:v>1.1151285694559929E-2</c:v>
                </c:pt>
                <c:pt idx="505">
                  <c:v>1.2176049820761859E-2</c:v>
                </c:pt>
                <c:pt idx="506">
                  <c:v>1.5983889555048449E-2</c:v>
                </c:pt>
                <c:pt idx="507">
                  <c:v>1.6985212640322295E-2</c:v>
                </c:pt>
                <c:pt idx="508">
                  <c:v>1.9101290147533055E-2</c:v>
                </c:pt>
                <c:pt idx="509">
                  <c:v>2.4240250969095822E-2</c:v>
                </c:pt>
                <c:pt idx="510">
                  <c:v>2.3198175373471547E-2</c:v>
                </c:pt>
                <c:pt idx="511">
                  <c:v>2.364239006390095E-2</c:v>
                </c:pt>
                <c:pt idx="512">
                  <c:v>2.1655362183062341E-2</c:v>
                </c:pt>
                <c:pt idx="513">
                  <c:v>2.7183324136644847E-2</c:v>
                </c:pt>
                <c:pt idx="514">
                  <c:v>2.9301650723491786E-2</c:v>
                </c:pt>
                <c:pt idx="515">
                  <c:v>3.0244226229394523E-2</c:v>
                </c:pt>
                <c:pt idx="516">
                  <c:v>3.5029790103268371E-2</c:v>
                </c:pt>
                <c:pt idx="517">
                  <c:v>3.4797754950219251E-2</c:v>
                </c:pt>
                <c:pt idx="518">
                  <c:v>3.3017676639752552E-2</c:v>
                </c:pt>
                <c:pt idx="519">
                  <c:v>3.2962285195821103E-2</c:v>
                </c:pt>
                <c:pt idx="520">
                  <c:v>3.3330531381356193E-2</c:v>
                </c:pt>
                <c:pt idx="521">
                  <c:v>3.3506541185600813E-2</c:v>
                </c:pt>
                <c:pt idx="522">
                  <c:v>3.1997522975686345E-2</c:v>
                </c:pt>
                <c:pt idx="523">
                  <c:v>2.6325181497176869E-2</c:v>
                </c:pt>
                <c:pt idx="524">
                  <c:v>2.234703056693501E-2</c:v>
                </c:pt>
                <c:pt idx="525">
                  <c:v>2.2487602077831424E-2</c:v>
                </c:pt>
                <c:pt idx="526">
                  <c:v>2.209013916802216E-2</c:v>
                </c:pt>
                <c:pt idx="527">
                  <c:v>2.5126579196697113E-2</c:v>
                </c:pt>
                <c:pt idx="528">
                  <c:v>2.9553274427690644E-2</c:v>
                </c:pt>
                <c:pt idx="529">
                  <c:v>2.8682261978991139E-2</c:v>
                </c:pt>
                <c:pt idx="530">
                  <c:v>2.7810699092566608E-2</c:v>
                </c:pt>
                <c:pt idx="531">
                  <c:v>3.1765341601844452E-2</c:v>
                </c:pt>
                <c:pt idx="532">
                  <c:v>3.3313060951827705E-2</c:v>
                </c:pt>
                <c:pt idx="533">
                  <c:v>3.0834170718665274E-2</c:v>
                </c:pt>
                <c:pt idx="534">
                  <c:v>3.2500099969436563E-2</c:v>
                </c:pt>
                <c:pt idx="535">
                  <c:v>3.562225201669917E-2</c:v>
                </c:pt>
                <c:pt idx="536">
                  <c:v>3.8241448354911008E-2</c:v>
                </c:pt>
                <c:pt idx="537">
                  <c:v>3.4101629074788684E-2</c:v>
                </c:pt>
                <c:pt idx="538">
                  <c:v>3.0916872129425108E-2</c:v>
                </c:pt>
                <c:pt idx="539">
                  <c:v>3.3218990094574401E-2</c:v>
                </c:pt>
                <c:pt idx="540">
                  <c:v>3.1758551580728385E-2</c:v>
                </c:pt>
                <c:pt idx="541">
                  <c:v>3.5188330088697567E-2</c:v>
                </c:pt>
                <c:pt idx="542">
                  <c:v>3.6779438736059739E-2</c:v>
                </c:pt>
                <c:pt idx="543">
                  <c:v>3.6386442543167613E-2</c:v>
                </c:pt>
                <c:pt idx="544">
                  <c:v>4.2777348381553781E-2</c:v>
                </c:pt>
                <c:pt idx="545">
                  <c:v>4.6599417651936689E-2</c:v>
                </c:pt>
                <c:pt idx="546">
                  <c:v>4.9732396418346342E-2</c:v>
                </c:pt>
                <c:pt idx="547">
                  <c:v>4.8299723954042903E-2</c:v>
                </c:pt>
                <c:pt idx="548">
                  <c:v>4.3275966377405835E-2</c:v>
                </c:pt>
                <c:pt idx="549">
                  <c:v>4.6383241418083997E-2</c:v>
                </c:pt>
                <c:pt idx="550">
                  <c:v>4.7484395949382967E-2</c:v>
                </c:pt>
                <c:pt idx="551">
                  <c:v>4.345708251859251E-2</c:v>
                </c:pt>
                <c:pt idx="552">
                  <c:v>5.0433351416905962E-2</c:v>
                </c:pt>
                <c:pt idx="553">
                  <c:v>4.8650128277483731E-2</c:v>
                </c:pt>
                <c:pt idx="554">
                  <c:v>4.8164682030020181E-2</c:v>
                </c:pt>
                <c:pt idx="555">
                  <c:v>5.0722654541807334E-2</c:v>
                </c:pt>
                <c:pt idx="556">
                  <c:v>5.7751082215659125E-2</c:v>
                </c:pt>
                <c:pt idx="557">
                  <c:v>5.5390972220409403E-2</c:v>
                </c:pt>
                <c:pt idx="558">
                  <c:v>5.0743747476952289E-2</c:v>
                </c:pt>
                <c:pt idx="559">
                  <c:v>5.1323519979987284E-2</c:v>
                </c:pt>
                <c:pt idx="560">
                  <c:v>5.0473299965414588E-2</c:v>
                </c:pt>
                <c:pt idx="561">
                  <c:v>5.1685379388173538E-2</c:v>
                </c:pt>
                <c:pt idx="562">
                  <c:v>5.1117490789362049E-2</c:v>
                </c:pt>
                <c:pt idx="563">
                  <c:v>5.150644615143065E-2</c:v>
                </c:pt>
                <c:pt idx="564">
                  <c:v>4.7714946573637104E-2</c:v>
                </c:pt>
                <c:pt idx="565">
                  <c:v>4.9642505650828381E-2</c:v>
                </c:pt>
                <c:pt idx="566">
                  <c:v>5.4559281662520123E-2</c:v>
                </c:pt>
                <c:pt idx="567">
                  <c:v>5.5775623826067357E-2</c:v>
                </c:pt>
                <c:pt idx="568">
                  <c:v>5.735350710235191E-2</c:v>
                </c:pt>
                <c:pt idx="569">
                  <c:v>5.8841089480846022E-2</c:v>
                </c:pt>
                <c:pt idx="570">
                  <c:v>6.3185319959707345E-2</c:v>
                </c:pt>
                <c:pt idx="571">
                  <c:v>6.7175871522777542E-2</c:v>
                </c:pt>
                <c:pt idx="572">
                  <c:v>7.4883341422534028E-2</c:v>
                </c:pt>
                <c:pt idx="573">
                  <c:v>7.7255530044259488E-2</c:v>
                </c:pt>
                <c:pt idx="574">
                  <c:v>7.3550871852982938E-2</c:v>
                </c:pt>
                <c:pt idx="575">
                  <c:v>7.5311405237380863E-2</c:v>
                </c:pt>
                <c:pt idx="576">
                  <c:v>8.1781904762331006E-2</c:v>
                </c:pt>
                <c:pt idx="577">
                  <c:v>8.0403203783111304E-2</c:v>
                </c:pt>
                <c:pt idx="578">
                  <c:v>8.0861657634704667E-2</c:v>
                </c:pt>
                <c:pt idx="579">
                  <c:v>7.2835320524818031E-2</c:v>
                </c:pt>
                <c:pt idx="580">
                  <c:v>7.2819227083447235E-2</c:v>
                </c:pt>
                <c:pt idx="581">
                  <c:v>6.8644506194293839E-2</c:v>
                </c:pt>
                <c:pt idx="582">
                  <c:v>6.76372889499159E-2</c:v>
                </c:pt>
                <c:pt idx="583">
                  <c:v>6.8621829520457742E-2</c:v>
                </c:pt>
                <c:pt idx="584">
                  <c:v>6.8437999563048996E-2</c:v>
                </c:pt>
                <c:pt idx="585">
                  <c:v>6.6268289404422837E-2</c:v>
                </c:pt>
                <c:pt idx="586">
                  <c:v>7.2279221490607115E-2</c:v>
                </c:pt>
                <c:pt idx="587">
                  <c:v>6.9544605043223309E-2</c:v>
                </c:pt>
                <c:pt idx="588">
                  <c:v>6.8418644135644677E-2</c:v>
                </c:pt>
                <c:pt idx="589">
                  <c:v>6.7429616892400943E-2</c:v>
                </c:pt>
                <c:pt idx="590">
                  <c:v>7.2125591173024958E-2</c:v>
                </c:pt>
                <c:pt idx="591">
                  <c:v>6.8656965635923273E-2</c:v>
                </c:pt>
                <c:pt idx="592">
                  <c:v>7.0471204450021446E-2</c:v>
                </c:pt>
                <c:pt idx="593">
                  <c:v>6.6185546886298269E-2</c:v>
                </c:pt>
                <c:pt idx="594">
                  <c:v>6.5580662570595083E-2</c:v>
                </c:pt>
                <c:pt idx="595">
                  <c:v>6.0949569557209461E-2</c:v>
                </c:pt>
                <c:pt idx="596">
                  <c:v>5.9207090478799837E-2</c:v>
                </c:pt>
                <c:pt idx="597">
                  <c:v>6.437171401063306E-2</c:v>
                </c:pt>
                <c:pt idx="598">
                  <c:v>6.673645193031004E-2</c:v>
                </c:pt>
                <c:pt idx="599">
                  <c:v>6.6489707169098564E-2</c:v>
                </c:pt>
                <c:pt idx="600">
                  <c:v>6.0507415649379281E-2</c:v>
                </c:pt>
                <c:pt idx="601">
                  <c:v>5.6694822564168849E-2</c:v>
                </c:pt>
                <c:pt idx="602">
                  <c:v>5.4297762776582228E-2</c:v>
                </c:pt>
                <c:pt idx="603">
                  <c:v>5.1636508238993795E-2</c:v>
                </c:pt>
                <c:pt idx="604">
                  <c:v>5.5550117396313409E-2</c:v>
                </c:pt>
                <c:pt idx="605">
                  <c:v>5.4145644888987092E-2</c:v>
                </c:pt>
                <c:pt idx="606">
                  <c:v>5.1864608786934802E-2</c:v>
                </c:pt>
                <c:pt idx="607">
                  <c:v>4.9545195275710149E-2</c:v>
                </c:pt>
                <c:pt idx="608">
                  <c:v>5.1740619477605214E-2</c:v>
                </c:pt>
                <c:pt idx="609">
                  <c:v>4.9900769139218655E-2</c:v>
                </c:pt>
                <c:pt idx="610">
                  <c:v>5.4947365110073518E-2</c:v>
                </c:pt>
                <c:pt idx="611">
                  <c:v>5.6529302940781151E-2</c:v>
                </c:pt>
                <c:pt idx="612">
                  <c:v>5.3991103540113175E-2</c:v>
                </c:pt>
                <c:pt idx="613">
                  <c:v>5.515350034128972E-2</c:v>
                </c:pt>
                <c:pt idx="614">
                  <c:v>4.9265594023055193E-2</c:v>
                </c:pt>
                <c:pt idx="615">
                  <c:v>5.1914737035717168E-2</c:v>
                </c:pt>
                <c:pt idx="616">
                  <c:v>4.6823576760157803E-2</c:v>
                </c:pt>
                <c:pt idx="617">
                  <c:v>4.7734049395707516E-2</c:v>
                </c:pt>
                <c:pt idx="618">
                  <c:v>5.0448100048424177E-2</c:v>
                </c:pt>
                <c:pt idx="619">
                  <c:v>5.1596105301981714E-2</c:v>
                </c:pt>
                <c:pt idx="620">
                  <c:v>5.3584443908314988E-2</c:v>
                </c:pt>
                <c:pt idx="621">
                  <c:v>5.7920865763536222E-2</c:v>
                </c:pt>
                <c:pt idx="622">
                  <c:v>5.6482249786757713E-2</c:v>
                </c:pt>
                <c:pt idx="623">
                  <c:v>5.7292967624151168E-2</c:v>
                </c:pt>
                <c:pt idx="624">
                  <c:v>6.2013706975894943E-2</c:v>
                </c:pt>
                <c:pt idx="625">
                  <c:v>6.5690246186595733E-2</c:v>
                </c:pt>
                <c:pt idx="626">
                  <c:v>6.5505931804519732E-2</c:v>
                </c:pt>
                <c:pt idx="627">
                  <c:v>6.5456944790352287E-2</c:v>
                </c:pt>
                <c:pt idx="628">
                  <c:v>6.6839701251580771E-2</c:v>
                </c:pt>
                <c:pt idx="629">
                  <c:v>6.6021771156881917E-2</c:v>
                </c:pt>
                <c:pt idx="630">
                  <c:v>6.0046939731297128E-2</c:v>
                </c:pt>
                <c:pt idx="631">
                  <c:v>6.0162179828579479E-2</c:v>
                </c:pt>
                <c:pt idx="632">
                  <c:v>6.3419861279585585E-2</c:v>
                </c:pt>
                <c:pt idx="633">
                  <c:v>5.7480288591570713E-2</c:v>
                </c:pt>
                <c:pt idx="634">
                  <c:v>5.5401457624391498E-2</c:v>
                </c:pt>
                <c:pt idx="635">
                  <c:v>5.8432890692395892E-2</c:v>
                </c:pt>
                <c:pt idx="636">
                  <c:v>5.9440329837311179E-2</c:v>
                </c:pt>
                <c:pt idx="637">
                  <c:v>5.8677243450490205E-2</c:v>
                </c:pt>
                <c:pt idx="638">
                  <c:v>5.7630839461708584E-2</c:v>
                </c:pt>
                <c:pt idx="639">
                  <c:v>5.9812444128694714E-2</c:v>
                </c:pt>
                <c:pt idx="640">
                  <c:v>5.8350888339745145E-2</c:v>
                </c:pt>
                <c:pt idx="641">
                  <c:v>5.5182575644649595E-2</c:v>
                </c:pt>
                <c:pt idx="642">
                  <c:v>5.4388986530198954E-2</c:v>
                </c:pt>
                <c:pt idx="643">
                  <c:v>5.968471703559218E-2</c:v>
                </c:pt>
                <c:pt idx="644">
                  <c:v>6.0375161436401086E-2</c:v>
                </c:pt>
                <c:pt idx="645">
                  <c:v>6.4948128540139274E-2</c:v>
                </c:pt>
                <c:pt idx="646">
                  <c:v>6.5408932688938631E-2</c:v>
                </c:pt>
                <c:pt idx="647">
                  <c:v>6.2893764039054362E-2</c:v>
                </c:pt>
                <c:pt idx="648">
                  <c:v>6.6112640024233116E-2</c:v>
                </c:pt>
                <c:pt idx="649">
                  <c:v>6.9816477598465779E-2</c:v>
                </c:pt>
                <c:pt idx="650">
                  <c:v>7.0534782794474102E-2</c:v>
                </c:pt>
                <c:pt idx="651">
                  <c:v>6.8876088586224293E-2</c:v>
                </c:pt>
                <c:pt idx="652">
                  <c:v>6.9125814058917628E-2</c:v>
                </c:pt>
                <c:pt idx="653">
                  <c:v>7.488978832079915E-2</c:v>
                </c:pt>
                <c:pt idx="654">
                  <c:v>8.1094527993133533E-2</c:v>
                </c:pt>
                <c:pt idx="655">
                  <c:v>7.5535483894989E-2</c:v>
                </c:pt>
                <c:pt idx="656">
                  <c:v>7.5278031188305838E-2</c:v>
                </c:pt>
                <c:pt idx="657">
                  <c:v>7.6425164734174947E-2</c:v>
                </c:pt>
                <c:pt idx="658">
                  <c:v>7.2810848726354238E-2</c:v>
                </c:pt>
                <c:pt idx="659">
                  <c:v>7.394150019438521E-2</c:v>
                </c:pt>
                <c:pt idx="660">
                  <c:v>7.3611168394330656E-2</c:v>
                </c:pt>
                <c:pt idx="661">
                  <c:v>7.832578550442372E-2</c:v>
                </c:pt>
                <c:pt idx="662">
                  <c:v>7.9587871564994236E-2</c:v>
                </c:pt>
                <c:pt idx="663">
                  <c:v>7.7946763292911142E-2</c:v>
                </c:pt>
                <c:pt idx="664">
                  <c:v>7.951774178844126E-2</c:v>
                </c:pt>
                <c:pt idx="665">
                  <c:v>7.8581732947238997E-2</c:v>
                </c:pt>
                <c:pt idx="666">
                  <c:v>7.5126815468186947E-2</c:v>
                </c:pt>
                <c:pt idx="667">
                  <c:v>7.4047057035179581E-2</c:v>
                </c:pt>
                <c:pt idx="668">
                  <c:v>7.3886168423752049E-2</c:v>
                </c:pt>
                <c:pt idx="669">
                  <c:v>7.5639019374285188E-2</c:v>
                </c:pt>
                <c:pt idx="670">
                  <c:v>7.5738788736020968E-2</c:v>
                </c:pt>
                <c:pt idx="671">
                  <c:v>7.5063519403179804E-2</c:v>
                </c:pt>
                <c:pt idx="672">
                  <c:v>7.1839227935339159E-2</c:v>
                </c:pt>
                <c:pt idx="673">
                  <c:v>7.546454443748872E-2</c:v>
                </c:pt>
                <c:pt idx="674">
                  <c:v>6.8366033150331976E-2</c:v>
                </c:pt>
                <c:pt idx="675">
                  <c:v>7.3473389415894375E-2</c:v>
                </c:pt>
                <c:pt idx="676">
                  <c:v>7.4727498939489156E-2</c:v>
                </c:pt>
                <c:pt idx="677">
                  <c:v>7.4160633183780245E-2</c:v>
                </c:pt>
                <c:pt idx="678">
                  <c:v>7.1370205833921688E-2</c:v>
                </c:pt>
                <c:pt idx="679">
                  <c:v>7.0268910496313078E-2</c:v>
                </c:pt>
                <c:pt idx="680">
                  <c:v>7.1423989134012433E-2</c:v>
                </c:pt>
                <c:pt idx="681">
                  <c:v>7.5534589727623752E-2</c:v>
                </c:pt>
                <c:pt idx="682">
                  <c:v>7.6489003256451055E-2</c:v>
                </c:pt>
                <c:pt idx="683">
                  <c:v>7.5696271999324771E-2</c:v>
                </c:pt>
                <c:pt idx="684">
                  <c:v>7.4826413423897037E-2</c:v>
                </c:pt>
                <c:pt idx="685">
                  <c:v>7.5567892053342217E-2</c:v>
                </c:pt>
                <c:pt idx="686">
                  <c:v>8.1237819736311737E-2</c:v>
                </c:pt>
                <c:pt idx="687">
                  <c:v>8.2604396418781603E-2</c:v>
                </c:pt>
                <c:pt idx="688">
                  <c:v>8.9149510346306374E-2</c:v>
                </c:pt>
                <c:pt idx="689">
                  <c:v>8.8079375823371275E-2</c:v>
                </c:pt>
                <c:pt idx="690">
                  <c:v>8.1818726242098211E-2</c:v>
                </c:pt>
                <c:pt idx="691">
                  <c:v>8.5331669300710483E-2</c:v>
                </c:pt>
                <c:pt idx="692">
                  <c:v>9.0426770248418817E-2</c:v>
                </c:pt>
                <c:pt idx="693">
                  <c:v>9.2832929545732884E-2</c:v>
                </c:pt>
                <c:pt idx="694">
                  <c:v>9.3128080107261965E-2</c:v>
                </c:pt>
                <c:pt idx="695">
                  <c:v>9.0692872451318074E-2</c:v>
                </c:pt>
                <c:pt idx="696">
                  <c:v>8.937609796450148E-2</c:v>
                </c:pt>
                <c:pt idx="697">
                  <c:v>9.1891808403135253E-2</c:v>
                </c:pt>
                <c:pt idx="698">
                  <c:v>9.1921154621238343E-2</c:v>
                </c:pt>
                <c:pt idx="699">
                  <c:v>9.1542511972479132E-2</c:v>
                </c:pt>
                <c:pt idx="700">
                  <c:v>9.4454416258885593E-2</c:v>
                </c:pt>
                <c:pt idx="701">
                  <c:v>9.08868040710928E-2</c:v>
                </c:pt>
                <c:pt idx="702">
                  <c:v>9.118109604862866E-2</c:v>
                </c:pt>
                <c:pt idx="703">
                  <c:v>9.0288209158662772E-2</c:v>
                </c:pt>
                <c:pt idx="704">
                  <c:v>8.9463384619160619E-2</c:v>
                </c:pt>
                <c:pt idx="705">
                  <c:v>9.3487598181855661E-2</c:v>
                </c:pt>
                <c:pt idx="706">
                  <c:v>9.5636463377992018E-2</c:v>
                </c:pt>
                <c:pt idx="707">
                  <c:v>9.3071364688087743E-2</c:v>
                </c:pt>
                <c:pt idx="708">
                  <c:v>9.6011158521110321E-2</c:v>
                </c:pt>
                <c:pt idx="709">
                  <c:v>0.10109204422644173</c:v>
                </c:pt>
                <c:pt idx="710">
                  <c:v>0.10217854253313602</c:v>
                </c:pt>
                <c:pt idx="711">
                  <c:v>0.10095487150753299</c:v>
                </c:pt>
                <c:pt idx="712">
                  <c:v>0.10357254892142261</c:v>
                </c:pt>
                <c:pt idx="713">
                  <c:v>0.10174272580886254</c:v>
                </c:pt>
                <c:pt idx="714">
                  <c:v>0.10036483037011765</c:v>
                </c:pt>
                <c:pt idx="715">
                  <c:v>9.9966165286567876E-2</c:v>
                </c:pt>
                <c:pt idx="716">
                  <c:v>0.10359645148222421</c:v>
                </c:pt>
                <c:pt idx="717">
                  <c:v>0.10201001713032301</c:v>
                </c:pt>
                <c:pt idx="718">
                  <c:v>9.9694463128269711E-2</c:v>
                </c:pt>
                <c:pt idx="719">
                  <c:v>0.10129406200272037</c:v>
                </c:pt>
                <c:pt idx="720">
                  <c:v>9.68733509863208E-2</c:v>
                </c:pt>
                <c:pt idx="721">
                  <c:v>0.10070978453050035</c:v>
                </c:pt>
                <c:pt idx="722">
                  <c:v>0.10716021020276767</c:v>
                </c:pt>
                <c:pt idx="723">
                  <c:v>0.10595187718336134</c:v>
                </c:pt>
                <c:pt idx="724">
                  <c:v>0.10838736353931296</c:v>
                </c:pt>
                <c:pt idx="725">
                  <c:v>0.11297596939313014</c:v>
                </c:pt>
                <c:pt idx="726">
                  <c:v>0.11008753862833148</c:v>
                </c:pt>
                <c:pt idx="727">
                  <c:v>0.11076459944578128</c:v>
                </c:pt>
                <c:pt idx="728">
                  <c:v>0.11612003258766398</c:v>
                </c:pt>
                <c:pt idx="729">
                  <c:v>0.11643790267956336</c:v>
                </c:pt>
                <c:pt idx="730">
                  <c:v>0.11232640530411922</c:v>
                </c:pt>
                <c:pt idx="731">
                  <c:v>0.11618418818050617</c:v>
                </c:pt>
                <c:pt idx="732">
                  <c:v>0.1169604495137012</c:v>
                </c:pt>
                <c:pt idx="733">
                  <c:v>0.11650181991899657</c:v>
                </c:pt>
                <c:pt idx="734">
                  <c:v>0.11352919775925058</c:v>
                </c:pt>
                <c:pt idx="735">
                  <c:v>0.1167564512394323</c:v>
                </c:pt>
                <c:pt idx="736">
                  <c:v>0.11504142712820803</c:v>
                </c:pt>
                <c:pt idx="737">
                  <c:v>0.1159110007045453</c:v>
                </c:pt>
                <c:pt idx="738">
                  <c:v>0.11769037845176787</c:v>
                </c:pt>
                <c:pt idx="739">
                  <c:v>0.11687242754090972</c:v>
                </c:pt>
                <c:pt idx="740">
                  <c:v>0.1172723173759513</c:v>
                </c:pt>
                <c:pt idx="741">
                  <c:v>0.11666850819161201</c:v>
                </c:pt>
                <c:pt idx="742">
                  <c:v>0.1149440041414873</c:v>
                </c:pt>
                <c:pt idx="743">
                  <c:v>0.11556643910152092</c:v>
                </c:pt>
                <c:pt idx="744">
                  <c:v>0.11399308389959399</c:v>
                </c:pt>
                <c:pt idx="745">
                  <c:v>0.11963352502556934</c:v>
                </c:pt>
                <c:pt idx="746">
                  <c:v>0.12214480339689947</c:v>
                </c:pt>
                <c:pt idx="747">
                  <c:v>0.12143742690395536</c:v>
                </c:pt>
                <c:pt idx="748">
                  <c:v>0.12662995121260578</c:v>
                </c:pt>
                <c:pt idx="749">
                  <c:v>0.12722147227875355</c:v>
                </c:pt>
                <c:pt idx="750">
                  <c:v>0.12718708051477925</c:v>
                </c:pt>
                <c:pt idx="751">
                  <c:v>0.12911825623820608</c:v>
                </c:pt>
                <c:pt idx="752">
                  <c:v>0.1296589192078007</c:v>
                </c:pt>
                <c:pt idx="753">
                  <c:v>0.12968436451745324</c:v>
                </c:pt>
                <c:pt idx="754">
                  <c:v>0.1364229056373929</c:v>
                </c:pt>
                <c:pt idx="755">
                  <c:v>0.13225462949112066</c:v>
                </c:pt>
                <c:pt idx="756">
                  <c:v>0.13487271778152468</c:v>
                </c:pt>
                <c:pt idx="757">
                  <c:v>0.13377629490543871</c:v>
                </c:pt>
                <c:pt idx="758">
                  <c:v>0.13219004057520756</c:v>
                </c:pt>
                <c:pt idx="759">
                  <c:v>0.12975849229746853</c:v>
                </c:pt>
                <c:pt idx="760">
                  <c:v>0.12748196121844071</c:v>
                </c:pt>
                <c:pt idx="761">
                  <c:v>0.12833378106750121</c:v>
                </c:pt>
                <c:pt idx="762">
                  <c:v>0.13142799065108016</c:v>
                </c:pt>
                <c:pt idx="763">
                  <c:v>0.1362717326465098</c:v>
                </c:pt>
                <c:pt idx="764">
                  <c:v>0.14139820280506704</c:v>
                </c:pt>
                <c:pt idx="765">
                  <c:v>0.14343591667506242</c:v>
                </c:pt>
                <c:pt idx="766">
                  <c:v>0.14462526336455489</c:v>
                </c:pt>
                <c:pt idx="767">
                  <c:v>0.14611224010064644</c:v>
                </c:pt>
                <c:pt idx="768">
                  <c:v>0.15135694778212416</c:v>
                </c:pt>
                <c:pt idx="769">
                  <c:v>0.15488353092383561</c:v>
                </c:pt>
                <c:pt idx="770">
                  <c:v>0.15633324630927159</c:v>
                </c:pt>
                <c:pt idx="771">
                  <c:v>0.15050290337007599</c:v>
                </c:pt>
                <c:pt idx="772">
                  <c:v>0.14870727271205983</c:v>
                </c:pt>
                <c:pt idx="773">
                  <c:v>0.14949669827660117</c:v>
                </c:pt>
                <c:pt idx="774">
                  <c:v>0.15497955061750829</c:v>
                </c:pt>
                <c:pt idx="775">
                  <c:v>0.15508106680647002</c:v>
                </c:pt>
                <c:pt idx="776">
                  <c:v>0.15381063970756015</c:v>
                </c:pt>
                <c:pt idx="777">
                  <c:v>0.15213400925809101</c:v>
                </c:pt>
                <c:pt idx="778">
                  <c:v>0.15281957710047722</c:v>
                </c:pt>
                <c:pt idx="779">
                  <c:v>0.15518487699445183</c:v>
                </c:pt>
                <c:pt idx="780">
                  <c:v>0.15110819800805245</c:v>
                </c:pt>
                <c:pt idx="781">
                  <c:v>0.15017018490952855</c:v>
                </c:pt>
                <c:pt idx="782">
                  <c:v>0.1486796211166892</c:v>
                </c:pt>
                <c:pt idx="783">
                  <c:v>0.1470101131761099</c:v>
                </c:pt>
                <c:pt idx="784">
                  <c:v>0.1436642639073234</c:v>
                </c:pt>
                <c:pt idx="785">
                  <c:v>0.14270383498293288</c:v>
                </c:pt>
                <c:pt idx="786">
                  <c:v>0.14407311431073275</c:v>
                </c:pt>
                <c:pt idx="787">
                  <c:v>0.14482247603372472</c:v>
                </c:pt>
                <c:pt idx="788">
                  <c:v>0.15313117928132522</c:v>
                </c:pt>
                <c:pt idx="789">
                  <c:v>0.14219429654453375</c:v>
                </c:pt>
                <c:pt idx="790">
                  <c:v>0.13837678395738268</c:v>
                </c:pt>
                <c:pt idx="791">
                  <c:v>0.13760931557803263</c:v>
                </c:pt>
                <c:pt idx="792">
                  <c:v>0.13838665839420822</c:v>
                </c:pt>
                <c:pt idx="793">
                  <c:v>0.13800742060033294</c:v>
                </c:pt>
                <c:pt idx="794">
                  <c:v>0.1352529292490364</c:v>
                </c:pt>
                <c:pt idx="795">
                  <c:v>0.13200982526630006</c:v>
                </c:pt>
                <c:pt idx="796">
                  <c:v>0.13084570418274075</c:v>
                </c:pt>
                <c:pt idx="797">
                  <c:v>0.12972592669356575</c:v>
                </c:pt>
                <c:pt idx="798">
                  <c:v>0.13359521357137932</c:v>
                </c:pt>
                <c:pt idx="799">
                  <c:v>0.13640430188660241</c:v>
                </c:pt>
                <c:pt idx="800">
                  <c:v>0.13572601791520122</c:v>
                </c:pt>
                <c:pt idx="801">
                  <c:v>0.13372003656263715</c:v>
                </c:pt>
                <c:pt idx="802">
                  <c:v>0.13310382237847584</c:v>
                </c:pt>
                <c:pt idx="803">
                  <c:v>0.13548213329588546</c:v>
                </c:pt>
                <c:pt idx="804">
                  <c:v>0.13640612817045797</c:v>
                </c:pt>
                <c:pt idx="805">
                  <c:v>0.13327526489207892</c:v>
                </c:pt>
                <c:pt idx="806">
                  <c:v>0.13644049682016654</c:v>
                </c:pt>
                <c:pt idx="807">
                  <c:v>0.13945233577327015</c:v>
                </c:pt>
                <c:pt idx="808">
                  <c:v>0.13959802611605993</c:v>
                </c:pt>
                <c:pt idx="809">
                  <c:v>0.13301752612997206</c:v>
                </c:pt>
                <c:pt idx="810">
                  <c:v>0.13097409689811235</c:v>
                </c:pt>
                <c:pt idx="811">
                  <c:v>0.12777938853151075</c:v>
                </c:pt>
                <c:pt idx="812">
                  <c:v>0.12812281474604975</c:v>
                </c:pt>
                <c:pt idx="813">
                  <c:v>0.12723979157319068</c:v>
                </c:pt>
                <c:pt idx="814">
                  <c:v>0.12805806678860887</c:v>
                </c:pt>
                <c:pt idx="815">
                  <c:v>0.12951714476966361</c:v>
                </c:pt>
                <c:pt idx="816">
                  <c:v>0.1292833182022802</c:v>
                </c:pt>
                <c:pt idx="817">
                  <c:v>0.12838885029619795</c:v>
                </c:pt>
                <c:pt idx="818">
                  <c:v>0.12926327749035982</c:v>
                </c:pt>
                <c:pt idx="819">
                  <c:v>0.1274609406199099</c:v>
                </c:pt>
                <c:pt idx="820">
                  <c:v>0.12530657720118515</c:v>
                </c:pt>
                <c:pt idx="821">
                  <c:v>0.13046472093094907</c:v>
                </c:pt>
                <c:pt idx="822">
                  <c:v>0.13444994342388786</c:v>
                </c:pt>
                <c:pt idx="823">
                  <c:v>0.13408510668259666</c:v>
                </c:pt>
                <c:pt idx="824">
                  <c:v>0.13050886816525087</c:v>
                </c:pt>
                <c:pt idx="825">
                  <c:v>0.12856346991290724</c:v>
                </c:pt>
                <c:pt idx="826">
                  <c:v>0.12649284264603194</c:v>
                </c:pt>
                <c:pt idx="827">
                  <c:v>0.12347524787426256</c:v>
                </c:pt>
                <c:pt idx="828">
                  <c:v>0.12568861009698187</c:v>
                </c:pt>
                <c:pt idx="829">
                  <c:v>0.12202565461424586</c:v>
                </c:pt>
                <c:pt idx="830">
                  <c:v>0.11867160495996873</c:v>
                </c:pt>
                <c:pt idx="831">
                  <c:v>0.12440040792837925</c:v>
                </c:pt>
                <c:pt idx="832">
                  <c:v>0.12114920857652185</c:v>
                </c:pt>
                <c:pt idx="833">
                  <c:v>0.12767329913089892</c:v>
                </c:pt>
                <c:pt idx="834">
                  <c:v>0.12874720412746332</c:v>
                </c:pt>
                <c:pt idx="835">
                  <c:v>0.12874683166459061</c:v>
                </c:pt>
                <c:pt idx="836">
                  <c:v>0.12830105081487597</c:v>
                </c:pt>
                <c:pt idx="837">
                  <c:v>0.12861189951573906</c:v>
                </c:pt>
                <c:pt idx="838">
                  <c:v>0.12961598562806537</c:v>
                </c:pt>
                <c:pt idx="839">
                  <c:v>0.13533888843962177</c:v>
                </c:pt>
                <c:pt idx="840">
                  <c:v>0.13311322152999261</c:v>
                </c:pt>
                <c:pt idx="841">
                  <c:v>0.1328037379238465</c:v>
                </c:pt>
                <c:pt idx="842">
                  <c:v>0.12671865483387981</c:v>
                </c:pt>
                <c:pt idx="843">
                  <c:v>0.12475682560038336</c:v>
                </c:pt>
                <c:pt idx="844">
                  <c:v>0.12039750078423596</c:v>
                </c:pt>
                <c:pt idx="845">
                  <c:v>0.11763116713534615</c:v>
                </c:pt>
                <c:pt idx="846">
                  <c:v>0.11929786359727154</c:v>
                </c:pt>
                <c:pt idx="847">
                  <c:v>0.12106376895456647</c:v>
                </c:pt>
                <c:pt idx="848">
                  <c:v>0.12180274111946628</c:v>
                </c:pt>
                <c:pt idx="849">
                  <c:v>0.12187741229166843</c:v>
                </c:pt>
                <c:pt idx="850">
                  <c:v>0.12312602530984817</c:v>
                </c:pt>
                <c:pt idx="851">
                  <c:v>0.12403961989896808</c:v>
                </c:pt>
                <c:pt idx="852">
                  <c:v>0.12676181108594847</c:v>
                </c:pt>
                <c:pt idx="853">
                  <c:v>0.12130495010894829</c:v>
                </c:pt>
                <c:pt idx="854">
                  <c:v>0.12080350757641745</c:v>
                </c:pt>
                <c:pt idx="855">
                  <c:v>0.12732978894331781</c:v>
                </c:pt>
                <c:pt idx="856">
                  <c:v>0.13300613668976066</c:v>
                </c:pt>
                <c:pt idx="857">
                  <c:v>0.13370235465320973</c:v>
                </c:pt>
                <c:pt idx="858">
                  <c:v>0.13131683917218956</c:v>
                </c:pt>
                <c:pt idx="859">
                  <c:v>0.12968752893970445</c:v>
                </c:pt>
                <c:pt idx="860">
                  <c:v>0.12723366405341063</c:v>
                </c:pt>
                <c:pt idx="861">
                  <c:v>0.12604757974084305</c:v>
                </c:pt>
                <c:pt idx="862">
                  <c:v>0.12604301642076288</c:v>
                </c:pt>
                <c:pt idx="863">
                  <c:v>0.12883287068802199</c:v>
                </c:pt>
                <c:pt idx="864">
                  <c:v>0.1314198906207803</c:v>
                </c:pt>
                <c:pt idx="865">
                  <c:v>0.12931456621653684</c:v>
                </c:pt>
                <c:pt idx="866">
                  <c:v>0.1283452169978147</c:v>
                </c:pt>
                <c:pt idx="867">
                  <c:v>0.125026148123658</c:v>
                </c:pt>
                <c:pt idx="868">
                  <c:v>0.12684529966268582</c:v>
                </c:pt>
                <c:pt idx="869">
                  <c:v>0.12200787148060364</c:v>
                </c:pt>
                <c:pt idx="870">
                  <c:v>0.12318323001881354</c:v>
                </c:pt>
                <c:pt idx="871">
                  <c:v>0.12322312863040676</c:v>
                </c:pt>
                <c:pt idx="872">
                  <c:v>0.12045549240641436</c:v>
                </c:pt>
                <c:pt idx="873">
                  <c:v>0.11759623600280239</c:v>
                </c:pt>
                <c:pt idx="874">
                  <c:v>0.11595905935172213</c:v>
                </c:pt>
                <c:pt idx="875">
                  <c:v>0.11492056887057805</c:v>
                </c:pt>
                <c:pt idx="876">
                  <c:v>0.11312506051537186</c:v>
                </c:pt>
                <c:pt idx="877">
                  <c:v>0.1108432327351267</c:v>
                </c:pt>
                <c:pt idx="878">
                  <c:v>0.11908079450553852</c:v>
                </c:pt>
                <c:pt idx="879">
                  <c:v>0.12337881887664318</c:v>
                </c:pt>
                <c:pt idx="880">
                  <c:v>0.12665505080920669</c:v>
                </c:pt>
                <c:pt idx="881">
                  <c:v>0.13109591038236074</c:v>
                </c:pt>
                <c:pt idx="882">
                  <c:v>0.13017869605419338</c:v>
                </c:pt>
                <c:pt idx="883">
                  <c:v>0.13019213316230741</c:v>
                </c:pt>
                <c:pt idx="884">
                  <c:v>0.13331254681017329</c:v>
                </c:pt>
                <c:pt idx="885">
                  <c:v>0.13140792626623671</c:v>
                </c:pt>
                <c:pt idx="886">
                  <c:v>0.13078608772053546</c:v>
                </c:pt>
                <c:pt idx="887">
                  <c:v>0.13256980273630092</c:v>
                </c:pt>
                <c:pt idx="888">
                  <c:v>0.13456665031527545</c:v>
                </c:pt>
                <c:pt idx="889">
                  <c:v>0.1369738514881936</c:v>
                </c:pt>
                <c:pt idx="890">
                  <c:v>0.13710281417111736</c:v>
                </c:pt>
                <c:pt idx="891">
                  <c:v>0.12923676360817629</c:v>
                </c:pt>
                <c:pt idx="892">
                  <c:v>0.12925406554047206</c:v>
                </c:pt>
                <c:pt idx="893">
                  <c:v>0.12415620422772347</c:v>
                </c:pt>
                <c:pt idx="894">
                  <c:v>0.12296873454430897</c:v>
                </c:pt>
                <c:pt idx="895">
                  <c:v>0.11625088206170843</c:v>
                </c:pt>
                <c:pt idx="896">
                  <c:v>0.11279048768331024</c:v>
                </c:pt>
                <c:pt idx="897">
                  <c:v>0.11451238643889956</c:v>
                </c:pt>
                <c:pt idx="898">
                  <c:v>0.11097198401369783</c:v>
                </c:pt>
                <c:pt idx="899">
                  <c:v>0.11609678769239375</c:v>
                </c:pt>
                <c:pt idx="900">
                  <c:v>0.11174735987823071</c:v>
                </c:pt>
                <c:pt idx="901">
                  <c:v>0.10693636202835682</c:v>
                </c:pt>
                <c:pt idx="902">
                  <c:v>0.10424343618946849</c:v>
                </c:pt>
                <c:pt idx="903">
                  <c:v>0.11196511159084727</c:v>
                </c:pt>
                <c:pt idx="904">
                  <c:v>0.11512058270472775</c:v>
                </c:pt>
                <c:pt idx="905">
                  <c:v>0.10795079288515988</c:v>
                </c:pt>
                <c:pt idx="906">
                  <c:v>0.10943820426932166</c:v>
                </c:pt>
                <c:pt idx="907">
                  <c:v>0.11110086886569395</c:v>
                </c:pt>
                <c:pt idx="908">
                  <c:v>0.11516676039704163</c:v>
                </c:pt>
                <c:pt idx="909">
                  <c:v>0.10893811589457295</c:v>
                </c:pt>
                <c:pt idx="910">
                  <c:v>0.10983036700649666</c:v>
                </c:pt>
                <c:pt idx="911">
                  <c:v>0.11600576211002049</c:v>
                </c:pt>
                <c:pt idx="912">
                  <c:v>0.1141061807375108</c:v>
                </c:pt>
                <c:pt idx="913">
                  <c:v>0.1134573793570041</c:v>
                </c:pt>
                <c:pt idx="914">
                  <c:v>0.11736227649205364</c:v>
                </c:pt>
                <c:pt idx="915">
                  <c:v>0.11749330070746311</c:v>
                </c:pt>
                <c:pt idx="916">
                  <c:v>0.11525081820424543</c:v>
                </c:pt>
                <c:pt idx="917">
                  <c:v>0.11603780021539631</c:v>
                </c:pt>
                <c:pt idx="918">
                  <c:v>0.11676128025648849</c:v>
                </c:pt>
                <c:pt idx="919">
                  <c:v>0.12124041644327016</c:v>
                </c:pt>
                <c:pt idx="920">
                  <c:v>0.12774110504297623</c:v>
                </c:pt>
                <c:pt idx="921">
                  <c:v>0.12547475429720351</c:v>
                </c:pt>
                <c:pt idx="922">
                  <c:v>0.12092001894839957</c:v>
                </c:pt>
                <c:pt idx="923">
                  <c:v>0.12456113731493992</c:v>
                </c:pt>
                <c:pt idx="924">
                  <c:v>0.12447024214482451</c:v>
                </c:pt>
                <c:pt idx="925">
                  <c:v>0.12117382666304345</c:v>
                </c:pt>
                <c:pt idx="926">
                  <c:v>0.12081075425160313</c:v>
                </c:pt>
                <c:pt idx="927">
                  <c:v>0.11685688636155744</c:v>
                </c:pt>
                <c:pt idx="928">
                  <c:v>0.11435584535175733</c:v>
                </c:pt>
                <c:pt idx="929">
                  <c:v>0.11922850753992087</c:v>
                </c:pt>
                <c:pt idx="930">
                  <c:v>0.12001964667484745</c:v>
                </c:pt>
                <c:pt idx="931">
                  <c:v>0.11932590340472832</c:v>
                </c:pt>
                <c:pt idx="932">
                  <c:v>0.1229671073074568</c:v>
                </c:pt>
                <c:pt idx="933">
                  <c:v>0.12512237526879413</c:v>
                </c:pt>
                <c:pt idx="934">
                  <c:v>0.12130052978179764</c:v>
                </c:pt>
                <c:pt idx="935">
                  <c:v>0.12241482076357754</c:v>
                </c:pt>
                <c:pt idx="936">
                  <c:v>0.1225372434509247</c:v>
                </c:pt>
                <c:pt idx="937">
                  <c:v>0.12684183080241287</c:v>
                </c:pt>
                <c:pt idx="938">
                  <c:v>0.1208366939165274</c:v>
                </c:pt>
                <c:pt idx="939">
                  <c:v>0.11961510908936865</c:v>
                </c:pt>
                <c:pt idx="940">
                  <c:v>0.11829517270421419</c:v>
                </c:pt>
                <c:pt idx="941">
                  <c:v>0.11200690700802513</c:v>
                </c:pt>
                <c:pt idx="942">
                  <c:v>0.11308140937882227</c:v>
                </c:pt>
                <c:pt idx="943">
                  <c:v>0.10594162441108095</c:v>
                </c:pt>
                <c:pt idx="944">
                  <c:v>0.10152450286034417</c:v>
                </c:pt>
                <c:pt idx="945">
                  <c:v>0.1032705602936511</c:v>
                </c:pt>
                <c:pt idx="946">
                  <c:v>0.10001997097243982</c:v>
                </c:pt>
                <c:pt idx="947">
                  <c:v>9.8713388762248069E-2</c:v>
                </c:pt>
                <c:pt idx="948">
                  <c:v>9.7226034708074505E-2</c:v>
                </c:pt>
                <c:pt idx="949">
                  <c:v>9.5227904462789212E-2</c:v>
                </c:pt>
                <c:pt idx="950">
                  <c:v>0.10181730100983599</c:v>
                </c:pt>
                <c:pt idx="951">
                  <c:v>0.1004162621709821</c:v>
                </c:pt>
                <c:pt idx="952">
                  <c:v>0.10384230980906088</c:v>
                </c:pt>
                <c:pt idx="953">
                  <c:v>0.11084979852048041</c:v>
                </c:pt>
                <c:pt idx="954">
                  <c:v>0.11207372734573454</c:v>
                </c:pt>
                <c:pt idx="955">
                  <c:v>0.11020933407392328</c:v>
                </c:pt>
                <c:pt idx="956">
                  <c:v>0.11130999707699878</c:v>
                </c:pt>
                <c:pt idx="957">
                  <c:v>0.11232375593848433</c:v>
                </c:pt>
                <c:pt idx="958">
                  <c:v>0.11279683161067433</c:v>
                </c:pt>
                <c:pt idx="959">
                  <c:v>0.11209481369281617</c:v>
                </c:pt>
                <c:pt idx="960">
                  <c:v>0.11347560349703445</c:v>
                </c:pt>
                <c:pt idx="961">
                  <c:v>0.11100167776278203</c:v>
                </c:pt>
                <c:pt idx="962">
                  <c:v>0.11386243067265829</c:v>
                </c:pt>
                <c:pt idx="963">
                  <c:v>0.11664179515631502</c:v>
                </c:pt>
                <c:pt idx="964">
                  <c:v>0.11658944887484052</c:v>
                </c:pt>
                <c:pt idx="965">
                  <c:v>0.11979660759740723</c:v>
                </c:pt>
                <c:pt idx="966">
                  <c:v>0.12173425291027853</c:v>
                </c:pt>
                <c:pt idx="967">
                  <c:v>0.11846347096790351</c:v>
                </c:pt>
                <c:pt idx="968">
                  <c:v>0.11600466533908521</c:v>
                </c:pt>
                <c:pt idx="969">
                  <c:v>0.11946461067378364</c:v>
                </c:pt>
                <c:pt idx="970">
                  <c:v>0.1238655542867796</c:v>
                </c:pt>
                <c:pt idx="971">
                  <c:v>0.12444285924704257</c:v>
                </c:pt>
                <c:pt idx="972">
                  <c:v>0.12315542372463784</c:v>
                </c:pt>
                <c:pt idx="973">
                  <c:v>0.11793660231873038</c:v>
                </c:pt>
                <c:pt idx="974">
                  <c:v>0.11772097943936533</c:v>
                </c:pt>
                <c:pt idx="975">
                  <c:v>0.11632449819850324</c:v>
                </c:pt>
                <c:pt idx="976">
                  <c:v>0.11814118162798837</c:v>
                </c:pt>
                <c:pt idx="977">
                  <c:v>0.11717159792087709</c:v>
                </c:pt>
                <c:pt idx="978">
                  <c:v>0.11809258329335216</c:v>
                </c:pt>
                <c:pt idx="979">
                  <c:v>0.11617293709388973</c:v>
                </c:pt>
                <c:pt idx="980">
                  <c:v>0.11106232288980508</c:v>
                </c:pt>
                <c:pt idx="981">
                  <c:v>0.10956925772357097</c:v>
                </c:pt>
                <c:pt idx="982">
                  <c:v>0.10562649702131222</c:v>
                </c:pt>
                <c:pt idx="983">
                  <c:v>0.10939908918622732</c:v>
                </c:pt>
                <c:pt idx="984">
                  <c:v>0.10702141747270712</c:v>
                </c:pt>
                <c:pt idx="985">
                  <c:v>0.10368177966372225</c:v>
                </c:pt>
                <c:pt idx="986">
                  <c:v>0.10074522304944022</c:v>
                </c:pt>
                <c:pt idx="987">
                  <c:v>0.10039292758507469</c:v>
                </c:pt>
                <c:pt idx="988">
                  <c:v>0.10426203794545894</c:v>
                </c:pt>
                <c:pt idx="989">
                  <c:v>0.10655247868051872</c:v>
                </c:pt>
                <c:pt idx="990">
                  <c:v>0.10193616252101083</c:v>
                </c:pt>
                <c:pt idx="991">
                  <c:v>0.10246881849366309</c:v>
                </c:pt>
                <c:pt idx="992">
                  <c:v>9.7037206061899639E-2</c:v>
                </c:pt>
                <c:pt idx="993">
                  <c:v>9.4794141683489708E-2</c:v>
                </c:pt>
                <c:pt idx="994">
                  <c:v>9.4989365841062212E-2</c:v>
                </c:pt>
                <c:pt idx="995">
                  <c:v>9.6230789223336916E-2</c:v>
                </c:pt>
                <c:pt idx="996">
                  <c:v>9.6346048440950266E-2</c:v>
                </c:pt>
                <c:pt idx="997">
                  <c:v>9.9660018772372294E-2</c:v>
                </c:pt>
                <c:pt idx="998">
                  <c:v>9.5543247936482334E-2</c:v>
                </c:pt>
                <c:pt idx="999">
                  <c:v>8.9205087034911368E-2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CA-CE4E-A3F0-4F651D17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04800"/>
        <c:axId val="597106448"/>
      </c:scatterChart>
      <c:valAx>
        <c:axId val="59710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6448"/>
        <c:crosses val="autoZero"/>
        <c:crossBetween val="midCat"/>
      </c:valAx>
      <c:valAx>
        <c:axId val="5971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10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Cumulative Z increments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Model!$C$6:$C$1005</c:f>
              <c:numCache>
                <c:formatCode>General</c:formatCode>
                <c:ptCount val="1000"/>
                <c:pt idx="0">
                  <c:v>0.29900463468746408</c:v>
                </c:pt>
                <c:pt idx="1">
                  <c:v>-0.42703064158802062</c:v>
                </c:pt>
                <c:pt idx="2">
                  <c:v>-1.1031172376477576</c:v>
                </c:pt>
                <c:pt idx="3">
                  <c:v>-2.1924213237834191</c:v>
                </c:pt>
                <c:pt idx="4">
                  <c:v>-3.0730202391353099</c:v>
                </c:pt>
                <c:pt idx="5">
                  <c:v>-4.2791162343699458</c:v>
                </c:pt>
                <c:pt idx="6">
                  <c:v>-5.0343843719312753</c:v>
                </c:pt>
                <c:pt idx="7">
                  <c:v>-5.8568116709931743</c:v>
                </c:pt>
                <c:pt idx="8">
                  <c:v>-6.2366805593927905</c:v>
                </c:pt>
                <c:pt idx="9">
                  <c:v>-6.8858920978810341</c:v>
                </c:pt>
                <c:pt idx="10">
                  <c:v>-5.9601201471828462</c:v>
                </c:pt>
                <c:pt idx="11">
                  <c:v>-4.3764726203323416</c:v>
                </c:pt>
                <c:pt idx="12">
                  <c:v>-5.1414747291322804</c:v>
                </c:pt>
                <c:pt idx="13">
                  <c:v>-5.2114834574482511</c:v>
                </c:pt>
                <c:pt idx="14">
                  <c:v>-5.4573287842577782</c:v>
                </c:pt>
                <c:pt idx="15">
                  <c:v>-6.2549273224484443</c:v>
                </c:pt>
                <c:pt idx="16">
                  <c:v>-4.7786754745284847</c:v>
                </c:pt>
                <c:pt idx="17">
                  <c:v>-2.7638745336475368</c:v>
                </c:pt>
                <c:pt idx="18">
                  <c:v>-2.1827572316397297</c:v>
                </c:pt>
                <c:pt idx="19">
                  <c:v>-2.1676430811607283</c:v>
                </c:pt>
                <c:pt idx="20">
                  <c:v>-2.1890287296271462</c:v>
                </c:pt>
                <c:pt idx="21">
                  <c:v>-3.380906537641283</c:v>
                </c:pt>
                <c:pt idx="22">
                  <c:v>-4.3204615321139936</c:v>
                </c:pt>
                <c:pt idx="23">
                  <c:v>-3.6414108651819421</c:v>
                </c:pt>
                <c:pt idx="24">
                  <c:v>-2.6448537461273949</c:v>
                </c:pt>
                <c:pt idx="25">
                  <c:v>-1.0018250123216728</c:v>
                </c:pt>
                <c:pt idx="26">
                  <c:v>-1.438032857590883</c:v>
                </c:pt>
                <c:pt idx="27">
                  <c:v>-0.76727782015517332</c:v>
                </c:pt>
                <c:pt idx="28">
                  <c:v>-2.6338794099269749</c:v>
                </c:pt>
                <c:pt idx="29">
                  <c:v>-2.7422385937801246</c:v>
                </c:pt>
                <c:pt idx="30">
                  <c:v>-4.6042327034850636</c:v>
                </c:pt>
                <c:pt idx="31">
                  <c:v>-5.9505228080287997</c:v>
                </c:pt>
                <c:pt idx="32">
                  <c:v>-5.9118471460535087</c:v>
                </c:pt>
                <c:pt idx="33">
                  <c:v>-5.9655030333676322</c:v>
                </c:pt>
                <c:pt idx="34">
                  <c:v>-4.9385624671963342</c:v>
                </c:pt>
                <c:pt idx="35">
                  <c:v>-6.0173180346041413</c:v>
                </c:pt>
                <c:pt idx="36">
                  <c:v>-6.1939562990459764</c:v>
                </c:pt>
                <c:pt idx="37">
                  <c:v>-4.7938856702871107</c:v>
                </c:pt>
                <c:pt idx="38">
                  <c:v>-5.9645908015823625</c:v>
                </c:pt>
                <c:pt idx="39">
                  <c:v>-4.7136060869280918</c:v>
                </c:pt>
                <c:pt idx="40">
                  <c:v>-4.829393221594982</c:v>
                </c:pt>
                <c:pt idx="41">
                  <c:v>-5.5248157161591758</c:v>
                </c:pt>
                <c:pt idx="42">
                  <c:v>-5.8550227592728152</c:v>
                </c:pt>
                <c:pt idx="43">
                  <c:v>-5.036042485634133</c:v>
                </c:pt>
                <c:pt idx="44">
                  <c:v>-5.2938881462174363</c:v>
                </c:pt>
                <c:pt idx="45">
                  <c:v>-5.1313917440815828</c:v>
                </c:pt>
                <c:pt idx="46">
                  <c:v>-2.3456941705640464</c:v>
                </c:pt>
                <c:pt idx="47">
                  <c:v>-3.9297587885363248</c:v>
                </c:pt>
                <c:pt idx="48">
                  <c:v>-4.3481308171763162</c:v>
                </c:pt>
                <c:pt idx="49">
                  <c:v>-3.3422905844781443</c:v>
                </c:pt>
                <c:pt idx="50">
                  <c:v>-3.6647068694270653</c:v>
                </c:pt>
                <c:pt idx="51">
                  <c:v>-4.4597041455156603</c:v>
                </c:pt>
                <c:pt idx="52">
                  <c:v>-3.7670864432074449</c:v>
                </c:pt>
                <c:pt idx="53">
                  <c:v>-3.0114439450890984</c:v>
                </c:pt>
                <c:pt idx="54">
                  <c:v>-4.8081372401595059</c:v>
                </c:pt>
                <c:pt idx="55">
                  <c:v>-4.5460031509374339</c:v>
                </c:pt>
                <c:pt idx="56">
                  <c:v>-2.4468248472253076</c:v>
                </c:pt>
                <c:pt idx="57">
                  <c:v>-1.9070373293588441</c:v>
                </c:pt>
                <c:pt idx="58">
                  <c:v>-3.1947165881982471</c:v>
                </c:pt>
                <c:pt idx="59">
                  <c:v>-3.5123630499522518</c:v>
                </c:pt>
                <c:pt idx="60">
                  <c:v>-3.0345565102924379</c:v>
                </c:pt>
                <c:pt idx="61">
                  <c:v>-3.1375004883658932</c:v>
                </c:pt>
                <c:pt idx="62">
                  <c:v>-2.1902324682843601</c:v>
                </c:pt>
                <c:pt idx="63">
                  <c:v>-1.8408528037846461</c:v>
                </c:pt>
                <c:pt idx="64">
                  <c:v>-1.2184876262231887</c:v>
                </c:pt>
                <c:pt idx="65">
                  <c:v>-1.7772312829513175</c:v>
                </c:pt>
                <c:pt idx="66">
                  <c:v>-0.94829706632698341</c:v>
                </c:pt>
                <c:pt idx="67">
                  <c:v>7.7212683780753855E-2</c:v>
                </c:pt>
                <c:pt idx="68">
                  <c:v>-1.3029907818320776</c:v>
                </c:pt>
                <c:pt idx="69">
                  <c:v>-2.8218814034678577</c:v>
                </c:pt>
                <c:pt idx="70">
                  <c:v>-4.3653835935847187</c:v>
                </c:pt>
                <c:pt idx="71">
                  <c:v>-5.9782542376245438</c:v>
                </c:pt>
                <c:pt idx="72">
                  <c:v>-5.6615492704600374</c:v>
                </c:pt>
                <c:pt idx="73">
                  <c:v>-5.8988677905593114</c:v>
                </c:pt>
                <c:pt idx="74">
                  <c:v>-5.0188770468550228</c:v>
                </c:pt>
                <c:pt idx="75">
                  <c:v>-5.6770785861141722</c:v>
                </c:pt>
                <c:pt idx="76">
                  <c:v>-3.8273127470805282</c:v>
                </c:pt>
                <c:pt idx="77">
                  <c:v>-3.4116775394671892</c:v>
                </c:pt>
                <c:pt idx="78">
                  <c:v>-3.6701598270902189</c:v>
                </c:pt>
                <c:pt idx="79">
                  <c:v>-4.4787936869200458</c:v>
                </c:pt>
                <c:pt idx="80">
                  <c:v>-3.298987376765969</c:v>
                </c:pt>
                <c:pt idx="81">
                  <c:v>-2.0003052936859822</c:v>
                </c:pt>
                <c:pt idx="82">
                  <c:v>-2.7404484053813816</c:v>
                </c:pt>
                <c:pt idx="83">
                  <c:v>-2.1580946554732572</c:v>
                </c:pt>
                <c:pt idx="84">
                  <c:v>-1.7650888058488694</c:v>
                </c:pt>
                <c:pt idx="85">
                  <c:v>-3.4168427392320506</c:v>
                </c:pt>
                <c:pt idx="86">
                  <c:v>-2.9616894579965254</c:v>
                </c:pt>
                <c:pt idx="87">
                  <c:v>-3.3918762581511794</c:v>
                </c:pt>
                <c:pt idx="88">
                  <c:v>-4.1241707020526652</c:v>
                </c:pt>
                <c:pt idx="89">
                  <c:v>-4.3905775331176535</c:v>
                </c:pt>
                <c:pt idx="90">
                  <c:v>-4.955318916412093</c:v>
                </c:pt>
                <c:pt idx="91">
                  <c:v>-6.3951575786981572</c:v>
                </c:pt>
                <c:pt idx="92">
                  <c:v>-6.6544476215050983</c:v>
                </c:pt>
                <c:pt idx="93">
                  <c:v>-6.250723456809113</c:v>
                </c:pt>
                <c:pt idx="94">
                  <c:v>-4.8313235784808928</c:v>
                </c:pt>
                <c:pt idx="95">
                  <c:v>-4.4595003526913715</c:v>
                </c:pt>
                <c:pt idx="96">
                  <c:v>-4.7334702052353341</c:v>
                </c:pt>
                <c:pt idx="97">
                  <c:v>-5.0055408661085981</c:v>
                </c:pt>
                <c:pt idx="98">
                  <c:v>-4.8408523416179863</c:v>
                </c:pt>
                <c:pt idx="99">
                  <c:v>-5.6737944895098975</c:v>
                </c:pt>
                <c:pt idx="100">
                  <c:v>-5.7790763821290243</c:v>
                </c:pt>
                <c:pt idx="101">
                  <c:v>-6.4238122562718045</c:v>
                </c:pt>
                <c:pt idx="102">
                  <c:v>-6.6959611207802299</c:v>
                </c:pt>
                <c:pt idx="103">
                  <c:v>-5.1240228098564602</c:v>
                </c:pt>
                <c:pt idx="104">
                  <c:v>-5.0946048548006715</c:v>
                </c:pt>
                <c:pt idx="105">
                  <c:v>-3.9822961106418258</c:v>
                </c:pt>
                <c:pt idx="106">
                  <c:v>-3.4803770069070614</c:v>
                </c:pt>
                <c:pt idx="107">
                  <c:v>-3.5660965298403449</c:v>
                </c:pt>
                <c:pt idx="108">
                  <c:v>-1.8528850006762401</c:v>
                </c:pt>
                <c:pt idx="109">
                  <c:v>-0.83337414543672894</c:v>
                </c:pt>
                <c:pt idx="110">
                  <c:v>-0.78472290446435555</c:v>
                </c:pt>
                <c:pt idx="111">
                  <c:v>-1.2225121821456635</c:v>
                </c:pt>
                <c:pt idx="112">
                  <c:v>-1.9643506358988403</c:v>
                </c:pt>
                <c:pt idx="113">
                  <c:v>-1.9523568635689543</c:v>
                </c:pt>
                <c:pt idx="114">
                  <c:v>-0.35895784408403686</c:v>
                </c:pt>
                <c:pt idx="115">
                  <c:v>-0.56616495389255139</c:v>
                </c:pt>
                <c:pt idx="116">
                  <c:v>-1.4459603608979046</c:v>
                </c:pt>
                <c:pt idx="117">
                  <c:v>-2.4590035885609902</c:v>
                </c:pt>
                <c:pt idx="118">
                  <c:v>-1.6898805854415673</c:v>
                </c:pt>
                <c:pt idx="119">
                  <c:v>-2.2863510650669752</c:v>
                </c:pt>
                <c:pt idx="120">
                  <c:v>-2.1130467602854965</c:v>
                </c:pt>
                <c:pt idx="121">
                  <c:v>-1.5601830637840925</c:v>
                </c:pt>
                <c:pt idx="122">
                  <c:v>-1.2646741959733059</c:v>
                </c:pt>
                <c:pt idx="123">
                  <c:v>-1.4525331166160436</c:v>
                </c:pt>
                <c:pt idx="124">
                  <c:v>-2.2137761866411876</c:v>
                </c:pt>
                <c:pt idx="125">
                  <c:v>-1.9625705891186516</c:v>
                </c:pt>
                <c:pt idx="126">
                  <c:v>0.58123155495627854</c:v>
                </c:pt>
                <c:pt idx="127">
                  <c:v>0.54539704615345852</c:v>
                </c:pt>
                <c:pt idx="128">
                  <c:v>0.86087129273575558</c:v>
                </c:pt>
                <c:pt idx="129">
                  <c:v>0.28223238633736791</c:v>
                </c:pt>
                <c:pt idx="130">
                  <c:v>-1.9996625089167326</c:v>
                </c:pt>
                <c:pt idx="131">
                  <c:v>-1.3582746483514208</c:v>
                </c:pt>
                <c:pt idx="132">
                  <c:v>-0.60628800613964307</c:v>
                </c:pt>
                <c:pt idx="133">
                  <c:v>-2.0220532326722007</c:v>
                </c:pt>
                <c:pt idx="134">
                  <c:v>-1.8895964432873562</c:v>
                </c:pt>
                <c:pt idx="135">
                  <c:v>0.69717987869250519</c:v>
                </c:pt>
                <c:pt idx="136">
                  <c:v>0.52585523800820311</c:v>
                </c:pt>
                <c:pt idx="137">
                  <c:v>1.6746694659679919</c:v>
                </c:pt>
                <c:pt idx="138">
                  <c:v>0.39345657789240573</c:v>
                </c:pt>
                <c:pt idx="139">
                  <c:v>-0.30409351868229628</c:v>
                </c:pt>
                <c:pt idx="140">
                  <c:v>-0.11984933682079724</c:v>
                </c:pt>
                <c:pt idx="141">
                  <c:v>-6.1854432565528528E-2</c:v>
                </c:pt>
                <c:pt idx="142">
                  <c:v>0.99452363908706221</c:v>
                </c:pt>
                <c:pt idx="143">
                  <c:v>1.8445612372645745</c:v>
                </c:pt>
                <c:pt idx="144">
                  <c:v>1.4615584771271672</c:v>
                </c:pt>
                <c:pt idx="145">
                  <c:v>1.828553917340072</c:v>
                </c:pt>
                <c:pt idx="146">
                  <c:v>1.6378699178830245</c:v>
                </c:pt>
                <c:pt idx="147">
                  <c:v>0.83945940044659761</c:v>
                </c:pt>
                <c:pt idx="148">
                  <c:v>0.13699977234709193</c:v>
                </c:pt>
                <c:pt idx="149">
                  <c:v>0.29706916131573236</c:v>
                </c:pt>
                <c:pt idx="150">
                  <c:v>0.10613676397779981</c:v>
                </c:pt>
                <c:pt idx="151">
                  <c:v>0.37140356965037019</c:v>
                </c:pt>
                <c:pt idx="152">
                  <c:v>0.35995275704994212</c:v>
                </c:pt>
                <c:pt idx="153">
                  <c:v>1.567970570715858</c:v>
                </c:pt>
                <c:pt idx="154">
                  <c:v>-3.2357561715577798E-2</c:v>
                </c:pt>
                <c:pt idx="155">
                  <c:v>-0.60919223353557495</c:v>
                </c:pt>
                <c:pt idx="156">
                  <c:v>-1.8169121030333848</c:v>
                </c:pt>
                <c:pt idx="157">
                  <c:v>-2.1426002802221231</c:v>
                </c:pt>
                <c:pt idx="158">
                  <c:v>-4.5095474107008231</c:v>
                </c:pt>
                <c:pt idx="159">
                  <c:v>-3.8984197699154004</c:v>
                </c:pt>
                <c:pt idx="160">
                  <c:v>-4.3827766090971734</c:v>
                </c:pt>
                <c:pt idx="161">
                  <c:v>-4.8731907213178847</c:v>
                </c:pt>
                <c:pt idx="162">
                  <c:v>-5.2329965517446988</c:v>
                </c:pt>
                <c:pt idx="163">
                  <c:v>-6.23899563530476</c:v>
                </c:pt>
                <c:pt idx="164">
                  <c:v>-4.7126646861266384</c:v>
                </c:pt>
                <c:pt idx="165">
                  <c:v>-3.6411178345392203</c:v>
                </c:pt>
                <c:pt idx="166">
                  <c:v>-3.3288471345878867</c:v>
                </c:pt>
                <c:pt idx="167">
                  <c:v>-3.0723075032276146</c:v>
                </c:pt>
                <c:pt idx="168">
                  <c:v>-1.044618084201181</c:v>
                </c:pt>
                <c:pt idx="169">
                  <c:v>-0.59390550738446257</c:v>
                </c:pt>
                <c:pt idx="170">
                  <c:v>0.64028158839639726</c:v>
                </c:pt>
                <c:pt idx="171">
                  <c:v>0.33207118005415637</c:v>
                </c:pt>
                <c:pt idx="172">
                  <c:v>0.52694938120082446</c:v>
                </c:pt>
                <c:pt idx="173">
                  <c:v>-1.799577831892929</c:v>
                </c:pt>
                <c:pt idx="174">
                  <c:v>-2.366180059395905</c:v>
                </c:pt>
                <c:pt idx="175">
                  <c:v>-3.9546987989743627</c:v>
                </c:pt>
                <c:pt idx="176">
                  <c:v>-4.5102212821811785</c:v>
                </c:pt>
                <c:pt idx="177">
                  <c:v>-4.152683560301444</c:v>
                </c:pt>
                <c:pt idx="178">
                  <c:v>-2.3002408842638555</c:v>
                </c:pt>
                <c:pt idx="179">
                  <c:v>-1.8249193436293225</c:v>
                </c:pt>
                <c:pt idx="180">
                  <c:v>-0.68971608504299131</c:v>
                </c:pt>
                <c:pt idx="181">
                  <c:v>0.43779856897058567</c:v>
                </c:pt>
                <c:pt idx="182">
                  <c:v>1.4986962501641672</c:v>
                </c:pt>
                <c:pt idx="183">
                  <c:v>0.12112366598190616</c:v>
                </c:pt>
                <c:pt idx="184">
                  <c:v>-0.47969328438952075</c:v>
                </c:pt>
                <c:pt idx="185">
                  <c:v>-2.703182966989802</c:v>
                </c:pt>
                <c:pt idx="186">
                  <c:v>-3.433883450579529</c:v>
                </c:pt>
                <c:pt idx="187">
                  <c:v>-2.8906163467407811</c:v>
                </c:pt>
                <c:pt idx="188">
                  <c:v>-3.3168495839876391</c:v>
                </c:pt>
                <c:pt idx="189">
                  <c:v>-2.9810333452163391</c:v>
                </c:pt>
                <c:pt idx="190">
                  <c:v>-4.1739978467652064</c:v>
                </c:pt>
                <c:pt idx="191">
                  <c:v>-4.6995680628857741</c:v>
                </c:pt>
                <c:pt idx="192">
                  <c:v>-3.6445472288984373</c:v>
                </c:pt>
                <c:pt idx="193">
                  <c:v>-0.71928896722620239</c:v>
                </c:pt>
                <c:pt idx="194">
                  <c:v>-1.566049571915956</c:v>
                </c:pt>
                <c:pt idx="195">
                  <c:v>-1.1644069409517934</c:v>
                </c:pt>
                <c:pt idx="196">
                  <c:v>-8.7630796873550576E-2</c:v>
                </c:pt>
                <c:pt idx="197">
                  <c:v>-1.0364418799542161</c:v>
                </c:pt>
                <c:pt idx="198">
                  <c:v>-0.20258631963107954</c:v>
                </c:pt>
                <c:pt idx="199">
                  <c:v>0.37443885501019702</c:v>
                </c:pt>
                <c:pt idx="200">
                  <c:v>0.60302067645133206</c:v>
                </c:pt>
                <c:pt idx="201">
                  <c:v>0.65679508768759209</c:v>
                </c:pt>
                <c:pt idx="202">
                  <c:v>1.4880667578797038</c:v>
                </c:pt>
                <c:pt idx="203">
                  <c:v>2.4974939498602913</c:v>
                </c:pt>
                <c:pt idx="204">
                  <c:v>2.5600454541334767</c:v>
                </c:pt>
                <c:pt idx="205">
                  <c:v>2.4087671716087038</c:v>
                </c:pt>
                <c:pt idx="206">
                  <c:v>1.6373035302368266</c:v>
                </c:pt>
                <c:pt idx="207">
                  <c:v>1.8263718283977277</c:v>
                </c:pt>
                <c:pt idx="208">
                  <c:v>3.5318143642048212</c:v>
                </c:pt>
                <c:pt idx="209">
                  <c:v>2.0811334927462211</c:v>
                </c:pt>
                <c:pt idx="210">
                  <c:v>1.3677217126646166</c:v>
                </c:pt>
                <c:pt idx="211">
                  <c:v>0.52087192043659092</c:v>
                </c:pt>
                <c:pt idx="212">
                  <c:v>-5.070469382391507E-2</c:v>
                </c:pt>
                <c:pt idx="213">
                  <c:v>-0.14400971306922597</c:v>
                </c:pt>
                <c:pt idx="214">
                  <c:v>-0.96376746739528341</c:v>
                </c:pt>
                <c:pt idx="215">
                  <c:v>-1.9818567994568286</c:v>
                </c:pt>
                <c:pt idx="216">
                  <c:v>-3.692293550461522</c:v>
                </c:pt>
                <c:pt idx="217">
                  <c:v>-2.010348511066975</c:v>
                </c:pt>
                <c:pt idx="218">
                  <c:v>-0.68923583891341877</c:v>
                </c:pt>
                <c:pt idx="219">
                  <c:v>-1.5354575576045955</c:v>
                </c:pt>
                <c:pt idx="220">
                  <c:v>-0.66635796966359495</c:v>
                </c:pt>
                <c:pt idx="221">
                  <c:v>0.31093087604063874</c:v>
                </c:pt>
                <c:pt idx="222">
                  <c:v>0.51697291429082159</c:v>
                </c:pt>
                <c:pt idx="223">
                  <c:v>0.38646763120671068</c:v>
                </c:pt>
                <c:pt idx="224">
                  <c:v>1.0831715067300962</c:v>
                </c:pt>
                <c:pt idx="225">
                  <c:v>1.4005429217049865</c:v>
                </c:pt>
                <c:pt idx="226">
                  <c:v>1.262998308099248</c:v>
                </c:pt>
                <c:pt idx="227">
                  <c:v>0.4226624336133834</c:v>
                </c:pt>
                <c:pt idx="228">
                  <c:v>-0.75320014063096818</c:v>
                </c:pt>
                <c:pt idx="229">
                  <c:v>-6.8623210182509831E-2</c:v>
                </c:pt>
                <c:pt idx="230">
                  <c:v>-1.3085465781573822</c:v>
                </c:pt>
                <c:pt idx="231">
                  <c:v>-0.64411154823541239</c:v>
                </c:pt>
                <c:pt idx="232">
                  <c:v>0.99187763939077567</c:v>
                </c:pt>
                <c:pt idx="233">
                  <c:v>1.2235710227313117</c:v>
                </c:pt>
                <c:pt idx="234">
                  <c:v>0.42284712350772402</c:v>
                </c:pt>
                <c:pt idx="235">
                  <c:v>1.5295090137491836</c:v>
                </c:pt>
                <c:pt idx="236">
                  <c:v>2.0572748861064634</c:v>
                </c:pt>
                <c:pt idx="237">
                  <c:v>1.0948840930176096</c:v>
                </c:pt>
                <c:pt idx="238">
                  <c:v>1.6516141069236587</c:v>
                </c:pt>
                <c:pt idx="239">
                  <c:v>1.3978811522936583</c:v>
                </c:pt>
                <c:pt idx="240">
                  <c:v>1.611658724759591</c:v>
                </c:pt>
                <c:pt idx="241">
                  <c:v>1.6051537842293906</c:v>
                </c:pt>
                <c:pt idx="242">
                  <c:v>2.1029384725070086</c:v>
                </c:pt>
                <c:pt idx="243">
                  <c:v>2.0033473102223254</c:v>
                </c:pt>
                <c:pt idx="244">
                  <c:v>3.2386645122364248</c:v>
                </c:pt>
                <c:pt idx="245">
                  <c:v>5.1640771112366748</c:v>
                </c:pt>
                <c:pt idx="246">
                  <c:v>4.9028728285920984</c:v>
                </c:pt>
                <c:pt idx="247">
                  <c:v>5.1298218817259977</c:v>
                </c:pt>
                <c:pt idx="248">
                  <c:v>4.8927007428823437</c:v>
                </c:pt>
                <c:pt idx="249">
                  <c:v>4.2597597122651578</c:v>
                </c:pt>
                <c:pt idx="250">
                  <c:v>6.3624496541209936</c:v>
                </c:pt>
                <c:pt idx="251">
                  <c:v>5.541166557258653</c:v>
                </c:pt>
                <c:pt idx="252">
                  <c:v>3.5656191763045397</c:v>
                </c:pt>
                <c:pt idx="253">
                  <c:v>2.9309852924196664</c:v>
                </c:pt>
                <c:pt idx="254">
                  <c:v>3.1344428817093268</c:v>
                </c:pt>
                <c:pt idx="255">
                  <c:v>4.3165526866307635</c:v>
                </c:pt>
                <c:pt idx="256">
                  <c:v>3.3712534542061103</c:v>
                </c:pt>
                <c:pt idx="257">
                  <c:v>2.9049463324780156</c:v>
                </c:pt>
                <c:pt idx="258">
                  <c:v>4.6016869877931965</c:v>
                </c:pt>
                <c:pt idx="259">
                  <c:v>5.6293028750124812</c:v>
                </c:pt>
                <c:pt idx="260">
                  <c:v>5.3340999316317657</c:v>
                </c:pt>
                <c:pt idx="261">
                  <c:v>5.0542250061823326</c:v>
                </c:pt>
                <c:pt idx="262">
                  <c:v>3.3229031757931375</c:v>
                </c:pt>
                <c:pt idx="263">
                  <c:v>2.5742400227115896</c:v>
                </c:pt>
                <c:pt idx="264">
                  <c:v>3.1849741639553333</c:v>
                </c:pt>
                <c:pt idx="265">
                  <c:v>4.3962722378916235</c:v>
                </c:pt>
                <c:pt idx="266">
                  <c:v>5.8935119973858541</c:v>
                </c:pt>
                <c:pt idx="267">
                  <c:v>4.6278435164665659</c:v>
                </c:pt>
                <c:pt idx="268">
                  <c:v>2.9199540333043954</c:v>
                </c:pt>
                <c:pt idx="269">
                  <c:v>4.8712087333954148</c:v>
                </c:pt>
                <c:pt idx="270">
                  <c:v>4.6546949644902389</c:v>
                </c:pt>
                <c:pt idx="271">
                  <c:v>4.2348776802481511</c:v>
                </c:pt>
                <c:pt idx="272">
                  <c:v>3.9404911438325203</c:v>
                </c:pt>
                <c:pt idx="273">
                  <c:v>5.4593243821354509</c:v>
                </c:pt>
                <c:pt idx="274">
                  <c:v>5.2826588027137191</c:v>
                </c:pt>
                <c:pt idx="275">
                  <c:v>4.7970488231417159</c:v>
                </c:pt>
                <c:pt idx="276">
                  <c:v>4.9043150837941063</c:v>
                </c:pt>
                <c:pt idx="277">
                  <c:v>5.2875862829782676</c:v>
                </c:pt>
                <c:pt idx="278">
                  <c:v>4.0125601206444594</c:v>
                </c:pt>
                <c:pt idx="279">
                  <c:v>4.7826229554305764</c:v>
                </c:pt>
                <c:pt idx="280">
                  <c:v>4.91421418090935</c:v>
                </c:pt>
                <c:pt idx="281">
                  <c:v>5.260042441199464</c:v>
                </c:pt>
                <c:pt idx="282">
                  <c:v>6.0879120066793515</c:v>
                </c:pt>
                <c:pt idx="283">
                  <c:v>5.9058263816593106</c:v>
                </c:pt>
                <c:pt idx="284">
                  <c:v>6.5892164880885238</c:v>
                </c:pt>
                <c:pt idx="285">
                  <c:v>5.317736784756991</c:v>
                </c:pt>
                <c:pt idx="286">
                  <c:v>6.3291997400294004</c:v>
                </c:pt>
                <c:pt idx="287">
                  <c:v>6.1226710078628503</c:v>
                </c:pt>
                <c:pt idx="288">
                  <c:v>4.8499292522264534</c:v>
                </c:pt>
                <c:pt idx="289">
                  <c:v>3.8494406381889261</c:v>
                </c:pt>
                <c:pt idx="290">
                  <c:v>2.9594443803863593</c:v>
                </c:pt>
                <c:pt idx="291">
                  <c:v>2.9089494363135349</c:v>
                </c:pt>
                <c:pt idx="292">
                  <c:v>1.9670079784118117</c:v>
                </c:pt>
                <c:pt idx="293">
                  <c:v>1.6296778003507462</c:v>
                </c:pt>
                <c:pt idx="294">
                  <c:v>4.0560069472674201</c:v>
                </c:pt>
                <c:pt idx="295">
                  <c:v>3.298307116981714</c:v>
                </c:pt>
                <c:pt idx="296">
                  <c:v>4.0036448549157893</c:v>
                </c:pt>
                <c:pt idx="297">
                  <c:v>2.5631199820874349</c:v>
                </c:pt>
                <c:pt idx="298">
                  <c:v>2.7467514803615698</c:v>
                </c:pt>
                <c:pt idx="299">
                  <c:v>2.665123741031576</c:v>
                </c:pt>
                <c:pt idx="300">
                  <c:v>2.8046514241253089</c:v>
                </c:pt>
                <c:pt idx="301">
                  <c:v>2.3699038415561011</c:v>
                </c:pt>
                <c:pt idx="302">
                  <c:v>3.7403973381117654</c:v>
                </c:pt>
                <c:pt idx="303">
                  <c:v>2.2457324469867217</c:v>
                </c:pt>
                <c:pt idx="304">
                  <c:v>3.3439438792152405</c:v>
                </c:pt>
                <c:pt idx="305">
                  <c:v>3.365056919444632</c:v>
                </c:pt>
                <c:pt idx="306">
                  <c:v>3.054870116230219</c:v>
                </c:pt>
                <c:pt idx="307">
                  <c:v>3.6620068882447132</c:v>
                </c:pt>
                <c:pt idx="308">
                  <c:v>2.7620701010498916</c:v>
                </c:pt>
                <c:pt idx="309">
                  <c:v>3.0469457813149354</c:v>
                </c:pt>
                <c:pt idx="310">
                  <c:v>1.853640922910226</c:v>
                </c:pt>
                <c:pt idx="311">
                  <c:v>2.5698490410686432</c:v>
                </c:pt>
                <c:pt idx="312">
                  <c:v>2.4696187195283508</c:v>
                </c:pt>
                <c:pt idx="313">
                  <c:v>2.4774026970052865</c:v>
                </c:pt>
                <c:pt idx="314">
                  <c:v>1.5498918130863719</c:v>
                </c:pt>
                <c:pt idx="315">
                  <c:v>1.6216810971975437</c:v>
                </c:pt>
                <c:pt idx="316">
                  <c:v>2.9050953583262591</c:v>
                </c:pt>
                <c:pt idx="317">
                  <c:v>1.4957600175842101</c:v>
                </c:pt>
                <c:pt idx="318">
                  <c:v>-0.48229688105100044</c:v>
                </c:pt>
                <c:pt idx="319">
                  <c:v>-2.2731437531921932</c:v>
                </c:pt>
                <c:pt idx="320">
                  <c:v>-2.9871770345140858</c:v>
                </c:pt>
                <c:pt idx="321">
                  <c:v>-2.202016214191663</c:v>
                </c:pt>
                <c:pt idx="322">
                  <c:v>-4.4048834731883577</c:v>
                </c:pt>
                <c:pt idx="323">
                  <c:v>-4.6495759577634255</c:v>
                </c:pt>
                <c:pt idx="324">
                  <c:v>-3.7970619343009915</c:v>
                </c:pt>
                <c:pt idx="325">
                  <c:v>-5.2227898781000786</c:v>
                </c:pt>
                <c:pt idx="326">
                  <c:v>-6.482264051726168</c:v>
                </c:pt>
                <c:pt idx="327">
                  <c:v>-5.920211640678211</c:v>
                </c:pt>
                <c:pt idx="328">
                  <c:v>-5.5960927878770761</c:v>
                </c:pt>
                <c:pt idx="329">
                  <c:v>-4.5757446575508673</c:v>
                </c:pt>
                <c:pt idx="330">
                  <c:v>-3.1038079234817055</c:v>
                </c:pt>
                <c:pt idx="331">
                  <c:v>-2.6236306224843959</c:v>
                </c:pt>
                <c:pt idx="332">
                  <c:v>-2.8838258040219316</c:v>
                </c:pt>
                <c:pt idx="333">
                  <c:v>-2.6590747803257151</c:v>
                </c:pt>
                <c:pt idx="334">
                  <c:v>-2.0939492807336202</c:v>
                </c:pt>
                <c:pt idx="335">
                  <c:v>-1.3548663893557102</c:v>
                </c:pt>
                <c:pt idx="336">
                  <c:v>-1.2965266145608485</c:v>
                </c:pt>
                <c:pt idx="337">
                  <c:v>-0.7892064070745175</c:v>
                </c:pt>
                <c:pt idx="338">
                  <c:v>-2.4016262078944584E-2</c:v>
                </c:pt>
                <c:pt idx="339">
                  <c:v>-1.5833104711791497</c:v>
                </c:pt>
                <c:pt idx="340">
                  <c:v>-3.0571068648135125</c:v>
                </c:pt>
                <c:pt idx="341">
                  <c:v>-3.0873999594567931</c:v>
                </c:pt>
                <c:pt idx="342">
                  <c:v>-3.4120104808308138</c:v>
                </c:pt>
                <c:pt idx="343">
                  <c:v>-3.3288330740416687</c:v>
                </c:pt>
                <c:pt idx="344">
                  <c:v>-5.2848386012906969</c:v>
                </c:pt>
                <c:pt idx="345">
                  <c:v>-4.6956136337846166</c:v>
                </c:pt>
                <c:pt idx="346">
                  <c:v>-5.6764022745656586</c:v>
                </c:pt>
                <c:pt idx="347">
                  <c:v>-5.9537919411101257</c:v>
                </c:pt>
                <c:pt idx="348">
                  <c:v>-5.7771996492713722</c:v>
                </c:pt>
                <c:pt idx="349">
                  <c:v>-6.4084871375149861</c:v>
                </c:pt>
                <c:pt idx="350">
                  <c:v>-4.5754171302458309</c:v>
                </c:pt>
                <c:pt idx="351">
                  <c:v>-4.8657863092762295</c:v>
                </c:pt>
                <c:pt idx="352">
                  <c:v>-6.4511540448863487</c:v>
                </c:pt>
                <c:pt idx="353">
                  <c:v>-8.6156944834331082</c:v>
                </c:pt>
                <c:pt idx="354">
                  <c:v>-8.4220624341030188</c:v>
                </c:pt>
                <c:pt idx="355">
                  <c:v>-8.6214018943353192</c:v>
                </c:pt>
                <c:pt idx="356">
                  <c:v>-8.7527876664653874</c:v>
                </c:pt>
                <c:pt idx="357">
                  <c:v>-9.2042812288130573</c:v>
                </c:pt>
                <c:pt idx="358">
                  <c:v>-8.0816385215261217</c:v>
                </c:pt>
                <c:pt idx="359">
                  <c:v>-8.658241222224115</c:v>
                </c:pt>
                <c:pt idx="360">
                  <c:v>-7.72114075600427</c:v>
                </c:pt>
                <c:pt idx="361">
                  <c:v>-9.2035875234628222</c:v>
                </c:pt>
                <c:pt idx="362">
                  <c:v>-8.1124841955067577</c:v>
                </c:pt>
                <c:pt idx="363">
                  <c:v>-7.5683425334907337</c:v>
                </c:pt>
                <c:pt idx="364">
                  <c:v>-7.7475340619144069</c:v>
                </c:pt>
                <c:pt idx="365">
                  <c:v>-8.3784697939889838</c:v>
                </c:pt>
                <c:pt idx="366">
                  <c:v>-7.1387534531155419</c:v>
                </c:pt>
                <c:pt idx="367">
                  <c:v>-7.6890490557059357</c:v>
                </c:pt>
                <c:pt idx="368">
                  <c:v>-5.7122231670935832</c:v>
                </c:pt>
                <c:pt idx="369">
                  <c:v>-5.0262547820116756</c:v>
                </c:pt>
                <c:pt idx="370">
                  <c:v>-4.3029276135877152</c:v>
                </c:pt>
                <c:pt idx="371">
                  <c:v>-3.9387282810480668</c:v>
                </c:pt>
                <c:pt idx="372">
                  <c:v>-5.345510715525907</c:v>
                </c:pt>
                <c:pt idx="373">
                  <c:v>-6.5929822887793552</c:v>
                </c:pt>
                <c:pt idx="374">
                  <c:v>-5.6084974560321754</c:v>
                </c:pt>
                <c:pt idx="375">
                  <c:v>-6.9250761306556257</c:v>
                </c:pt>
                <c:pt idx="376">
                  <c:v>-7.7360401762504933</c:v>
                </c:pt>
                <c:pt idx="377">
                  <c:v>-7.6639695941396324</c:v>
                </c:pt>
                <c:pt idx="378">
                  <c:v>-7.0696027698995643</c:v>
                </c:pt>
                <c:pt idx="379">
                  <c:v>-6.72342719409734</c:v>
                </c:pt>
                <c:pt idx="380">
                  <c:v>-6.85033637639091</c:v>
                </c:pt>
                <c:pt idx="381">
                  <c:v>-6.4074404731156278</c:v>
                </c:pt>
                <c:pt idx="382">
                  <c:v>-7.001692924294117</c:v>
                </c:pt>
                <c:pt idx="383">
                  <c:v>-7.3855406623476441</c:v>
                </c:pt>
                <c:pt idx="384">
                  <c:v>-8.1927158859477629</c:v>
                </c:pt>
                <c:pt idx="385">
                  <c:v>-9.0322340985670238</c:v>
                </c:pt>
                <c:pt idx="386">
                  <c:v>-7.5549102831225516</c:v>
                </c:pt>
                <c:pt idx="387">
                  <c:v>-6.7715690880221455</c:v>
                </c:pt>
                <c:pt idx="388">
                  <c:v>-5.7542457177068673</c:v>
                </c:pt>
                <c:pt idx="389">
                  <c:v>-4.4693182637075886</c:v>
                </c:pt>
                <c:pt idx="390">
                  <c:v>-3.9306805084520886</c:v>
                </c:pt>
                <c:pt idx="391">
                  <c:v>-4.870638942157016</c:v>
                </c:pt>
                <c:pt idx="392">
                  <c:v>-5.7426357456114729</c:v>
                </c:pt>
                <c:pt idx="393">
                  <c:v>-5.3301422624068708</c:v>
                </c:pt>
                <c:pt idx="394">
                  <c:v>-6.623659511825295</c:v>
                </c:pt>
                <c:pt idx="395">
                  <c:v>-5.4994109254042733</c:v>
                </c:pt>
                <c:pt idx="396">
                  <c:v>-4.1693218026318934</c:v>
                </c:pt>
                <c:pt idx="397">
                  <c:v>-3.2115974567980992</c:v>
                </c:pt>
                <c:pt idx="398">
                  <c:v>-4.3959675315933113</c:v>
                </c:pt>
                <c:pt idx="399">
                  <c:v>-2.9257129283593115</c:v>
                </c:pt>
                <c:pt idx="400">
                  <c:v>-2.5561560527891509</c:v>
                </c:pt>
                <c:pt idx="401">
                  <c:v>-2.7177542347453452</c:v>
                </c:pt>
                <c:pt idx="402">
                  <c:v>-4.0684659618202614</c:v>
                </c:pt>
                <c:pt idx="403">
                  <c:v>-4.0393690391587258</c:v>
                </c:pt>
                <c:pt idx="404">
                  <c:v>-5.6757702671854853</c:v>
                </c:pt>
                <c:pt idx="405">
                  <c:v>-6.0366063702852619</c:v>
                </c:pt>
                <c:pt idx="406">
                  <c:v>-6.4363335897393137</c:v>
                </c:pt>
                <c:pt idx="407">
                  <c:v>-5.8226874734895109</c:v>
                </c:pt>
                <c:pt idx="408">
                  <c:v>-7.1932621979363267</c:v>
                </c:pt>
                <c:pt idx="409">
                  <c:v>-5.2611905709134366</c:v>
                </c:pt>
                <c:pt idx="410">
                  <c:v>-4.8408224512281137</c:v>
                </c:pt>
                <c:pt idx="411">
                  <c:v>-4.5274509078985945</c:v>
                </c:pt>
                <c:pt idx="412">
                  <c:v>-4.1878797983936993</c:v>
                </c:pt>
                <c:pt idx="413">
                  <c:v>-4.0887219191524853</c:v>
                </c:pt>
                <c:pt idx="414">
                  <c:v>-5.6949114294448151</c:v>
                </c:pt>
                <c:pt idx="415">
                  <c:v>-6.0808112177779305</c:v>
                </c:pt>
                <c:pt idx="416">
                  <c:v>-6.6496195969180389</c:v>
                </c:pt>
                <c:pt idx="417">
                  <c:v>-7.8317397060646901</c:v>
                </c:pt>
                <c:pt idx="418">
                  <c:v>-8.1232906129118341</c:v>
                </c:pt>
                <c:pt idx="419">
                  <c:v>-9.0150764490785349</c:v>
                </c:pt>
                <c:pt idx="420">
                  <c:v>-8.0928768069405379</c:v>
                </c:pt>
                <c:pt idx="421">
                  <c:v>-8.6237702993999523</c:v>
                </c:pt>
                <c:pt idx="422">
                  <c:v>-6.7083515975249517</c:v>
                </c:pt>
                <c:pt idx="423">
                  <c:v>-6.621030657341751</c:v>
                </c:pt>
                <c:pt idx="424">
                  <c:v>-6.1039366022166774</c:v>
                </c:pt>
                <c:pt idx="425">
                  <c:v>-7.413578177868243</c:v>
                </c:pt>
                <c:pt idx="426">
                  <c:v>-8.6498557577044615</c:v>
                </c:pt>
                <c:pt idx="427">
                  <c:v>-8.0856037148770863</c:v>
                </c:pt>
                <c:pt idx="428">
                  <c:v>-9.2538926221550142</c:v>
                </c:pt>
                <c:pt idx="429">
                  <c:v>-10.603590027466538</c:v>
                </c:pt>
                <c:pt idx="430">
                  <c:v>-9.43609468107101</c:v>
                </c:pt>
                <c:pt idx="431">
                  <c:v>-9.844983349886089</c:v>
                </c:pt>
                <c:pt idx="432">
                  <c:v>-10.054400445196665</c:v>
                </c:pt>
                <c:pt idx="433">
                  <c:v>-9.7717310762383889</c:v>
                </c:pt>
                <c:pt idx="434">
                  <c:v>-8.4394804813917812</c:v>
                </c:pt>
                <c:pt idx="435">
                  <c:v>-9.8006771686467058</c:v>
                </c:pt>
                <c:pt idx="436">
                  <c:v>-8.9955055833087627</c:v>
                </c:pt>
                <c:pt idx="437">
                  <c:v>-8.8935351324730263</c:v>
                </c:pt>
                <c:pt idx="438">
                  <c:v>-8.3648275510325618</c:v>
                </c:pt>
                <c:pt idx="439">
                  <c:v>-8.2489705865547673</c:v>
                </c:pt>
                <c:pt idx="440">
                  <c:v>-8.8024407287431146</c:v>
                </c:pt>
                <c:pt idx="441">
                  <c:v>-7.8344955589736571</c:v>
                </c:pt>
                <c:pt idx="442">
                  <c:v>-7.3128096064641737</c:v>
                </c:pt>
                <c:pt idx="443">
                  <c:v>-6.8059103069078546</c:v>
                </c:pt>
                <c:pt idx="444">
                  <c:v>-6.8730108784027948</c:v>
                </c:pt>
                <c:pt idx="445">
                  <c:v>-6.1205325174784724</c:v>
                </c:pt>
                <c:pt idx="446">
                  <c:v>-6.4841497379085595</c:v>
                </c:pt>
                <c:pt idx="447">
                  <c:v>-7.6389684184542404</c:v>
                </c:pt>
                <c:pt idx="448">
                  <c:v>-7.8799846532919169</c:v>
                </c:pt>
                <c:pt idx="449">
                  <c:v>-8.5899339158718497</c:v>
                </c:pt>
                <c:pt idx="450">
                  <c:v>-9.8556422571349032</c:v>
                </c:pt>
                <c:pt idx="451">
                  <c:v>-11.248223001101808</c:v>
                </c:pt>
                <c:pt idx="452">
                  <c:v>-10.775567237831718</c:v>
                </c:pt>
                <c:pt idx="453">
                  <c:v>-10.346783601738869</c:v>
                </c:pt>
                <c:pt idx="454">
                  <c:v>-10.976430421939444</c:v>
                </c:pt>
                <c:pt idx="455">
                  <c:v>-10.464023367960475</c:v>
                </c:pt>
                <c:pt idx="456">
                  <c:v>-10.97635014610481</c:v>
                </c:pt>
                <c:pt idx="457">
                  <c:v>-11.219180632612201</c:v>
                </c:pt>
                <c:pt idx="458">
                  <c:v>-11.209802787739259</c:v>
                </c:pt>
                <c:pt idx="459">
                  <c:v>-9.9473603782169544</c:v>
                </c:pt>
                <c:pt idx="460">
                  <c:v>-9.9495250761684986</c:v>
                </c:pt>
                <c:pt idx="461">
                  <c:v>-11.41396037040851</c:v>
                </c:pt>
                <c:pt idx="462">
                  <c:v>-13.843516078004392</c:v>
                </c:pt>
                <c:pt idx="463">
                  <c:v>-13.37755325658865</c:v>
                </c:pt>
                <c:pt idx="464">
                  <c:v>-14.904279235637425</c:v>
                </c:pt>
                <c:pt idx="465">
                  <c:v>-14.176727332663226</c:v>
                </c:pt>
                <c:pt idx="466">
                  <c:v>-13.154150577321447</c:v>
                </c:pt>
                <c:pt idx="467">
                  <c:v>-14.069083046139703</c:v>
                </c:pt>
                <c:pt idx="468">
                  <c:v>-15.218880493879354</c:v>
                </c:pt>
                <c:pt idx="469">
                  <c:v>-15.856966734169616</c:v>
                </c:pt>
                <c:pt idx="470">
                  <c:v>-17.248285966591347</c:v>
                </c:pt>
                <c:pt idx="471">
                  <c:v>-17.011185294299459</c:v>
                </c:pt>
                <c:pt idx="472">
                  <c:v>-17.543457194256298</c:v>
                </c:pt>
                <c:pt idx="473">
                  <c:v>-16.380616690474394</c:v>
                </c:pt>
                <c:pt idx="474">
                  <c:v>-16.613976726322065</c:v>
                </c:pt>
                <c:pt idx="475">
                  <c:v>-16.945837231669309</c:v>
                </c:pt>
                <c:pt idx="476">
                  <c:v>-17.256802492245352</c:v>
                </c:pt>
                <c:pt idx="477">
                  <c:v>-18.952567741318358</c:v>
                </c:pt>
                <c:pt idx="478">
                  <c:v>-18.2953845376034</c:v>
                </c:pt>
                <c:pt idx="479">
                  <c:v>-16.092286454797389</c:v>
                </c:pt>
                <c:pt idx="480">
                  <c:v>-16.119613864169672</c:v>
                </c:pt>
                <c:pt idx="481">
                  <c:v>-16.532189667727149</c:v>
                </c:pt>
                <c:pt idx="482">
                  <c:v>-15.057690944949552</c:v>
                </c:pt>
                <c:pt idx="483">
                  <c:v>-14.431282600693816</c:v>
                </c:pt>
                <c:pt idx="484">
                  <c:v>-13.09308344454697</c:v>
                </c:pt>
                <c:pt idx="485">
                  <c:v>-13.200163863076556</c:v>
                </c:pt>
                <c:pt idx="486">
                  <c:v>-13.157579507587315</c:v>
                </c:pt>
                <c:pt idx="487">
                  <c:v>-11.90699862455395</c:v>
                </c:pt>
                <c:pt idx="488">
                  <c:v>-10.027112173095929</c:v>
                </c:pt>
                <c:pt idx="489">
                  <c:v>-9.630168638260221</c:v>
                </c:pt>
                <c:pt idx="490">
                  <c:v>-9.0759611396796718</c:v>
                </c:pt>
                <c:pt idx="491">
                  <c:v>-7.9134588389221472</c:v>
                </c:pt>
                <c:pt idx="492">
                  <c:v>-8.1275879628216305</c:v>
                </c:pt>
                <c:pt idx="493">
                  <c:v>-7.0029948323153635</c:v>
                </c:pt>
                <c:pt idx="494">
                  <c:v>-5.5584887304039459</c:v>
                </c:pt>
                <c:pt idx="495">
                  <c:v>-6.2596405935182133</c:v>
                </c:pt>
                <c:pt idx="496">
                  <c:v>-6.4026421335132859</c:v>
                </c:pt>
                <c:pt idx="497">
                  <c:v>-5.3573335284397139</c:v>
                </c:pt>
                <c:pt idx="498">
                  <c:v>-6.6887920742889726</c:v>
                </c:pt>
                <c:pt idx="499">
                  <c:v>-6.5775548865482385</c:v>
                </c:pt>
                <c:pt idx="500">
                  <c:v>-6.5679175116524906</c:v>
                </c:pt>
                <c:pt idx="501">
                  <c:v>-4.6059352106862841</c:v>
                </c:pt>
                <c:pt idx="502">
                  <c:v>-5.1626798223663428</c:v>
                </c:pt>
                <c:pt idx="503">
                  <c:v>-4.9864058062086265</c:v>
                </c:pt>
                <c:pt idx="504">
                  <c:v>-5.3167520869223939</c:v>
                </c:pt>
                <c:pt idx="505">
                  <c:v>-6.5363647415911208</c:v>
                </c:pt>
                <c:pt idx="506">
                  <c:v>-6.8593626632775155</c:v>
                </c:pt>
                <c:pt idx="507">
                  <c:v>-7.5385574536897542</c:v>
                </c:pt>
                <c:pt idx="508">
                  <c:v>-9.1835856776795595</c:v>
                </c:pt>
                <c:pt idx="509">
                  <c:v>-8.8539910417161636</c:v>
                </c:pt>
                <c:pt idx="510">
                  <c:v>-8.9992123868882192</c:v>
                </c:pt>
                <c:pt idx="511">
                  <c:v>-8.3676906850754857</c:v>
                </c:pt>
                <c:pt idx="512">
                  <c:v>-10.137040535080471</c:v>
                </c:pt>
                <c:pt idx="513">
                  <c:v>-10.81721727398501</c:v>
                </c:pt>
                <c:pt idx="514">
                  <c:v>-11.12183837564889</c:v>
                </c:pt>
                <c:pt idx="515">
                  <c:v>-12.654156504314436</c:v>
                </c:pt>
                <c:pt idx="516">
                  <c:v>-12.583717674503907</c:v>
                </c:pt>
                <c:pt idx="517">
                  <c:v>-12.018740613043473</c:v>
                </c:pt>
                <c:pt idx="518">
                  <c:v>-12.004664868363713</c:v>
                </c:pt>
                <c:pt idx="519">
                  <c:v>-12.125921647721762</c:v>
                </c:pt>
                <c:pt idx="520">
                  <c:v>-12.185778832602987</c:v>
                </c:pt>
                <c:pt idx="521">
                  <c:v>-11.707343607739963</c:v>
                </c:pt>
                <c:pt idx="522">
                  <c:v>-9.8987763864739975</c:v>
                </c:pt>
                <c:pt idx="523">
                  <c:v>-8.6312058274100405</c:v>
                </c:pt>
                <c:pt idx="524">
                  <c:v>-8.6793895433999193</c:v>
                </c:pt>
                <c:pt idx="525">
                  <c:v>-8.5556783083873551</c:v>
                </c:pt>
                <c:pt idx="526">
                  <c:v>-9.5290581143722637</c:v>
                </c:pt>
                <c:pt idx="527">
                  <c:v>-10.946657596370091</c:v>
                </c:pt>
                <c:pt idx="528">
                  <c:v>-10.671898329027098</c:v>
                </c:pt>
                <c:pt idx="529">
                  <c:v>-10.396932052110801</c:v>
                </c:pt>
                <c:pt idx="530">
                  <c:v>-11.663778885494501</c:v>
                </c:pt>
                <c:pt idx="531">
                  <c:v>-12.161796262037065</c:v>
                </c:pt>
                <c:pt idx="532">
                  <c:v>-11.373506129220409</c:v>
                </c:pt>
                <c:pt idx="533">
                  <c:v>-11.909262515741956</c:v>
                </c:pt>
                <c:pt idx="534">
                  <c:v>-12.910263753268669</c:v>
                </c:pt>
                <c:pt idx="535">
                  <c:v>-13.750668805862313</c:v>
                </c:pt>
                <c:pt idx="536">
                  <c:v>-12.431981662217048</c:v>
                </c:pt>
                <c:pt idx="537">
                  <c:v>-11.418217508034051</c:v>
                </c:pt>
                <c:pt idx="538">
                  <c:v>-12.157217456453623</c:v>
                </c:pt>
                <c:pt idx="539">
                  <c:v>-11.694282756866443</c:v>
                </c:pt>
                <c:pt idx="540">
                  <c:v>-12.793545845074867</c:v>
                </c:pt>
                <c:pt idx="541">
                  <c:v>-13.305521674135584</c:v>
                </c:pt>
                <c:pt idx="542">
                  <c:v>-13.183718667653203</c:v>
                </c:pt>
                <c:pt idx="543">
                  <c:v>-15.228978145531503</c:v>
                </c:pt>
                <c:pt idx="544">
                  <c:v>-16.453785215739746</c:v>
                </c:pt>
                <c:pt idx="545">
                  <c:v>-17.458567945719189</c:v>
                </c:pt>
                <c:pt idx="546">
                  <c:v>-17.005115377780374</c:v>
                </c:pt>
                <c:pt idx="547">
                  <c:v>-15.404521993345528</c:v>
                </c:pt>
                <c:pt idx="548">
                  <c:v>-16.401022538810114</c:v>
                </c:pt>
                <c:pt idx="549">
                  <c:v>-16.7568070397244</c:v>
                </c:pt>
                <c:pt idx="550">
                  <c:v>-15.474467783925558</c:v>
                </c:pt>
                <c:pt idx="551">
                  <c:v>-17.706794105355492</c:v>
                </c:pt>
                <c:pt idx="552">
                  <c:v>-17.141393751905817</c:v>
                </c:pt>
                <c:pt idx="553">
                  <c:v>-16.990460356702226</c:v>
                </c:pt>
                <c:pt idx="554">
                  <c:v>-17.811622995351325</c:v>
                </c:pt>
                <c:pt idx="555">
                  <c:v>-20.060687110482288</c:v>
                </c:pt>
                <c:pt idx="556">
                  <c:v>-19.311310588126233</c:v>
                </c:pt>
                <c:pt idx="557">
                  <c:v>-17.831318690759694</c:v>
                </c:pt>
                <c:pt idx="558">
                  <c:v>-18.020697990754904</c:v>
                </c:pt>
                <c:pt idx="559">
                  <c:v>-17.753341854763324</c:v>
                </c:pt>
                <c:pt idx="560">
                  <c:v>-18.144677758761642</c:v>
                </c:pt>
                <c:pt idx="561">
                  <c:v>-17.967513550939668</c:v>
                </c:pt>
                <c:pt idx="562">
                  <c:v>-18.095956006864075</c:v>
                </c:pt>
                <c:pt idx="563">
                  <c:v>-16.889110138434813</c:v>
                </c:pt>
                <c:pt idx="564">
                  <c:v>-17.508904700925427</c:v>
                </c:pt>
                <c:pt idx="565">
                  <c:v>-19.083521377666095</c:v>
                </c:pt>
                <c:pt idx="566">
                  <c:v>-19.476337250276615</c:v>
                </c:pt>
                <c:pt idx="567">
                  <c:v>-19.98466161264189</c:v>
                </c:pt>
                <c:pt idx="568">
                  <c:v>-20.464188676214867</c:v>
                </c:pt>
                <c:pt idx="569">
                  <c:v>-21.856108021628561</c:v>
                </c:pt>
                <c:pt idx="570">
                  <c:v>-23.135158089073656</c:v>
                </c:pt>
                <c:pt idx="571">
                  <c:v>-25.601258177555788</c:v>
                </c:pt>
                <c:pt idx="572">
                  <c:v>-26.36375507054283</c:v>
                </c:pt>
                <c:pt idx="573">
                  <c:v>-25.185781611979888</c:v>
                </c:pt>
                <c:pt idx="574">
                  <c:v>-25.752923336533765</c:v>
                </c:pt>
                <c:pt idx="575">
                  <c:v>-27.824114697433348</c:v>
                </c:pt>
                <c:pt idx="576">
                  <c:v>-27.389072678456351</c:v>
                </c:pt>
                <c:pt idx="577">
                  <c:v>-27.540623709150356</c:v>
                </c:pt>
                <c:pt idx="578">
                  <c:v>-24.98272840570905</c:v>
                </c:pt>
                <c:pt idx="579">
                  <c:v>-24.982500599559923</c:v>
                </c:pt>
                <c:pt idx="580">
                  <c:v>-23.654205712180978</c:v>
                </c:pt>
                <c:pt idx="581">
                  <c:v>-23.337315449837892</c:v>
                </c:pt>
                <c:pt idx="582">
                  <c:v>-23.656481689908915</c:v>
                </c:pt>
                <c:pt idx="583">
                  <c:v>-23.602548207018923</c:v>
                </c:pt>
                <c:pt idx="584">
                  <c:v>-22.914389531429837</c:v>
                </c:pt>
                <c:pt idx="585">
                  <c:v>-24.838726702399221</c:v>
                </c:pt>
                <c:pt idx="586">
                  <c:v>-23.970311807910914</c:v>
                </c:pt>
                <c:pt idx="587">
                  <c:v>-23.615529800343516</c:v>
                </c:pt>
                <c:pt idx="588">
                  <c:v>-23.304438615241029</c:v>
                </c:pt>
                <c:pt idx="589">
                  <c:v>-24.80886822068187</c:v>
                </c:pt>
                <c:pt idx="590">
                  <c:v>-23.706030865116126</c:v>
                </c:pt>
                <c:pt idx="591">
                  <c:v>-24.290198838644436</c:v>
                </c:pt>
                <c:pt idx="592">
                  <c:v>-22.926353380189123</c:v>
                </c:pt>
                <c:pt idx="593">
                  <c:v>-22.737865727475725</c:v>
                </c:pt>
                <c:pt idx="594">
                  <c:v>-21.26346443269027</c:v>
                </c:pt>
                <c:pt idx="595">
                  <c:v>-20.711458395575914</c:v>
                </c:pt>
                <c:pt idx="596">
                  <c:v>-22.365428437653822</c:v>
                </c:pt>
                <c:pt idx="597">
                  <c:v>-23.125297416860253</c:v>
                </c:pt>
                <c:pt idx="598">
                  <c:v>-23.051207052622427</c:v>
                </c:pt>
                <c:pt idx="599">
                  <c:v>-21.145286741198429</c:v>
                </c:pt>
                <c:pt idx="600">
                  <c:v>-19.932069166341496</c:v>
                </c:pt>
                <c:pt idx="601">
                  <c:v>-19.170818688726829</c:v>
                </c:pt>
                <c:pt idx="602">
                  <c:v>-18.325082150967159</c:v>
                </c:pt>
                <c:pt idx="603">
                  <c:v>-19.579361521586232</c:v>
                </c:pt>
                <c:pt idx="604">
                  <c:v>-19.135108377447853</c:v>
                </c:pt>
                <c:pt idx="605">
                  <c:v>-18.41081267407721</c:v>
                </c:pt>
                <c:pt idx="606">
                  <c:v>-17.674166404715784</c:v>
                </c:pt>
                <c:pt idx="607">
                  <c:v>-18.379590111920717</c:v>
                </c:pt>
                <c:pt idx="608">
                  <c:v>-17.79612309924914</c:v>
                </c:pt>
                <c:pt idx="609">
                  <c:v>-19.412263746612279</c:v>
                </c:pt>
                <c:pt idx="610">
                  <c:v>-19.921875917344511</c:v>
                </c:pt>
                <c:pt idx="611">
                  <c:v>-19.115530097792565</c:v>
                </c:pt>
                <c:pt idx="612">
                  <c:v>-19.491111319570841</c:v>
                </c:pt>
                <c:pt idx="613">
                  <c:v>-17.614729885443005</c:v>
                </c:pt>
                <c:pt idx="614">
                  <c:v>-18.465078082579147</c:v>
                </c:pt>
                <c:pt idx="615">
                  <c:v>-16.843038179385502</c:v>
                </c:pt>
                <c:pt idx="616">
                  <c:v>-17.137940995286339</c:v>
                </c:pt>
                <c:pt idx="617">
                  <c:v>-18.00898784452658</c:v>
                </c:pt>
                <c:pt idx="618">
                  <c:v>-18.379871784413453</c:v>
                </c:pt>
                <c:pt idx="619">
                  <c:v>-19.019207238349768</c:v>
                </c:pt>
                <c:pt idx="620">
                  <c:v>-20.408590025606262</c:v>
                </c:pt>
                <c:pt idx="621">
                  <c:v>-19.953512017633383</c:v>
                </c:pt>
                <c:pt idx="622">
                  <c:v>-20.216839233637163</c:v>
                </c:pt>
                <c:pt idx="623">
                  <c:v>-21.729041577085894</c:v>
                </c:pt>
                <c:pt idx="624">
                  <c:v>-22.907832316214087</c:v>
                </c:pt>
                <c:pt idx="625">
                  <c:v>-22.853643186533628</c:v>
                </c:pt>
                <c:pt idx="626">
                  <c:v>-22.842668850264573</c:v>
                </c:pt>
                <c:pt idx="627">
                  <c:v>-23.288961477737534</c:v>
                </c:pt>
                <c:pt idx="628">
                  <c:v>-23.032446922949344</c:v>
                </c:pt>
                <c:pt idx="629">
                  <c:v>-21.128837267927228</c:v>
                </c:pt>
                <c:pt idx="630">
                  <c:v>-21.170138331416602</c:v>
                </c:pt>
                <c:pt idx="631">
                  <c:v>-22.215118985720782</c:v>
                </c:pt>
                <c:pt idx="632">
                  <c:v>-20.322631688536582</c:v>
                </c:pt>
                <c:pt idx="633">
                  <c:v>-19.663038608940344</c:v>
                </c:pt>
                <c:pt idx="634">
                  <c:v>-20.635652155860424</c:v>
                </c:pt>
                <c:pt idx="635">
                  <c:v>-20.961873147822704</c:v>
                </c:pt>
                <c:pt idx="636">
                  <c:v>-20.722613785164594</c:v>
                </c:pt>
                <c:pt idx="637">
                  <c:v>-20.392833443964328</c:v>
                </c:pt>
                <c:pt idx="638">
                  <c:v>-21.094064755432083</c:v>
                </c:pt>
                <c:pt idx="639">
                  <c:v>-20.631722404629329</c:v>
                </c:pt>
                <c:pt idx="640">
                  <c:v>-19.624161664669376</c:v>
                </c:pt>
                <c:pt idx="641">
                  <c:v>-19.375008851893007</c:v>
                </c:pt>
                <c:pt idx="642">
                  <c:v>-21.07083829602179</c:v>
                </c:pt>
                <c:pt idx="643">
                  <c:v>-21.295849183738547</c:v>
                </c:pt>
                <c:pt idx="644">
                  <c:v>-22.760932867586419</c:v>
                </c:pt>
                <c:pt idx="645">
                  <c:v>-22.912759677312234</c:v>
                </c:pt>
                <c:pt idx="646">
                  <c:v>-22.114106753304167</c:v>
                </c:pt>
                <c:pt idx="647">
                  <c:v>-23.146766393788322</c:v>
                </c:pt>
                <c:pt idx="648">
                  <c:v>-24.33438184021394</c:v>
                </c:pt>
                <c:pt idx="649">
                  <c:v>-24.568598310500619</c:v>
                </c:pt>
                <c:pt idx="650">
                  <c:v>-24.043689272092344</c:v>
                </c:pt>
                <c:pt idx="651">
                  <c:v>-24.128225134573828</c:v>
                </c:pt>
                <c:pt idx="652">
                  <c:v>-25.973832541714344</c:v>
                </c:pt>
                <c:pt idx="653">
                  <c:v>-27.960275987496786</c:v>
                </c:pt>
                <c:pt idx="654">
                  <c:v>-26.190189753273387</c:v>
                </c:pt>
                <c:pt idx="655">
                  <c:v>-26.112966494191465</c:v>
                </c:pt>
                <c:pt idx="656">
                  <c:v>-26.484296934440302</c:v>
                </c:pt>
                <c:pt idx="657">
                  <c:v>-25.335056182444102</c:v>
                </c:pt>
                <c:pt idx="658">
                  <c:v>-25.701052211639446</c:v>
                </c:pt>
                <c:pt idx="659">
                  <c:v>-25.600500517376791</c:v>
                </c:pt>
                <c:pt idx="660">
                  <c:v>-27.111073722903065</c:v>
                </c:pt>
                <c:pt idx="661">
                  <c:v>-27.519202763469288</c:v>
                </c:pt>
                <c:pt idx="662">
                  <c:v>-27.000246490103994</c:v>
                </c:pt>
                <c:pt idx="663">
                  <c:v>-27.50700873941323</c:v>
                </c:pt>
                <c:pt idx="664">
                  <c:v>-27.213222095971311</c:v>
                </c:pt>
                <c:pt idx="665">
                  <c:v>-26.114974231777566</c:v>
                </c:pt>
                <c:pt idx="666">
                  <c:v>-25.775122899140527</c:v>
                </c:pt>
                <c:pt idx="667">
                  <c:v>-25.728687856217103</c:v>
                </c:pt>
                <c:pt idx="668">
                  <c:v>-26.293422835225766</c:v>
                </c:pt>
                <c:pt idx="669">
                  <c:v>-26.330283693243793</c:v>
                </c:pt>
                <c:pt idx="670">
                  <c:v>-26.119631462589059</c:v>
                </c:pt>
                <c:pt idx="671">
                  <c:v>-25.094880459804745</c:v>
                </c:pt>
                <c:pt idx="672">
                  <c:v>-26.25755884264624</c:v>
                </c:pt>
                <c:pt idx="673">
                  <c:v>-23.995486023446059</c:v>
                </c:pt>
                <c:pt idx="674">
                  <c:v>-25.631412073366679</c:v>
                </c:pt>
                <c:pt idx="675">
                  <c:v>-26.036859325276374</c:v>
                </c:pt>
                <c:pt idx="676">
                  <c:v>-25.860791139635047</c:v>
                </c:pt>
                <c:pt idx="677">
                  <c:v>-24.974561856279003</c:v>
                </c:pt>
                <c:pt idx="678">
                  <c:v>-24.627693191279786</c:v>
                </c:pt>
                <c:pt idx="679">
                  <c:v>-25.001422264400201</c:v>
                </c:pt>
                <c:pt idx="680">
                  <c:v>-26.319080671586704</c:v>
                </c:pt>
                <c:pt idx="681">
                  <c:v>-26.628877706607479</c:v>
                </c:pt>
                <c:pt idx="682">
                  <c:v>-26.380736038237377</c:v>
                </c:pt>
                <c:pt idx="683">
                  <c:v>-26.107934582321931</c:v>
                </c:pt>
                <c:pt idx="684">
                  <c:v>-26.34970787849544</c:v>
                </c:pt>
                <c:pt idx="685">
                  <c:v>-28.165418968025065</c:v>
                </c:pt>
                <c:pt idx="686">
                  <c:v>-28.607005896393051</c:v>
                </c:pt>
                <c:pt idx="687">
                  <c:v>-30.702287878267938</c:v>
                </c:pt>
                <c:pt idx="688">
                  <c:v>-30.366006563379646</c:v>
                </c:pt>
                <c:pt idx="689">
                  <c:v>-28.372167615983699</c:v>
                </c:pt>
                <c:pt idx="690">
                  <c:v>-29.499185964698086</c:v>
                </c:pt>
                <c:pt idx="691">
                  <c:v>-31.13149501387263</c:v>
                </c:pt>
                <c:pt idx="692">
                  <c:v>-31.905293646378855</c:v>
                </c:pt>
                <c:pt idx="693">
                  <c:v>-32.005094442981203</c:v>
                </c:pt>
                <c:pt idx="694">
                  <c:v>-31.233065169908691</c:v>
                </c:pt>
                <c:pt idx="695">
                  <c:v>-30.818079639550461</c:v>
                </c:pt>
                <c:pt idx="696">
                  <c:v>-31.626835512090135</c:v>
                </c:pt>
                <c:pt idx="697">
                  <c:v>-31.641731695471989</c:v>
                </c:pt>
                <c:pt idx="698">
                  <c:v>-31.526351770154957</c:v>
                </c:pt>
                <c:pt idx="699">
                  <c:v>-32.461670226959512</c:v>
                </c:pt>
                <c:pt idx="700">
                  <c:v>-31.328094901168683</c:v>
                </c:pt>
                <c:pt idx="701">
                  <c:v>-31.427560355656357</c:v>
                </c:pt>
                <c:pt idx="702">
                  <c:v>-31.147946552906994</c:v>
                </c:pt>
                <c:pt idx="703">
                  <c:v>-30.890034888510538</c:v>
                </c:pt>
                <c:pt idx="704">
                  <c:v>-32.180482833366256</c:v>
                </c:pt>
                <c:pt idx="705">
                  <c:v>-32.872209655666467</c:v>
                </c:pt>
                <c:pt idx="706">
                  <c:v>-32.058797643273188</c:v>
                </c:pt>
                <c:pt idx="707">
                  <c:v>-33.003062294388009</c:v>
                </c:pt>
                <c:pt idx="708">
                  <c:v>-34.63102864680576</c:v>
                </c:pt>
                <c:pt idx="709">
                  <c:v>-34.983757044018475</c:v>
                </c:pt>
                <c:pt idx="710">
                  <c:v>-34.598913554035555</c:v>
                </c:pt>
                <c:pt idx="711">
                  <c:v>-35.44051880469393</c:v>
                </c:pt>
                <c:pt idx="712">
                  <c:v>-34.862189223614337</c:v>
                </c:pt>
                <c:pt idx="713">
                  <c:v>-34.428086385886658</c:v>
                </c:pt>
                <c:pt idx="714">
                  <c:v>-34.306595590226479</c:v>
                </c:pt>
                <c:pt idx="715">
                  <c:v>-35.47148857833966</c:v>
                </c:pt>
                <c:pt idx="716">
                  <c:v>-34.970869045045504</c:v>
                </c:pt>
                <c:pt idx="717">
                  <c:v>-34.237386479994221</c:v>
                </c:pt>
                <c:pt idx="718">
                  <c:v>-34.753904460345879</c:v>
                </c:pt>
                <c:pt idx="719">
                  <c:v>-33.348214036192147</c:v>
                </c:pt>
                <c:pt idx="720">
                  <c:v>-34.5788670868642</c:v>
                </c:pt>
                <c:pt idx="721">
                  <c:v>-36.644185891746837</c:v>
                </c:pt>
                <c:pt idx="722">
                  <c:v>-36.264416238531531</c:v>
                </c:pt>
                <c:pt idx="723">
                  <c:v>-37.047982051201785</c:v>
                </c:pt>
                <c:pt idx="724">
                  <c:v>-38.519010714679609</c:v>
                </c:pt>
                <c:pt idx="725">
                  <c:v>-37.603059797287159</c:v>
                </c:pt>
                <c:pt idx="726">
                  <c:v>-37.825335806878293</c:v>
                </c:pt>
                <c:pt idx="727">
                  <c:v>-39.541218573468221</c:v>
                </c:pt>
                <c:pt idx="728">
                  <c:v>-39.649008249400943</c:v>
                </c:pt>
                <c:pt idx="729">
                  <c:v>-38.342725876633061</c:v>
                </c:pt>
                <c:pt idx="730">
                  <c:v>-39.58052076017043</c:v>
                </c:pt>
                <c:pt idx="731">
                  <c:v>-39.834651752409926</c:v>
                </c:pt>
                <c:pt idx="732">
                  <c:v>-39.694574431471629</c:v>
                </c:pt>
                <c:pt idx="733">
                  <c:v>-38.751885201396675</c:v>
                </c:pt>
                <c:pt idx="734">
                  <c:v>-39.788414960729853</c:v>
                </c:pt>
                <c:pt idx="735">
                  <c:v>-39.24722713996978</c:v>
                </c:pt>
                <c:pt idx="736">
                  <c:v>-39.531114300162486</c:v>
                </c:pt>
                <c:pt idx="737">
                  <c:v>-40.105477957256667</c:v>
                </c:pt>
                <c:pt idx="738">
                  <c:v>-39.850712669055376</c:v>
                </c:pt>
                <c:pt idx="739">
                  <c:v>-39.98471082611907</c:v>
                </c:pt>
                <c:pt idx="740">
                  <c:v>-39.798294732328735</c:v>
                </c:pt>
                <c:pt idx="741">
                  <c:v>-39.254074502052227</c:v>
                </c:pt>
                <c:pt idx="742">
                  <c:v>-39.459060489062146</c:v>
                </c:pt>
                <c:pt idx="743">
                  <c:v>-38.963053025641614</c:v>
                </c:pt>
                <c:pt idx="744">
                  <c:v>-40.769993357916903</c:v>
                </c:pt>
                <c:pt idx="745">
                  <c:v>-41.578107174305437</c:v>
                </c:pt>
                <c:pt idx="746">
                  <c:v>-41.358794978358176</c:v>
                </c:pt>
                <c:pt idx="747">
                  <c:v>-43.022868844653765</c:v>
                </c:pt>
                <c:pt idx="748">
                  <c:v>-43.218344165380024</c:v>
                </c:pt>
                <c:pt idx="749">
                  <c:v>-43.214036119310443</c:v>
                </c:pt>
                <c:pt idx="750">
                  <c:v>-43.837164755232578</c:v>
                </c:pt>
                <c:pt idx="751">
                  <c:v>-44.016482192514353</c:v>
                </c:pt>
                <c:pt idx="752">
                  <c:v>-44.031353964871123</c:v>
                </c:pt>
                <c:pt idx="753">
                  <c:v>-46.189048750109023</c:v>
                </c:pt>
                <c:pt idx="754">
                  <c:v>-44.865517608138639</c:v>
                </c:pt>
                <c:pt idx="755">
                  <c:v>-45.708042842267943</c:v>
                </c:pt>
                <c:pt idx="756">
                  <c:v>-45.364986142286256</c:v>
                </c:pt>
                <c:pt idx="757">
                  <c:v>-44.865534244439353</c:v>
                </c:pt>
                <c:pt idx="758">
                  <c:v>-44.09619646110184</c:v>
                </c:pt>
                <c:pt idx="759">
                  <c:v>-43.376245646344074</c:v>
                </c:pt>
                <c:pt idx="760">
                  <c:v>-43.654839888783293</c:v>
                </c:pt>
                <c:pt idx="761">
                  <c:v>-44.649253917130949</c:v>
                </c:pt>
                <c:pt idx="762">
                  <c:v>-46.202182310467599</c:v>
                </c:pt>
                <c:pt idx="763">
                  <c:v>-47.845438527751874</c:v>
                </c:pt>
                <c:pt idx="764">
                  <c:v>-48.502954564262929</c:v>
                </c:pt>
                <c:pt idx="765">
                  <c:v>-48.889753964928367</c:v>
                </c:pt>
                <c:pt idx="766">
                  <c:v>-49.371580804319592</c:v>
                </c:pt>
                <c:pt idx="767">
                  <c:v>-51.052744515309229</c:v>
                </c:pt>
                <c:pt idx="768">
                  <c:v>-52.185682755174454</c:v>
                </c:pt>
                <c:pt idx="769">
                  <c:v>-52.655906235013404</c:v>
                </c:pt>
                <c:pt idx="770">
                  <c:v>-50.802807154810083</c:v>
                </c:pt>
                <c:pt idx="771">
                  <c:v>-50.237148243265551</c:v>
                </c:pt>
                <c:pt idx="772">
                  <c:v>-50.496464741036057</c:v>
                </c:pt>
                <c:pt idx="773">
                  <c:v>-52.253693053333627</c:v>
                </c:pt>
                <c:pt idx="774">
                  <c:v>-52.293660532410541</c:v>
                </c:pt>
                <c:pt idx="775">
                  <c:v>-51.895788195411505</c:v>
                </c:pt>
                <c:pt idx="776">
                  <c:v>-51.368230833059798</c:v>
                </c:pt>
                <c:pt idx="777">
                  <c:v>-51.594505245752849</c:v>
                </c:pt>
                <c:pt idx="778">
                  <c:v>-52.356873417993896</c:v>
                </c:pt>
                <c:pt idx="779">
                  <c:v>-51.063395288668175</c:v>
                </c:pt>
                <c:pt idx="780">
                  <c:v>-50.771469292121751</c:v>
                </c:pt>
                <c:pt idx="781">
                  <c:v>-50.303158753474868</c:v>
                </c:pt>
                <c:pt idx="782">
                  <c:v>-49.777680315374177</c:v>
                </c:pt>
                <c:pt idx="783">
                  <c:v>-48.717097308175909</c:v>
                </c:pt>
                <c:pt idx="784">
                  <c:v>-48.417753468284829</c:v>
                </c:pt>
                <c:pt idx="785">
                  <c:v>-48.861965942190871</c:v>
                </c:pt>
                <c:pt idx="786">
                  <c:v>-49.108357700802515</c:v>
                </c:pt>
                <c:pt idx="787">
                  <c:v>-51.767401397618755</c:v>
                </c:pt>
                <c:pt idx="788">
                  <c:v>-48.284252420505361</c:v>
                </c:pt>
                <c:pt idx="789">
                  <c:v>-47.072909461057172</c:v>
                </c:pt>
                <c:pt idx="790">
                  <c:v>-46.834969382190174</c:v>
                </c:pt>
                <c:pt idx="791">
                  <c:v>-47.090098061644262</c:v>
                </c:pt>
                <c:pt idx="792">
                  <c:v>-46.976078935987204</c:v>
                </c:pt>
                <c:pt idx="793">
                  <c:v>-46.103868996839523</c:v>
                </c:pt>
                <c:pt idx="794">
                  <c:v>-45.075575216287639</c:v>
                </c:pt>
                <c:pt idx="795">
                  <c:v>-44.710795029983366</c:v>
                </c:pt>
                <c:pt idx="796">
                  <c:v>-44.360128007845255</c:v>
                </c:pt>
                <c:pt idx="797">
                  <c:v>-45.602008934199432</c:v>
                </c:pt>
                <c:pt idx="798">
                  <c:v>-46.505557109448468</c:v>
                </c:pt>
                <c:pt idx="799">
                  <c:v>-46.29601448958681</c:v>
                </c:pt>
                <c:pt idx="800">
                  <c:v>-45.662638625098552</c:v>
                </c:pt>
                <c:pt idx="801">
                  <c:v>-45.472816370219846</c:v>
                </c:pt>
                <c:pt idx="802">
                  <c:v>-46.238849683279433</c:v>
                </c:pt>
                <c:pt idx="803">
                  <c:v>-46.540727482855161</c:v>
                </c:pt>
                <c:pt idx="804">
                  <c:v>-45.548303404271465</c:v>
                </c:pt>
                <c:pt idx="805">
                  <c:v>-46.565529709875591</c:v>
                </c:pt>
                <c:pt idx="806">
                  <c:v>-47.53386714874005</c:v>
                </c:pt>
                <c:pt idx="807">
                  <c:v>-47.587435421377194</c:v>
                </c:pt>
                <c:pt idx="808">
                  <c:v>-45.493993430523687</c:v>
                </c:pt>
                <c:pt idx="809">
                  <c:v>-44.848554806796855</c:v>
                </c:pt>
                <c:pt idx="810">
                  <c:v>-43.835517179257707</c:v>
                </c:pt>
                <c:pt idx="811">
                  <c:v>-43.951834786654622</c:v>
                </c:pt>
                <c:pt idx="812">
                  <c:v>-43.676644917488126</c:v>
                </c:pt>
                <c:pt idx="813">
                  <c:v>-43.944531417059032</c:v>
                </c:pt>
                <c:pt idx="814">
                  <c:v>-44.417003092298678</c:v>
                </c:pt>
                <c:pt idx="815">
                  <c:v>-44.349102193556462</c:v>
                </c:pt>
                <c:pt idx="816">
                  <c:v>-44.070298688634026</c:v>
                </c:pt>
                <c:pt idx="817">
                  <c:v>-44.35614534633369</c:v>
                </c:pt>
                <c:pt idx="818">
                  <c:v>-43.787521448365624</c:v>
                </c:pt>
                <c:pt idx="819">
                  <c:v>-43.106448463374115</c:v>
                </c:pt>
                <c:pt idx="820">
                  <c:v>-44.759692190454928</c:v>
                </c:pt>
                <c:pt idx="821">
                  <c:v>-46.038615973448252</c:v>
                </c:pt>
                <c:pt idx="822">
                  <c:v>-45.929057971654487</c:v>
                </c:pt>
                <c:pt idx="823">
                  <c:v>-44.794348712032516</c:v>
                </c:pt>
                <c:pt idx="824">
                  <c:v>-44.180100060827399</c:v>
                </c:pt>
                <c:pt idx="825">
                  <c:v>-43.525798630139946</c:v>
                </c:pt>
                <c:pt idx="826">
                  <c:v>-42.569102494586772</c:v>
                </c:pt>
                <c:pt idx="827">
                  <c:v>-43.282247548142855</c:v>
                </c:pt>
                <c:pt idx="828">
                  <c:v>-42.119485297436206</c:v>
                </c:pt>
                <c:pt idx="829">
                  <c:v>-41.055183725689744</c:v>
                </c:pt>
                <c:pt idx="830">
                  <c:v>-42.890508311794662</c:v>
                </c:pt>
                <c:pt idx="831">
                  <c:v>-41.859142145784105</c:v>
                </c:pt>
                <c:pt idx="832">
                  <c:v>-43.948389859023088</c:v>
                </c:pt>
                <c:pt idx="833">
                  <c:v>-44.297897296454749</c:v>
                </c:pt>
                <c:pt idx="834">
                  <c:v>-44.304495069036797</c:v>
                </c:pt>
                <c:pt idx="835">
                  <c:v>-44.168904104951181</c:v>
                </c:pt>
                <c:pt idx="836">
                  <c:v>-44.274839263552458</c:v>
                </c:pt>
                <c:pt idx="837">
                  <c:v>-44.602086656018948</c:v>
                </c:pt>
                <c:pt idx="838">
                  <c:v>-46.435700767528964</c:v>
                </c:pt>
                <c:pt idx="839">
                  <c:v>-45.732163414647403</c:v>
                </c:pt>
                <c:pt idx="840">
                  <c:v>-45.640228251676916</c:v>
                </c:pt>
                <c:pt idx="841">
                  <c:v>-43.7045368823145</c:v>
                </c:pt>
                <c:pt idx="842">
                  <c:v>-43.084888582140316</c:v>
                </c:pt>
                <c:pt idx="843">
                  <c:v>-41.69975122256163</c:v>
                </c:pt>
                <c:pt idx="844">
                  <c:v>-40.823007253317456</c:v>
                </c:pt>
                <c:pt idx="845">
                  <c:v>-41.361481215262032</c:v>
                </c:pt>
                <c:pt idx="846">
                  <c:v>-41.931674238303408</c:v>
                </c:pt>
                <c:pt idx="847">
                  <c:v>-42.174062838941161</c:v>
                </c:pt>
                <c:pt idx="848">
                  <c:v>-42.204392784443598</c:v>
                </c:pt>
                <c:pt idx="849">
                  <c:v>-42.609510412289083</c:v>
                </c:pt>
                <c:pt idx="850">
                  <c:v>-42.907709773733799</c:v>
                </c:pt>
                <c:pt idx="851">
                  <c:v>-43.783319912099152</c:v>
                </c:pt>
                <c:pt idx="852">
                  <c:v>-42.047869712847429</c:v>
                </c:pt>
                <c:pt idx="853">
                  <c:v>-41.894253964333615</c:v>
                </c:pt>
                <c:pt idx="854">
                  <c:v>-43.984228344300625</c:v>
                </c:pt>
                <c:pt idx="855">
                  <c:v>-45.80296798784056</c:v>
                </c:pt>
                <c:pt idx="856">
                  <c:v>-46.032070179942117</c:v>
                </c:pt>
                <c:pt idx="857">
                  <c:v>-45.277430770925619</c:v>
                </c:pt>
                <c:pt idx="858">
                  <c:v>-44.764103116143119</c:v>
                </c:pt>
                <c:pt idx="859">
                  <c:v>-43.987483017186648</c:v>
                </c:pt>
                <c:pt idx="860">
                  <c:v>-43.615499779247642</c:v>
                </c:pt>
                <c:pt idx="861">
                  <c:v>-43.620670978690455</c:v>
                </c:pt>
                <c:pt idx="862">
                  <c:v>-44.517936270156397</c:v>
                </c:pt>
                <c:pt idx="863">
                  <c:v>-45.350518156833274</c:v>
                </c:pt>
                <c:pt idx="864">
                  <c:v>-44.685231305007001</c:v>
                </c:pt>
                <c:pt idx="865">
                  <c:v>-44.382512117253548</c:v>
                </c:pt>
                <c:pt idx="866">
                  <c:v>-43.329619095426033</c:v>
                </c:pt>
                <c:pt idx="867">
                  <c:v>-43.916972970641361</c:v>
                </c:pt>
                <c:pt idx="868">
                  <c:v>-42.379267072306916</c:v>
                </c:pt>
                <c:pt idx="869">
                  <c:v>-42.76100635259683</c:v>
                </c:pt>
                <c:pt idx="870">
                  <c:v>-42.780278941871188</c:v>
                </c:pt>
                <c:pt idx="871">
                  <c:v>-41.903216988937942</c:v>
                </c:pt>
                <c:pt idx="872">
                  <c:v>-40.996788859849168</c:v>
                </c:pt>
                <c:pt idx="873">
                  <c:v>-40.480429219242708</c:v>
                </c:pt>
                <c:pt idx="874">
                  <c:v>-40.155158551225526</c:v>
                </c:pt>
                <c:pt idx="875">
                  <c:v>-39.588144057049078</c:v>
                </c:pt>
                <c:pt idx="876">
                  <c:v>-38.865781165628128</c:v>
                </c:pt>
                <c:pt idx="877">
                  <c:v>-41.502033269467688</c:v>
                </c:pt>
                <c:pt idx="878">
                  <c:v>-42.880640453224515</c:v>
                </c:pt>
                <c:pt idx="879">
                  <c:v>-43.933127627964943</c:v>
                </c:pt>
                <c:pt idx="880">
                  <c:v>-45.357480107078217</c:v>
                </c:pt>
                <c:pt idx="881">
                  <c:v>-45.071463301040382</c:v>
                </c:pt>
                <c:pt idx="882">
                  <c:v>-45.082514200673764</c:v>
                </c:pt>
                <c:pt idx="883">
                  <c:v>-46.085415125026188</c:v>
                </c:pt>
                <c:pt idx="884">
                  <c:v>-45.484263250676797</c:v>
                </c:pt>
                <c:pt idx="885">
                  <c:v>-45.292551334828453</c:v>
                </c:pt>
                <c:pt idx="886">
                  <c:v>-45.868754595390406</c:v>
                </c:pt>
                <c:pt idx="887">
                  <c:v>-46.513043745552423</c:v>
                </c:pt>
                <c:pt idx="888">
                  <c:v>-47.288378519404212</c:v>
                </c:pt>
                <c:pt idx="889">
                  <c:v>-47.336527250459071</c:v>
                </c:pt>
                <c:pt idx="890">
                  <c:v>-44.832431187554782</c:v>
                </c:pt>
                <c:pt idx="891">
                  <c:v>-44.844685056316798</c:v>
                </c:pt>
                <c:pt idx="892">
                  <c:v>-43.223920680776182</c:v>
                </c:pt>
                <c:pt idx="893">
                  <c:v>-42.851373880153517</c:v>
                </c:pt>
                <c:pt idx="894">
                  <c:v>-40.713071800871177</c:v>
                </c:pt>
                <c:pt idx="895">
                  <c:v>-39.614514396733313</c:v>
                </c:pt>
                <c:pt idx="896">
                  <c:v>-40.170499174541582</c:v>
                </c:pt>
                <c:pt idx="897">
                  <c:v>-39.046318226710682</c:v>
                </c:pt>
                <c:pt idx="898">
                  <c:v>-40.688768495628111</c:v>
                </c:pt>
                <c:pt idx="899">
                  <c:v>-39.306335090135605</c:v>
                </c:pt>
                <c:pt idx="900">
                  <c:v>-37.776314725756372</c:v>
                </c:pt>
                <c:pt idx="901">
                  <c:v>-36.922419697298245</c:v>
                </c:pt>
                <c:pt idx="902">
                  <c:v>-39.393952526076653</c:v>
                </c:pt>
                <c:pt idx="903">
                  <c:v>-40.407644653954094</c:v>
                </c:pt>
                <c:pt idx="904">
                  <c:v>-38.124598747428195</c:v>
                </c:pt>
                <c:pt idx="905">
                  <c:v>-38.605582281150831</c:v>
                </c:pt>
                <c:pt idx="906">
                  <c:v>-39.14256629305622</c:v>
                </c:pt>
                <c:pt idx="907">
                  <c:v>-40.446930967520757</c:v>
                </c:pt>
                <c:pt idx="908">
                  <c:v>-38.464398822970665</c:v>
                </c:pt>
                <c:pt idx="909">
                  <c:v>-38.755372747825582</c:v>
                </c:pt>
                <c:pt idx="910">
                  <c:v>-40.73326104220363</c:v>
                </c:pt>
                <c:pt idx="911">
                  <c:v>-40.133041628982127</c:v>
                </c:pt>
                <c:pt idx="912">
                  <c:v>-39.932120712294896</c:v>
                </c:pt>
                <c:pt idx="913">
                  <c:v>-41.185134459692868</c:v>
                </c:pt>
                <c:pt idx="914">
                  <c:v>-41.233312437585717</c:v>
                </c:pt>
                <c:pt idx="915">
                  <c:v>-40.523663002724021</c:v>
                </c:pt>
                <c:pt idx="916">
                  <c:v>-40.781214191712557</c:v>
                </c:pt>
                <c:pt idx="917">
                  <c:v>-41.018513784006302</c:v>
                </c:pt>
                <c:pt idx="918">
                  <c:v>-42.454938730741176</c:v>
                </c:pt>
                <c:pt idx="919">
                  <c:v>-44.536841994027824</c:v>
                </c:pt>
                <c:pt idx="920">
                  <c:v>-43.819973584619959</c:v>
                </c:pt>
                <c:pt idx="921">
                  <c:v>-42.372398926883598</c:v>
                </c:pt>
                <c:pt idx="922">
                  <c:v>-43.541357053203242</c:v>
                </c:pt>
                <c:pt idx="923">
                  <c:v>-43.518914790291461</c:v>
                </c:pt>
                <c:pt idx="924">
                  <c:v>-42.473042720687012</c:v>
                </c:pt>
                <c:pt idx="925">
                  <c:v>-42.363589760821235</c:v>
                </c:pt>
                <c:pt idx="926">
                  <c:v>-41.107643193432281</c:v>
                </c:pt>
                <c:pt idx="927">
                  <c:v>-40.315405099724885</c:v>
                </c:pt>
                <c:pt idx="928">
                  <c:v>-41.877441448766874</c:v>
                </c:pt>
                <c:pt idx="929">
                  <c:v>-42.13644115375012</c:v>
                </c:pt>
                <c:pt idx="930">
                  <c:v>-41.921371654332319</c:v>
                </c:pt>
                <c:pt idx="931">
                  <c:v>-43.090330519551422</c:v>
                </c:pt>
                <c:pt idx="932">
                  <c:v>-43.784963840783533</c:v>
                </c:pt>
                <c:pt idx="933">
                  <c:v>-42.571355295436092</c:v>
                </c:pt>
                <c:pt idx="934">
                  <c:v>-42.93359186841888</c:v>
                </c:pt>
                <c:pt idx="935">
                  <c:v>-42.979185381831741</c:v>
                </c:pt>
                <c:pt idx="936">
                  <c:v>-44.360008826376713</c:v>
                </c:pt>
                <c:pt idx="937">
                  <c:v>-42.449400913286041</c:v>
                </c:pt>
                <c:pt idx="938">
                  <c:v>-42.06582764272224</c:v>
                </c:pt>
                <c:pt idx="939">
                  <c:v>-41.65080733637442</c:v>
                </c:pt>
                <c:pt idx="940">
                  <c:v>-39.649352826919909</c:v>
                </c:pt>
                <c:pt idx="941">
                  <c:v>-39.998616814449534</c:v>
                </c:pt>
                <c:pt idx="942">
                  <c:v>-37.724975160796433</c:v>
                </c:pt>
                <c:pt idx="943">
                  <c:v>-36.320409131440208</c:v>
                </c:pt>
                <c:pt idx="944">
                  <c:v>-36.883821161609568</c:v>
                </c:pt>
                <c:pt idx="945">
                  <c:v>-35.851658825629229</c:v>
                </c:pt>
                <c:pt idx="946">
                  <c:v>-35.440182806353725</c:v>
                </c:pt>
                <c:pt idx="947">
                  <c:v>-34.970928044508256</c:v>
                </c:pt>
                <c:pt idx="948">
                  <c:v>-34.338495163254791</c:v>
                </c:pt>
                <c:pt idx="949">
                  <c:v>-36.448457021853223</c:v>
                </c:pt>
                <c:pt idx="950">
                  <c:v>-36.006881061123025</c:v>
                </c:pt>
                <c:pt idx="951">
                  <c:v>-37.10675132571604</c:v>
                </c:pt>
                <c:pt idx="952">
                  <c:v>-39.350320526191943</c:v>
                </c:pt>
                <c:pt idx="953">
                  <c:v>-39.747266846460107</c:v>
                </c:pt>
                <c:pt idx="954">
                  <c:v>-39.158111664759787</c:v>
                </c:pt>
                <c:pt idx="955">
                  <c:v>-39.515679771372866</c:v>
                </c:pt>
                <c:pt idx="956">
                  <c:v>-39.845530667415268</c:v>
                </c:pt>
                <c:pt idx="957">
                  <c:v>-40.002766941059598</c:v>
                </c:pt>
                <c:pt idx="958">
                  <c:v>-39.784799364601248</c:v>
                </c:pt>
                <c:pt idx="959">
                  <c:v>-40.23186970137521</c:v>
                </c:pt>
                <c:pt idx="960">
                  <c:v>-39.448132944803262</c:v>
                </c:pt>
                <c:pt idx="961">
                  <c:v>-40.367738410589027</c:v>
                </c:pt>
                <c:pt idx="962">
                  <c:v>-41.26142456919586</c:v>
                </c:pt>
                <c:pt idx="963">
                  <c:v>-41.251029103624738</c:v>
                </c:pt>
                <c:pt idx="964">
                  <c:v>-42.28137143642153</c:v>
                </c:pt>
                <c:pt idx="965">
                  <c:v>-42.906455167253782</c:v>
                </c:pt>
                <c:pt idx="966">
                  <c:v>-41.868617022141052</c:v>
                </c:pt>
                <c:pt idx="967">
                  <c:v>-41.089904495253066</c:v>
                </c:pt>
                <c:pt idx="968">
                  <c:v>-42.20094900582928</c:v>
                </c:pt>
                <c:pt idx="969">
                  <c:v>-43.612509854352652</c:v>
                </c:pt>
                <c:pt idx="970">
                  <c:v>-43.803382621794526</c:v>
                </c:pt>
                <c:pt idx="971">
                  <c:v>-43.398904625116984</c:v>
                </c:pt>
                <c:pt idx="972">
                  <c:v>-41.739126472455979</c:v>
                </c:pt>
                <c:pt idx="973">
                  <c:v>-41.676639019997907</c:v>
                </c:pt>
                <c:pt idx="974">
                  <c:v>-41.237096285794721</c:v>
                </c:pt>
                <c:pt idx="975">
                  <c:v>-41.823469703293945</c:v>
                </c:pt>
                <c:pt idx="976">
                  <c:v>-41.520250233684862</c:v>
                </c:pt>
                <c:pt idx="977">
                  <c:v>-41.820654671416904</c:v>
                </c:pt>
                <c:pt idx="978">
                  <c:v>-41.214076337822483</c:v>
                </c:pt>
                <c:pt idx="979">
                  <c:v>-39.588501249165439</c:v>
                </c:pt>
                <c:pt idx="980">
                  <c:v>-39.117869240719983</c:v>
                </c:pt>
                <c:pt idx="981">
                  <c:v>-37.864911914936144</c:v>
                </c:pt>
                <c:pt idx="982">
                  <c:v>-39.07557933903432</c:v>
                </c:pt>
                <c:pt idx="983">
                  <c:v>-38.322401233339001</c:v>
                </c:pt>
                <c:pt idx="984">
                  <c:v>-37.261930670781894</c:v>
                </c:pt>
                <c:pt idx="985">
                  <c:v>-36.33004103893466</c:v>
                </c:pt>
                <c:pt idx="986">
                  <c:v>-36.223335218592688</c:v>
                </c:pt>
                <c:pt idx="987">
                  <c:v>-37.464722009002188</c:v>
                </c:pt>
                <c:pt idx="988">
                  <c:v>-38.202065849250737</c:v>
                </c:pt>
                <c:pt idx="989">
                  <c:v>-36.733865155396046</c:v>
                </c:pt>
                <c:pt idx="990">
                  <c:v>-36.909808803853906</c:v>
                </c:pt>
                <c:pt idx="991">
                  <c:v>-35.181035460331593</c:v>
                </c:pt>
                <c:pt idx="992">
                  <c:v>-34.47034674658201</c:v>
                </c:pt>
                <c:pt idx="993">
                  <c:v>-34.538303954790024</c:v>
                </c:pt>
                <c:pt idx="994">
                  <c:v>-34.940394090052251</c:v>
                </c:pt>
                <c:pt idx="995">
                  <c:v>-34.982858693896098</c:v>
                </c:pt>
                <c:pt idx="996">
                  <c:v>-36.046883091070562</c:v>
                </c:pt>
                <c:pt idx="997">
                  <c:v>-34.737889449340209</c:v>
                </c:pt>
                <c:pt idx="998">
                  <c:v>-32.719216180442601</c:v>
                </c:pt>
                <c:pt idx="999">
                  <c:v>-32.982265060872258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7E-BD42-8B64-60E96383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798256"/>
        <c:axId val="1346111808"/>
      </c:scatterChart>
      <c:valAx>
        <c:axId val="14247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6111808"/>
        <c:crosses val="autoZero"/>
        <c:crossBetween val="midCat"/>
      </c:valAx>
      <c:valAx>
        <c:axId val="13461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479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46</xdr:row>
      <xdr:rowOff>114300</xdr:rowOff>
    </xdr:from>
    <xdr:to>
      <xdr:col>6</xdr:col>
      <xdr:colOff>406400</xdr:colOff>
      <xdr:row>60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FA2C09-8C3C-4B40-9420-59B84A138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50800</xdr:colOff>
      <xdr:row>1</xdr:row>
      <xdr:rowOff>38100</xdr:rowOff>
    </xdr:from>
    <xdr:to>
      <xdr:col>12</xdr:col>
      <xdr:colOff>393700</xdr:colOff>
      <xdr:row>14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EF44A1-3361-D147-87AA-5B633C5BF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9</xdr:row>
      <xdr:rowOff>25400</xdr:rowOff>
    </xdr:from>
    <xdr:to>
      <xdr:col>3</xdr:col>
      <xdr:colOff>215900</xdr:colOff>
      <xdr:row>21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6B87C9-C9B8-D84B-B538-B7FCD69D6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495300</xdr:colOff>
      <xdr:row>13</xdr:row>
      <xdr:rowOff>165100</xdr:rowOff>
    </xdr:from>
    <xdr:to>
      <xdr:col>11</xdr:col>
      <xdr:colOff>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D2140D-01D9-774F-9A6E-83053727C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463550</xdr:colOff>
      <xdr:row>18</xdr:row>
      <xdr:rowOff>63500</xdr:rowOff>
    </xdr:from>
    <xdr:to>
      <xdr:col>17</xdr:col>
      <xdr:colOff>82550</xdr:colOff>
      <xdr:row>31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674C94-689E-B741-8345-2FDD338CF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292100</xdr:colOff>
      <xdr:row>22</xdr:row>
      <xdr:rowOff>82550</xdr:rowOff>
    </xdr:from>
    <xdr:to>
      <xdr:col>3</xdr:col>
      <xdr:colOff>355600</xdr:colOff>
      <xdr:row>36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634D0F-9AD5-AA40-B4C1-57EA62196D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colonburice@yahoo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71064-525B-694E-B06C-6FD4214A5B05}">
  <sheetPr codeName="Sheet1"/>
  <dimension ref="A1:G135"/>
  <sheetViews>
    <sheetView workbookViewId="0">
      <selection activeCell="J22" sqref="J22"/>
    </sheetView>
  </sheetViews>
  <sheetFormatPr baseColWidth="10" defaultRowHeight="16" x14ac:dyDescent="0.2"/>
  <cols>
    <col min="11" max="11" width="12.1640625" bestFit="1" customWidth="1"/>
  </cols>
  <sheetData>
    <row r="1" spans="1:7" x14ac:dyDescent="0.2">
      <c r="F1" s="1" t="s">
        <v>8</v>
      </c>
      <c r="G1" s="1"/>
    </row>
    <row r="2" spans="1:7" x14ac:dyDescent="0.2">
      <c r="A2" s="1" t="s">
        <v>0</v>
      </c>
      <c r="B2">
        <v>7.5000000000000009</v>
      </c>
      <c r="C2" s="1" t="s">
        <v>5</v>
      </c>
      <c r="D2">
        <f>B2+B3</f>
        <v>15</v>
      </c>
      <c r="F2" s="1" t="s">
        <v>3</v>
      </c>
      <c r="G2" s="1" t="s">
        <v>4</v>
      </c>
    </row>
    <row r="3" spans="1:7" x14ac:dyDescent="0.2">
      <c r="A3" s="1" t="s">
        <v>1</v>
      </c>
      <c r="B3">
        <v>7.4999999999999991</v>
      </c>
      <c r="F3">
        <v>0</v>
      </c>
      <c r="G3" t="e">
        <f t="shared" ref="G3:G67" si="0">_xlfn.NORM.S.INV(F3)</f>
        <v>#NUM!</v>
      </c>
    </row>
    <row r="4" spans="1:7" x14ac:dyDescent="0.2">
      <c r="A4" s="1" t="s">
        <v>2</v>
      </c>
      <c r="B4">
        <v>10</v>
      </c>
      <c r="F4">
        <f>0.01</f>
        <v>0.01</v>
      </c>
      <c r="G4">
        <f t="shared" si="0"/>
        <v>-2.3263478740408408</v>
      </c>
    </row>
    <row r="5" spans="1:7" x14ac:dyDescent="0.2">
      <c r="A5" s="1"/>
      <c r="F5">
        <v>0.02</v>
      </c>
      <c r="G5">
        <f t="shared" si="0"/>
        <v>-2.0537489106318225</v>
      </c>
    </row>
    <row r="6" spans="1:7" x14ac:dyDescent="0.2">
      <c r="A6" s="1" t="s">
        <v>6</v>
      </c>
      <c r="B6" cm="1">
        <f t="array" ref="B6">test1(B2,B3,B4)</f>
        <v>25</v>
      </c>
      <c r="F6">
        <v>0.03</v>
      </c>
      <c r="G6">
        <f t="shared" si="0"/>
        <v>-1.8807936081512509</v>
      </c>
    </row>
    <row r="7" spans="1:7" x14ac:dyDescent="0.2">
      <c r="A7" s="1"/>
      <c r="F7">
        <v>0.04</v>
      </c>
      <c r="G7">
        <f t="shared" si="0"/>
        <v>-1.7506860712521695</v>
      </c>
    </row>
    <row r="8" spans="1:7" x14ac:dyDescent="0.2">
      <c r="A8" s="1" t="s">
        <v>7</v>
      </c>
      <c r="B8" cm="1">
        <f t="array" ref="B8">Area(B2,B3)</f>
        <v>56.25</v>
      </c>
      <c r="F8">
        <f>0.01</f>
        <v>0.01</v>
      </c>
      <c r="G8">
        <f t="shared" si="0"/>
        <v>-2.3263478740408408</v>
      </c>
    </row>
    <row r="9" spans="1:7" x14ac:dyDescent="0.2">
      <c r="F9">
        <v>0.05</v>
      </c>
      <c r="G9">
        <f t="shared" si="0"/>
        <v>-1.6448536269514726</v>
      </c>
    </row>
    <row r="10" spans="1:7" x14ac:dyDescent="0.2">
      <c r="F10">
        <v>0.06</v>
      </c>
      <c r="G10">
        <f t="shared" si="0"/>
        <v>-1.554773594596853</v>
      </c>
    </row>
    <row r="11" spans="1:7" x14ac:dyDescent="0.2">
      <c r="F11">
        <v>7.0000000000000007E-2</v>
      </c>
      <c r="G11">
        <f t="shared" si="0"/>
        <v>-1.4757910281791702</v>
      </c>
    </row>
    <row r="12" spans="1:7" x14ac:dyDescent="0.2">
      <c r="F12">
        <f>0.01</f>
        <v>0.01</v>
      </c>
      <c r="G12">
        <f t="shared" si="0"/>
        <v>-2.3263478740408408</v>
      </c>
    </row>
    <row r="13" spans="1:7" x14ac:dyDescent="0.2">
      <c r="F13">
        <v>0.08</v>
      </c>
      <c r="G13">
        <f t="shared" si="0"/>
        <v>-1.4050715603096353</v>
      </c>
    </row>
    <row r="14" spans="1:7" x14ac:dyDescent="0.2">
      <c r="F14">
        <v>0.09</v>
      </c>
      <c r="G14">
        <f t="shared" si="0"/>
        <v>-1.3407550336902161</v>
      </c>
    </row>
    <row r="15" spans="1:7" x14ac:dyDescent="0.2">
      <c r="F15">
        <v>0.1</v>
      </c>
      <c r="G15">
        <f t="shared" si="0"/>
        <v>-1.2815515655446006</v>
      </c>
    </row>
    <row r="16" spans="1:7" x14ac:dyDescent="0.2">
      <c r="F16">
        <f>0.01</f>
        <v>0.01</v>
      </c>
      <c r="G16">
        <f t="shared" si="0"/>
        <v>-2.3263478740408408</v>
      </c>
    </row>
    <row r="17" spans="6:7" x14ac:dyDescent="0.2">
      <c r="F17">
        <v>0.11</v>
      </c>
      <c r="G17">
        <f t="shared" si="0"/>
        <v>-1.2265281200366105</v>
      </c>
    </row>
    <row r="18" spans="6:7" x14ac:dyDescent="0.2">
      <c r="F18">
        <v>0.12</v>
      </c>
      <c r="G18">
        <f t="shared" si="0"/>
        <v>-1.1749867920660904</v>
      </c>
    </row>
    <row r="19" spans="6:7" x14ac:dyDescent="0.2">
      <c r="F19">
        <v>0.13</v>
      </c>
      <c r="G19">
        <f t="shared" si="0"/>
        <v>-1.1263911290388013</v>
      </c>
    </row>
    <row r="20" spans="6:7" x14ac:dyDescent="0.2">
      <c r="F20">
        <f>0.01</f>
        <v>0.01</v>
      </c>
      <c r="G20">
        <f t="shared" si="0"/>
        <v>-2.3263478740408408</v>
      </c>
    </row>
    <row r="21" spans="6:7" x14ac:dyDescent="0.2">
      <c r="F21">
        <v>0.14000000000000001</v>
      </c>
      <c r="G21">
        <f t="shared" si="0"/>
        <v>-1.0803193408149565</v>
      </c>
    </row>
    <row r="22" spans="6:7" x14ac:dyDescent="0.2">
      <c r="F22">
        <v>0.15</v>
      </c>
      <c r="G22">
        <f t="shared" si="0"/>
        <v>-1.0364333894937898</v>
      </c>
    </row>
    <row r="23" spans="6:7" x14ac:dyDescent="0.2">
      <c r="F23">
        <v>0.16</v>
      </c>
      <c r="G23">
        <f t="shared" si="0"/>
        <v>-0.9944578832097497</v>
      </c>
    </row>
    <row r="24" spans="6:7" x14ac:dyDescent="0.2">
      <c r="F24">
        <f>0.01</f>
        <v>0.01</v>
      </c>
      <c r="G24">
        <f t="shared" si="0"/>
        <v>-2.3263478740408408</v>
      </c>
    </row>
    <row r="25" spans="6:7" x14ac:dyDescent="0.2">
      <c r="F25">
        <v>0.17</v>
      </c>
      <c r="G25">
        <f t="shared" si="0"/>
        <v>-0.95416525314619549</v>
      </c>
    </row>
    <row r="26" spans="6:7" x14ac:dyDescent="0.2">
      <c r="F26">
        <v>0.18</v>
      </c>
      <c r="G26">
        <f t="shared" si="0"/>
        <v>-0.91536508784281501</v>
      </c>
    </row>
    <row r="27" spans="6:7" x14ac:dyDescent="0.2">
      <c r="F27">
        <v>0.19</v>
      </c>
      <c r="G27">
        <f t="shared" si="0"/>
        <v>-0.87789629505122846</v>
      </c>
    </row>
    <row r="28" spans="6:7" x14ac:dyDescent="0.2">
      <c r="F28">
        <f>0.01</f>
        <v>0.01</v>
      </c>
      <c r="G28">
        <f t="shared" si="0"/>
        <v>-2.3263478740408408</v>
      </c>
    </row>
    <row r="29" spans="6:7" x14ac:dyDescent="0.2">
      <c r="F29">
        <v>0.2</v>
      </c>
      <c r="G29">
        <f t="shared" si="0"/>
        <v>-0.84162123357291452</v>
      </c>
    </row>
    <row r="30" spans="6:7" x14ac:dyDescent="0.2">
      <c r="F30">
        <v>0.21</v>
      </c>
      <c r="G30">
        <f t="shared" si="0"/>
        <v>-0.80642124701824058</v>
      </c>
    </row>
    <row r="31" spans="6:7" x14ac:dyDescent="0.2">
      <c r="F31">
        <v>0.22</v>
      </c>
      <c r="G31">
        <f t="shared" si="0"/>
        <v>-0.77219321418868503</v>
      </c>
    </row>
    <row r="32" spans="6:7" x14ac:dyDescent="0.2">
      <c r="F32">
        <f>0.01</f>
        <v>0.01</v>
      </c>
      <c r="G32">
        <f t="shared" si="0"/>
        <v>-2.3263478740408408</v>
      </c>
    </row>
    <row r="33" spans="6:7" x14ac:dyDescent="0.2">
      <c r="F33">
        <v>0.23</v>
      </c>
      <c r="G33">
        <f t="shared" si="0"/>
        <v>-0.73884684918521393</v>
      </c>
    </row>
    <row r="34" spans="6:7" x14ac:dyDescent="0.2">
      <c r="F34">
        <v>0.24</v>
      </c>
      <c r="G34">
        <f t="shared" si="0"/>
        <v>-0.7063025628400873</v>
      </c>
    </row>
    <row r="35" spans="6:7" x14ac:dyDescent="0.2">
      <c r="F35">
        <v>0.25</v>
      </c>
      <c r="G35">
        <f t="shared" si="0"/>
        <v>-0.67448975019608193</v>
      </c>
    </row>
    <row r="36" spans="6:7" x14ac:dyDescent="0.2">
      <c r="F36">
        <f>0.01</f>
        <v>0.01</v>
      </c>
      <c r="G36">
        <f t="shared" si="0"/>
        <v>-2.3263478740408408</v>
      </c>
    </row>
    <row r="37" spans="6:7" x14ac:dyDescent="0.2">
      <c r="F37">
        <v>0.26</v>
      </c>
      <c r="G37">
        <f t="shared" si="0"/>
        <v>-0.64334540539291696</v>
      </c>
    </row>
    <row r="38" spans="6:7" x14ac:dyDescent="0.2">
      <c r="F38">
        <v>0.27</v>
      </c>
      <c r="G38">
        <f t="shared" si="0"/>
        <v>-0.61281299101662734</v>
      </c>
    </row>
    <row r="39" spans="6:7" x14ac:dyDescent="0.2">
      <c r="F39">
        <v>0.28000000000000003</v>
      </c>
      <c r="G39">
        <f t="shared" si="0"/>
        <v>-0.58284150727121631</v>
      </c>
    </row>
    <row r="40" spans="6:7" x14ac:dyDescent="0.2">
      <c r="F40">
        <f>0.01</f>
        <v>0.01</v>
      </c>
      <c r="G40">
        <f t="shared" si="0"/>
        <v>-2.3263478740408408</v>
      </c>
    </row>
    <row r="41" spans="6:7" x14ac:dyDescent="0.2">
      <c r="F41">
        <v>0.28999999999999998</v>
      </c>
      <c r="G41">
        <f t="shared" si="0"/>
        <v>-0.55338471955567303</v>
      </c>
    </row>
    <row r="42" spans="6:7" x14ac:dyDescent="0.2">
      <c r="F42">
        <v>0.3</v>
      </c>
      <c r="G42">
        <f t="shared" si="0"/>
        <v>-0.52440051270804089</v>
      </c>
    </row>
    <row r="43" spans="6:7" x14ac:dyDescent="0.2">
      <c r="F43">
        <v>0.31</v>
      </c>
      <c r="G43">
        <f t="shared" si="0"/>
        <v>-0.49585034734745354</v>
      </c>
    </row>
    <row r="44" spans="6:7" x14ac:dyDescent="0.2">
      <c r="F44">
        <f>0.01</f>
        <v>0.01</v>
      </c>
      <c r="G44">
        <f t="shared" si="0"/>
        <v>-2.3263478740408408</v>
      </c>
    </row>
    <row r="45" spans="6:7" x14ac:dyDescent="0.2">
      <c r="F45">
        <v>0.32</v>
      </c>
      <c r="G45">
        <f t="shared" si="0"/>
        <v>-0.46769879911450829</v>
      </c>
    </row>
    <row r="46" spans="6:7" x14ac:dyDescent="0.2">
      <c r="F46">
        <v>0.33</v>
      </c>
      <c r="G46">
        <f t="shared" si="0"/>
        <v>-0.43991316567323374</v>
      </c>
    </row>
    <row r="47" spans="6:7" x14ac:dyDescent="0.2">
      <c r="F47">
        <v>0.34</v>
      </c>
      <c r="G47">
        <f t="shared" si="0"/>
        <v>-0.41246312944140484</v>
      </c>
    </row>
    <row r="48" spans="6:7" x14ac:dyDescent="0.2">
      <c r="F48">
        <f>0.01</f>
        <v>0.01</v>
      </c>
      <c r="G48">
        <f t="shared" si="0"/>
        <v>-2.3263478740408408</v>
      </c>
    </row>
    <row r="49" spans="6:7" x14ac:dyDescent="0.2">
      <c r="F49">
        <v>0.35</v>
      </c>
      <c r="G49">
        <f t="shared" si="0"/>
        <v>-0.38532046640756784</v>
      </c>
    </row>
    <row r="50" spans="6:7" x14ac:dyDescent="0.2">
      <c r="F50">
        <v>0.36</v>
      </c>
      <c r="G50">
        <f t="shared" si="0"/>
        <v>-0.35845879325119384</v>
      </c>
    </row>
    <row r="51" spans="6:7" x14ac:dyDescent="0.2">
      <c r="F51">
        <v>0.37</v>
      </c>
      <c r="G51">
        <f t="shared" si="0"/>
        <v>-0.33185334643681658</v>
      </c>
    </row>
    <row r="52" spans="6:7" x14ac:dyDescent="0.2">
      <c r="F52">
        <f>0.01</f>
        <v>0.01</v>
      </c>
      <c r="G52">
        <f t="shared" si="0"/>
        <v>-2.3263478740408408</v>
      </c>
    </row>
    <row r="53" spans="6:7" x14ac:dyDescent="0.2">
      <c r="F53">
        <v>0.38</v>
      </c>
      <c r="G53">
        <f t="shared" si="0"/>
        <v>-0.30548078809939727</v>
      </c>
    </row>
    <row r="54" spans="6:7" x14ac:dyDescent="0.2">
      <c r="F54">
        <v>0.39</v>
      </c>
      <c r="G54">
        <f t="shared" si="0"/>
        <v>-0.27931903444745415</v>
      </c>
    </row>
    <row r="55" spans="6:7" x14ac:dyDescent="0.2">
      <c r="F55">
        <v>0.4</v>
      </c>
      <c r="G55">
        <f t="shared" si="0"/>
        <v>-0.25334710313579978</v>
      </c>
    </row>
    <row r="56" spans="6:7" x14ac:dyDescent="0.2">
      <c r="F56">
        <f>0.01</f>
        <v>0.01</v>
      </c>
      <c r="G56">
        <f t="shared" si="0"/>
        <v>-2.3263478740408408</v>
      </c>
    </row>
    <row r="57" spans="6:7" x14ac:dyDescent="0.2">
      <c r="F57">
        <v>0.41</v>
      </c>
      <c r="G57">
        <f t="shared" si="0"/>
        <v>-0.2275449766411495</v>
      </c>
    </row>
    <row r="58" spans="6:7" x14ac:dyDescent="0.2">
      <c r="F58">
        <v>0.42</v>
      </c>
      <c r="G58">
        <f t="shared" si="0"/>
        <v>-0.20189347914185088</v>
      </c>
    </row>
    <row r="59" spans="6:7" x14ac:dyDescent="0.2">
      <c r="F59">
        <v>0.43</v>
      </c>
      <c r="G59">
        <f t="shared" si="0"/>
        <v>-0.17637416478086138</v>
      </c>
    </row>
    <row r="60" spans="6:7" x14ac:dyDescent="0.2">
      <c r="F60">
        <f>0.01</f>
        <v>0.01</v>
      </c>
      <c r="G60">
        <f t="shared" si="0"/>
        <v>-2.3263478740408408</v>
      </c>
    </row>
    <row r="61" spans="6:7" x14ac:dyDescent="0.2">
      <c r="F61">
        <v>0.44</v>
      </c>
      <c r="G61">
        <f t="shared" si="0"/>
        <v>-0.15096921549677725</v>
      </c>
    </row>
    <row r="62" spans="6:7" x14ac:dyDescent="0.2">
      <c r="F62">
        <v>0.45</v>
      </c>
      <c r="G62">
        <f t="shared" si="0"/>
        <v>-0.12566134685507402</v>
      </c>
    </row>
    <row r="63" spans="6:7" x14ac:dyDescent="0.2">
      <c r="F63">
        <v>0.46</v>
      </c>
      <c r="G63">
        <f t="shared" si="0"/>
        <v>-0.10043372051146976</v>
      </c>
    </row>
    <row r="64" spans="6:7" x14ac:dyDescent="0.2">
      <c r="F64">
        <f>0.01</f>
        <v>0.01</v>
      </c>
      <c r="G64">
        <f t="shared" si="0"/>
        <v>-2.3263478740408408</v>
      </c>
    </row>
    <row r="65" spans="6:7" x14ac:dyDescent="0.2">
      <c r="F65">
        <v>0.47</v>
      </c>
      <c r="G65">
        <f t="shared" si="0"/>
        <v>-7.5269862099829901E-2</v>
      </c>
    </row>
    <row r="66" spans="6:7" x14ac:dyDescent="0.2">
      <c r="F66">
        <v>0.48</v>
      </c>
      <c r="G66">
        <f t="shared" si="0"/>
        <v>-5.0153583464733656E-2</v>
      </c>
    </row>
    <row r="67" spans="6:7" x14ac:dyDescent="0.2">
      <c r="F67">
        <v>0.49</v>
      </c>
      <c r="G67">
        <f t="shared" si="0"/>
        <v>-2.506890825871106E-2</v>
      </c>
    </row>
    <row r="68" spans="6:7" x14ac:dyDescent="0.2">
      <c r="F68">
        <f>0.01</f>
        <v>0.01</v>
      </c>
      <c r="G68">
        <f t="shared" ref="G68:G131" si="1">_xlfn.NORM.S.INV(F68)</f>
        <v>-2.3263478740408408</v>
      </c>
    </row>
    <row r="69" spans="6:7" x14ac:dyDescent="0.2">
      <c r="F69">
        <v>0.5</v>
      </c>
      <c r="G69">
        <f t="shared" si="1"/>
        <v>0</v>
      </c>
    </row>
    <row r="70" spans="6:7" x14ac:dyDescent="0.2">
      <c r="F70">
        <v>0.51</v>
      </c>
      <c r="G70">
        <f t="shared" si="1"/>
        <v>2.506890825871106E-2</v>
      </c>
    </row>
    <row r="71" spans="6:7" x14ac:dyDescent="0.2">
      <c r="F71">
        <v>0.52</v>
      </c>
      <c r="G71">
        <f t="shared" si="1"/>
        <v>5.0153583464733656E-2</v>
      </c>
    </row>
    <row r="72" spans="6:7" x14ac:dyDescent="0.2">
      <c r="F72">
        <f>0.01</f>
        <v>0.01</v>
      </c>
      <c r="G72">
        <f t="shared" si="1"/>
        <v>-2.3263478740408408</v>
      </c>
    </row>
    <row r="73" spans="6:7" x14ac:dyDescent="0.2">
      <c r="F73">
        <v>0.53</v>
      </c>
      <c r="G73">
        <f t="shared" si="1"/>
        <v>7.5269862099829901E-2</v>
      </c>
    </row>
    <row r="74" spans="6:7" x14ac:dyDescent="0.2">
      <c r="F74">
        <v>0.54</v>
      </c>
      <c r="G74">
        <f t="shared" si="1"/>
        <v>0.10043372051146988</v>
      </c>
    </row>
    <row r="75" spans="6:7" x14ac:dyDescent="0.2">
      <c r="F75">
        <v>0.55000000000000004</v>
      </c>
      <c r="G75">
        <f t="shared" si="1"/>
        <v>0.12566134685507416</v>
      </c>
    </row>
    <row r="76" spans="6:7" x14ac:dyDescent="0.2">
      <c r="F76">
        <f>0.01</f>
        <v>0.01</v>
      </c>
      <c r="G76">
        <f t="shared" si="1"/>
        <v>-2.3263478740408408</v>
      </c>
    </row>
    <row r="77" spans="6:7" x14ac:dyDescent="0.2">
      <c r="F77">
        <v>0.56000000000000005</v>
      </c>
      <c r="G77">
        <f t="shared" si="1"/>
        <v>0.15096921549677741</v>
      </c>
    </row>
    <row r="78" spans="6:7" x14ac:dyDescent="0.2">
      <c r="F78">
        <v>0.56999999999999995</v>
      </c>
      <c r="G78">
        <f t="shared" si="1"/>
        <v>0.17637416478086121</v>
      </c>
    </row>
    <row r="79" spans="6:7" x14ac:dyDescent="0.2">
      <c r="F79">
        <v>0.57999999999999996</v>
      </c>
      <c r="G79">
        <f t="shared" si="1"/>
        <v>0.20189347914185077</v>
      </c>
    </row>
    <row r="80" spans="6:7" x14ac:dyDescent="0.2">
      <c r="F80">
        <f>0.01</f>
        <v>0.01</v>
      </c>
      <c r="G80">
        <f t="shared" si="1"/>
        <v>-2.3263478740408408</v>
      </c>
    </row>
    <row r="81" spans="6:7" x14ac:dyDescent="0.2">
      <c r="F81">
        <v>0.59</v>
      </c>
      <c r="G81">
        <f t="shared" si="1"/>
        <v>0.22754497664114934</v>
      </c>
    </row>
    <row r="82" spans="6:7" x14ac:dyDescent="0.2">
      <c r="F82">
        <v>0.6</v>
      </c>
      <c r="G82">
        <f t="shared" si="1"/>
        <v>0.25334710313579978</v>
      </c>
    </row>
    <row r="83" spans="6:7" x14ac:dyDescent="0.2">
      <c r="F83">
        <v>0.61</v>
      </c>
      <c r="G83">
        <f t="shared" si="1"/>
        <v>0.27931903444745415</v>
      </c>
    </row>
    <row r="84" spans="6:7" x14ac:dyDescent="0.2">
      <c r="F84">
        <f>0.01</f>
        <v>0.01</v>
      </c>
      <c r="G84">
        <f t="shared" si="1"/>
        <v>-2.3263478740408408</v>
      </c>
    </row>
    <row r="85" spans="6:7" x14ac:dyDescent="0.2">
      <c r="F85">
        <v>0.62</v>
      </c>
      <c r="G85">
        <f t="shared" si="1"/>
        <v>0.30548078809939727</v>
      </c>
    </row>
    <row r="86" spans="6:7" x14ac:dyDescent="0.2">
      <c r="F86">
        <v>0.63</v>
      </c>
      <c r="G86">
        <f t="shared" si="1"/>
        <v>0.33185334643681658</v>
      </c>
    </row>
    <row r="87" spans="6:7" x14ac:dyDescent="0.2">
      <c r="F87">
        <v>0.64</v>
      </c>
      <c r="G87">
        <f t="shared" si="1"/>
        <v>0.35845879325119384</v>
      </c>
    </row>
    <row r="88" spans="6:7" x14ac:dyDescent="0.2">
      <c r="F88">
        <f>0.01</f>
        <v>0.01</v>
      </c>
      <c r="G88">
        <f t="shared" si="1"/>
        <v>-2.3263478740408408</v>
      </c>
    </row>
    <row r="89" spans="6:7" x14ac:dyDescent="0.2">
      <c r="F89">
        <v>0.65</v>
      </c>
      <c r="G89">
        <f t="shared" si="1"/>
        <v>0.38532046640756784</v>
      </c>
    </row>
    <row r="90" spans="6:7" x14ac:dyDescent="0.2">
      <c r="F90">
        <v>0.66</v>
      </c>
      <c r="G90">
        <f t="shared" si="1"/>
        <v>0.41246312944140473</v>
      </c>
    </row>
    <row r="91" spans="6:7" x14ac:dyDescent="0.2">
      <c r="F91">
        <v>0.67</v>
      </c>
      <c r="G91">
        <f t="shared" si="1"/>
        <v>0.43991316567323396</v>
      </c>
    </row>
    <row r="92" spans="6:7" x14ac:dyDescent="0.2">
      <c r="F92">
        <f>0.01</f>
        <v>0.01</v>
      </c>
      <c r="G92">
        <f t="shared" si="1"/>
        <v>-2.3263478740408408</v>
      </c>
    </row>
    <row r="93" spans="6:7" x14ac:dyDescent="0.2">
      <c r="F93">
        <v>0.68</v>
      </c>
      <c r="G93">
        <f t="shared" si="1"/>
        <v>0.46769879911450835</v>
      </c>
    </row>
    <row r="94" spans="6:7" x14ac:dyDescent="0.2">
      <c r="F94">
        <v>0.69</v>
      </c>
      <c r="G94">
        <f t="shared" si="1"/>
        <v>0.49585034734745331</v>
      </c>
    </row>
    <row r="95" spans="6:7" x14ac:dyDescent="0.2">
      <c r="F95">
        <v>0.7</v>
      </c>
      <c r="G95">
        <f t="shared" si="1"/>
        <v>0.52440051270804078</v>
      </c>
    </row>
    <row r="96" spans="6:7" x14ac:dyDescent="0.2">
      <c r="F96">
        <f>0.01</f>
        <v>0.01</v>
      </c>
      <c r="G96">
        <f t="shared" si="1"/>
        <v>-2.3263478740408408</v>
      </c>
    </row>
    <row r="97" spans="6:7" x14ac:dyDescent="0.2">
      <c r="F97">
        <v>0.71</v>
      </c>
      <c r="G97">
        <f t="shared" si="1"/>
        <v>0.5533847195556727</v>
      </c>
    </row>
    <row r="98" spans="6:7" x14ac:dyDescent="0.2">
      <c r="F98">
        <v>0.72</v>
      </c>
      <c r="G98">
        <f t="shared" si="1"/>
        <v>0.58284150727121631</v>
      </c>
    </row>
    <row r="99" spans="6:7" x14ac:dyDescent="0.2">
      <c r="F99">
        <v>0.73</v>
      </c>
      <c r="G99">
        <f t="shared" si="1"/>
        <v>0.61281299101662734</v>
      </c>
    </row>
    <row r="100" spans="6:7" x14ac:dyDescent="0.2">
      <c r="F100">
        <f>0.01</f>
        <v>0.01</v>
      </c>
      <c r="G100">
        <f t="shared" si="1"/>
        <v>-2.3263478740408408</v>
      </c>
    </row>
    <row r="101" spans="6:7" x14ac:dyDescent="0.2">
      <c r="F101">
        <v>0.74</v>
      </c>
      <c r="G101">
        <f t="shared" si="1"/>
        <v>0.64334540539291696</v>
      </c>
    </row>
    <row r="102" spans="6:7" x14ac:dyDescent="0.2">
      <c r="F102">
        <v>0.75</v>
      </c>
      <c r="G102">
        <f t="shared" si="1"/>
        <v>0.67448975019608193</v>
      </c>
    </row>
    <row r="103" spans="6:7" x14ac:dyDescent="0.2">
      <c r="F103">
        <v>0.76</v>
      </c>
      <c r="G103">
        <f t="shared" si="1"/>
        <v>0.7063025628400873</v>
      </c>
    </row>
    <row r="104" spans="6:7" x14ac:dyDescent="0.2">
      <c r="F104">
        <f>0.01</f>
        <v>0.01</v>
      </c>
      <c r="G104">
        <f t="shared" si="1"/>
        <v>-2.3263478740408408</v>
      </c>
    </row>
    <row r="105" spans="6:7" x14ac:dyDescent="0.2">
      <c r="F105">
        <v>0.77</v>
      </c>
      <c r="G105">
        <f t="shared" si="1"/>
        <v>0.73884684918521393</v>
      </c>
    </row>
    <row r="106" spans="6:7" x14ac:dyDescent="0.2">
      <c r="F106">
        <v>0.78</v>
      </c>
      <c r="G106">
        <f t="shared" si="1"/>
        <v>0.77219321418868503</v>
      </c>
    </row>
    <row r="107" spans="6:7" x14ac:dyDescent="0.2">
      <c r="F107">
        <v>0.79</v>
      </c>
      <c r="G107">
        <f t="shared" si="1"/>
        <v>0.80642124701824058</v>
      </c>
    </row>
    <row r="108" spans="6:7" x14ac:dyDescent="0.2">
      <c r="F108">
        <f>0.01</f>
        <v>0.01</v>
      </c>
      <c r="G108">
        <f t="shared" si="1"/>
        <v>-2.3263478740408408</v>
      </c>
    </row>
    <row r="109" spans="6:7" x14ac:dyDescent="0.2">
      <c r="F109">
        <v>0.8</v>
      </c>
      <c r="G109">
        <f t="shared" si="1"/>
        <v>0.84162123357291474</v>
      </c>
    </row>
    <row r="110" spans="6:7" x14ac:dyDescent="0.2">
      <c r="F110">
        <v>0.81</v>
      </c>
      <c r="G110">
        <f t="shared" si="1"/>
        <v>0.87789629505122857</v>
      </c>
    </row>
    <row r="111" spans="6:7" x14ac:dyDescent="0.2">
      <c r="F111">
        <v>0.82</v>
      </c>
      <c r="G111">
        <f t="shared" si="1"/>
        <v>0.91536508784281256</v>
      </c>
    </row>
    <row r="112" spans="6:7" x14ac:dyDescent="0.2">
      <c r="F112">
        <f>0.01</f>
        <v>0.01</v>
      </c>
      <c r="G112">
        <f t="shared" si="1"/>
        <v>-2.3263478740408408</v>
      </c>
    </row>
    <row r="113" spans="6:7" x14ac:dyDescent="0.2">
      <c r="F113">
        <v>0.83</v>
      </c>
      <c r="G113">
        <f t="shared" si="1"/>
        <v>0.95416525314619549</v>
      </c>
    </row>
    <row r="114" spans="6:7" x14ac:dyDescent="0.2">
      <c r="F114">
        <v>0.84</v>
      </c>
      <c r="G114">
        <f t="shared" si="1"/>
        <v>0.9944578832097497</v>
      </c>
    </row>
    <row r="115" spans="6:7" x14ac:dyDescent="0.2">
      <c r="F115">
        <v>0.85</v>
      </c>
      <c r="G115">
        <f t="shared" si="1"/>
        <v>1.0364333894937898</v>
      </c>
    </row>
    <row r="116" spans="6:7" x14ac:dyDescent="0.2">
      <c r="F116">
        <f>0.01</f>
        <v>0.01</v>
      </c>
      <c r="G116">
        <f t="shared" si="1"/>
        <v>-2.3263478740408408</v>
      </c>
    </row>
    <row r="117" spans="6:7" x14ac:dyDescent="0.2">
      <c r="F117">
        <v>0.86</v>
      </c>
      <c r="G117">
        <f t="shared" si="1"/>
        <v>1.0803193408149565</v>
      </c>
    </row>
    <row r="118" spans="6:7" x14ac:dyDescent="0.2">
      <c r="F118">
        <v>0.87</v>
      </c>
      <c r="G118">
        <f t="shared" si="1"/>
        <v>1.1263911290388013</v>
      </c>
    </row>
    <row r="119" spans="6:7" x14ac:dyDescent="0.2">
      <c r="F119">
        <v>0.88</v>
      </c>
      <c r="G119">
        <f t="shared" si="1"/>
        <v>1.1749867920660904</v>
      </c>
    </row>
    <row r="120" spans="6:7" x14ac:dyDescent="0.2">
      <c r="F120">
        <f>0.01</f>
        <v>0.01</v>
      </c>
      <c r="G120">
        <f t="shared" si="1"/>
        <v>-2.3263478740408408</v>
      </c>
    </row>
    <row r="121" spans="6:7" x14ac:dyDescent="0.2">
      <c r="F121">
        <v>0.89</v>
      </c>
      <c r="G121">
        <f t="shared" si="1"/>
        <v>1.2265281200366105</v>
      </c>
    </row>
    <row r="122" spans="6:7" x14ac:dyDescent="0.2">
      <c r="F122">
        <v>0.9</v>
      </c>
      <c r="G122">
        <f t="shared" si="1"/>
        <v>1.2815515655446006</v>
      </c>
    </row>
    <row r="123" spans="6:7" x14ac:dyDescent="0.2">
      <c r="F123">
        <v>0.91</v>
      </c>
      <c r="G123">
        <f t="shared" si="1"/>
        <v>1.3407550336902161</v>
      </c>
    </row>
    <row r="124" spans="6:7" x14ac:dyDescent="0.2">
      <c r="F124">
        <f>0.01</f>
        <v>0.01</v>
      </c>
      <c r="G124">
        <f t="shared" si="1"/>
        <v>-2.3263478740408408</v>
      </c>
    </row>
    <row r="125" spans="6:7" x14ac:dyDescent="0.2">
      <c r="F125">
        <v>0.92</v>
      </c>
      <c r="G125">
        <f t="shared" si="1"/>
        <v>1.4050715603096329</v>
      </c>
    </row>
    <row r="126" spans="6:7" x14ac:dyDescent="0.2">
      <c r="F126">
        <v>0.93</v>
      </c>
      <c r="G126">
        <f t="shared" si="1"/>
        <v>1.4757910281791713</v>
      </c>
    </row>
    <row r="127" spans="6:7" x14ac:dyDescent="0.2">
      <c r="F127">
        <v>0.94</v>
      </c>
      <c r="G127">
        <f t="shared" si="1"/>
        <v>1.5547735945968528</v>
      </c>
    </row>
    <row r="128" spans="6:7" x14ac:dyDescent="0.2">
      <c r="F128">
        <f>0.01</f>
        <v>0.01</v>
      </c>
      <c r="G128">
        <f t="shared" si="1"/>
        <v>-2.3263478740408408</v>
      </c>
    </row>
    <row r="129" spans="6:7" x14ac:dyDescent="0.2">
      <c r="F129">
        <v>0.95</v>
      </c>
      <c r="G129">
        <f t="shared" si="1"/>
        <v>1.6448536269514715</v>
      </c>
    </row>
    <row r="130" spans="6:7" x14ac:dyDescent="0.2">
      <c r="F130">
        <v>0.96</v>
      </c>
      <c r="G130">
        <f t="shared" si="1"/>
        <v>1.7506860712521695</v>
      </c>
    </row>
    <row r="131" spans="6:7" x14ac:dyDescent="0.2">
      <c r="F131">
        <v>0.97</v>
      </c>
      <c r="G131">
        <f t="shared" si="1"/>
        <v>1.8807936081512504</v>
      </c>
    </row>
    <row r="132" spans="6:7" x14ac:dyDescent="0.2">
      <c r="F132">
        <f>0.01</f>
        <v>0.01</v>
      </c>
      <c r="G132">
        <f>_xlfn.NORM.S.INV(F132)</f>
        <v>-2.3263478740408408</v>
      </c>
    </row>
    <row r="133" spans="6:7" x14ac:dyDescent="0.2">
      <c r="F133">
        <v>0.98</v>
      </c>
      <c r="G133">
        <f>_xlfn.NORM.S.INV(F133)</f>
        <v>2.0537489106318221</v>
      </c>
    </row>
    <row r="134" spans="6:7" x14ac:dyDescent="0.2">
      <c r="F134">
        <v>0.99</v>
      </c>
      <c r="G134">
        <f>_xlfn.NORM.S.INV(F134)</f>
        <v>2.3263478740408408</v>
      </c>
    </row>
    <row r="135" spans="6:7" x14ac:dyDescent="0.2">
      <c r="F135">
        <v>1</v>
      </c>
      <c r="G135" t="e">
        <f>_xlfn.NORM.S.INV(F135)</f>
        <v>#NUM!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38D79-DCC6-A947-80BC-DF196BBCD2AC}">
  <sheetPr codeName="Sheet3"/>
  <dimension ref="A1:Q1005"/>
  <sheetViews>
    <sheetView tabSelected="1" topLeftCell="A19" workbookViewId="0">
      <selection activeCell="L36" sqref="L36"/>
    </sheetView>
  </sheetViews>
  <sheetFormatPr baseColWidth="10" defaultRowHeight="16" x14ac:dyDescent="0.2"/>
  <cols>
    <col min="1" max="1" width="16.6640625" bestFit="1" customWidth="1"/>
    <col min="2" max="3" width="19" customWidth="1"/>
    <col min="4" max="4" width="10.83203125" style="22"/>
    <col min="10" max="10" width="13.6640625" customWidth="1"/>
    <col min="12" max="12" width="14.1640625" customWidth="1"/>
    <col min="13" max="13" width="14.83203125" customWidth="1"/>
  </cols>
  <sheetData>
    <row r="1" spans="1:17" ht="31" x14ac:dyDescent="0.35">
      <c r="A1" s="11" t="s">
        <v>25</v>
      </c>
      <c r="J1" s="27" t="s">
        <v>29</v>
      </c>
      <c r="L1" s="17" t="s">
        <v>21</v>
      </c>
      <c r="M1" s="19" t="s">
        <v>17</v>
      </c>
      <c r="N1" s="19" t="s">
        <v>46</v>
      </c>
      <c r="O1" s="19" t="s">
        <v>15</v>
      </c>
      <c r="P1" s="23" t="s">
        <v>49</v>
      </c>
      <c r="Q1" s="16"/>
    </row>
    <row r="2" spans="1:17" x14ac:dyDescent="0.2">
      <c r="L2" s="18"/>
      <c r="M2" s="8">
        <v>1</v>
      </c>
      <c r="N2" s="8">
        <v>1000</v>
      </c>
      <c r="O2" s="8">
        <f>M2/N2</f>
        <v>1E-3</v>
      </c>
      <c r="P2" s="9"/>
      <c r="Q2" s="3"/>
    </row>
    <row r="3" spans="1:17" x14ac:dyDescent="0.2">
      <c r="A3" s="15" t="s">
        <v>42</v>
      </c>
      <c r="B3" s="15" t="s">
        <v>43</v>
      </c>
      <c r="C3" s="15"/>
      <c r="L3" s="17" t="s">
        <v>20</v>
      </c>
      <c r="M3" s="19" t="s">
        <v>14</v>
      </c>
      <c r="N3" s="19" t="s">
        <v>12</v>
      </c>
      <c r="O3" s="19" t="s">
        <v>16</v>
      </c>
      <c r="P3" s="19"/>
      <c r="Q3" s="9"/>
    </row>
    <row r="4" spans="1:17" x14ac:dyDescent="0.2">
      <c r="A4" t="s">
        <v>22</v>
      </c>
      <c r="B4" s="1" t="s">
        <v>23</v>
      </c>
      <c r="C4" s="1"/>
      <c r="D4" s="26" t="s">
        <v>41</v>
      </c>
      <c r="L4" s="18"/>
      <c r="M4" s="8">
        <v>0.1</v>
      </c>
      <c r="N4" s="8">
        <f>O6</f>
        <v>0.1</v>
      </c>
      <c r="O4" s="10">
        <v>0.1</v>
      </c>
      <c r="P4" s="4"/>
      <c r="Q4" s="3"/>
    </row>
    <row r="5" spans="1:17" x14ac:dyDescent="0.2">
      <c r="A5" t="s">
        <v>45</v>
      </c>
      <c r="B5" s="1" t="s">
        <v>44</v>
      </c>
      <c r="C5" s="1" t="s">
        <v>50</v>
      </c>
      <c r="D5" s="22" t="s">
        <v>9</v>
      </c>
      <c r="F5" s="1" t="s">
        <v>26</v>
      </c>
      <c r="G5" s="1" t="s">
        <v>28</v>
      </c>
      <c r="H5" s="1" t="s">
        <v>27</v>
      </c>
      <c r="I5" s="1" t="s">
        <v>35</v>
      </c>
      <c r="J5" s="1" t="s">
        <v>38</v>
      </c>
      <c r="L5" s="17" t="s">
        <v>19</v>
      </c>
      <c r="M5" s="19" t="s">
        <v>34</v>
      </c>
      <c r="N5" s="19" t="s">
        <v>11</v>
      </c>
      <c r="O5" s="19" t="s">
        <v>12</v>
      </c>
      <c r="P5" s="19" t="s">
        <v>13</v>
      </c>
      <c r="Q5" s="3"/>
    </row>
    <row r="6" spans="1:17" x14ac:dyDescent="0.2">
      <c r="A6">
        <f ca="1">RAND()</f>
        <v>0.61753174536475908</v>
      </c>
      <c r="B6">
        <f ca="1">NORMSINV(A6)</f>
        <v>0.29900463468746408</v>
      </c>
      <c r="C6">
        <f ca="1">B6</f>
        <v>0.29900463468746408</v>
      </c>
      <c r="D6" s="22">
        <f ca="1">_xlfn.NORM.DIST(B6,0,1,FALSE)</f>
        <v>0.38150152953982325</v>
      </c>
      <c r="F6" s="2">
        <v>0</v>
      </c>
      <c r="G6" s="2">
        <v>0.01</v>
      </c>
      <c r="H6" s="2">
        <v>0.01</v>
      </c>
      <c r="I6" s="2">
        <v>0.01</v>
      </c>
      <c r="J6" s="2">
        <f>ABS(H6-G6)</f>
        <v>0</v>
      </c>
      <c r="L6" s="3"/>
      <c r="M6" s="10">
        <f>M4*O4</f>
        <v>1.0000000000000002E-2</v>
      </c>
      <c r="N6" s="8">
        <f>-M6/O4</f>
        <v>-0.10000000000000002</v>
      </c>
      <c r="O6" s="10">
        <v>0.1</v>
      </c>
      <c r="P6" s="10">
        <v>0</v>
      </c>
      <c r="Q6" s="6" t="s">
        <v>18</v>
      </c>
    </row>
    <row r="7" spans="1:17" x14ac:dyDescent="0.2">
      <c r="A7">
        <f t="shared" ref="A7:A70" ca="1" si="0">RAND()</f>
        <v>0.23390857257703113</v>
      </c>
      <c r="B7">
        <f t="shared" ref="B7:B70" ca="1" si="1">NORMSINV(A7)</f>
        <v>-0.7260352762754847</v>
      </c>
      <c r="C7">
        <f ca="1">B7+C6</f>
        <v>-0.42703064158802062</v>
      </c>
      <c r="D7" s="22">
        <f t="shared" ref="D7:D70" ca="1" si="2">_xlfn.NORM.DIST(B7,0,1,FALSE)</f>
        <v>0.30651084391753941</v>
      </c>
      <c r="F7">
        <f t="shared" ref="F7:F70" si="3">F6+$M$2/$N$2</f>
        <v>1E-3</v>
      </c>
      <c r="G7">
        <f t="shared" ref="G7:G70" ca="1" si="4">G6*EXP(-$M$4*$O$2) + $O$4*(1-EXP(-$M$4*$O$2)) + $N$4* SQRT((1-EXP(-2*$M$4*$O$2))/(2*$M$4)) *B6</f>
        <v>1.0954487951759927E-2</v>
      </c>
      <c r="H7">
        <f ca="1">H6+($M$6 + $N$6*H6)*$O$2 + $O$6*H6^$P$6*SQRT($O$2)*B6</f>
        <v>1.0954535676558975E-2</v>
      </c>
      <c r="I7">
        <f ca="1">I6*EXP(-($M$8-0.5*($N$8^2))*$O$2 + $N$8*SQRT($O$2)*B6)</f>
        <v>1.0008508974845971E-2</v>
      </c>
      <c r="J7" s="5">
        <f ca="1">ABS(H7-I7)</f>
        <v>9.4602670171300453E-4</v>
      </c>
      <c r="L7" s="21" t="s">
        <v>36</v>
      </c>
      <c r="M7" s="1" t="s">
        <v>48</v>
      </c>
      <c r="N7" s="1" t="s">
        <v>12</v>
      </c>
      <c r="Q7" s="7" t="s">
        <v>53</v>
      </c>
    </row>
    <row r="8" spans="1:17" x14ac:dyDescent="0.2">
      <c r="A8">
        <f t="shared" ca="1" si="0"/>
        <v>0.24949283318254245</v>
      </c>
      <c r="B8">
        <f t="shared" ca="1" si="1"/>
        <v>-0.67608659605973687</v>
      </c>
      <c r="C8">
        <f t="shared" ref="C8:C71" ca="1" si="5">B8+C7</f>
        <v>-1.1031172376477576</v>
      </c>
      <c r="D8" s="22">
        <f t="shared" ca="1" si="2"/>
        <v>0.31743408900325032</v>
      </c>
      <c r="F8">
        <f t="shared" si="3"/>
        <v>2E-3</v>
      </c>
      <c r="G8">
        <f t="shared" ca="1" si="4"/>
        <v>8.6675817145656538E-3</v>
      </c>
      <c r="H8">
        <f t="shared" ref="H8:H71" ca="1" si="6">H7+($M$6 + $N$6*H7)*$O$2 + $O$6*H7^$P$6*SQRT($O$2)*B7</f>
        <v>8.6675150883311763E-3</v>
      </c>
      <c r="I8">
        <f t="shared" ref="I8:I71" ca="1" si="7">I7*EXP(($M$8-0.5*($N$8^2))*$O$2 + $N$8*SQRT($O$2)*B7)</f>
        <v>9.9865052190746418E-3</v>
      </c>
      <c r="J8" s="5">
        <f t="shared" ref="J8:J71" ca="1" si="8">ABS(H8-I8)</f>
        <v>1.3189901307434655E-3</v>
      </c>
      <c r="M8" s="1">
        <v>0.1</v>
      </c>
      <c r="N8" s="1">
        <f>O6</f>
        <v>0.1</v>
      </c>
      <c r="Q8" s="7" t="s">
        <v>52</v>
      </c>
    </row>
    <row r="9" spans="1:17" x14ac:dyDescent="0.2">
      <c r="A9">
        <f t="shared" ca="1" si="0"/>
        <v>0.13800990572981509</v>
      </c>
      <c r="B9">
        <f t="shared" ca="1" si="1"/>
        <v>-1.0893040861356618</v>
      </c>
      <c r="C9">
        <f t="shared" ca="1" si="5"/>
        <v>-2.1924213237834191</v>
      </c>
      <c r="D9" s="22">
        <f t="shared" ca="1" si="2"/>
        <v>0.22041784705334697</v>
      </c>
      <c r="F9">
        <f t="shared" si="3"/>
        <v>3.0000000000000001E-3</v>
      </c>
      <c r="G9">
        <f t="shared" ca="1" si="4"/>
        <v>6.5388478549113756E-3</v>
      </c>
      <c r="H9">
        <f t="shared" ca="1" si="6"/>
        <v>6.538674797763354E-3</v>
      </c>
      <c r="I9">
        <f t="shared" ca="1" si="7"/>
        <v>9.9661238795219643E-3</v>
      </c>
      <c r="J9" s="5">
        <f t="shared" ca="1" si="8"/>
        <v>3.4274490817586102E-3</v>
      </c>
      <c r="Q9" s="7" t="s">
        <v>54</v>
      </c>
    </row>
    <row r="10" spans="1:17" x14ac:dyDescent="0.2">
      <c r="A10">
        <f t="shared" ca="1" si="0"/>
        <v>0.18926747293778412</v>
      </c>
      <c r="B10">
        <f t="shared" ca="1" si="1"/>
        <v>-0.88059891535189061</v>
      </c>
      <c r="C10">
        <f t="shared" ca="1" si="5"/>
        <v>-3.0730202391353099</v>
      </c>
      <c r="D10" s="22">
        <f t="shared" ca="1" si="2"/>
        <v>0.2707212032177525</v>
      </c>
      <c r="F10">
        <f t="shared" si="3"/>
        <v>4.0000000000000001E-3</v>
      </c>
      <c r="G10">
        <f t="shared" ca="1" si="4"/>
        <v>3.1036837530414932E-3</v>
      </c>
      <c r="H10">
        <f t="shared" ca="1" si="6"/>
        <v>3.1033389535666421E-3</v>
      </c>
      <c r="I10">
        <f t="shared" ca="1" si="7"/>
        <v>9.9327963834037695E-3</v>
      </c>
      <c r="J10" s="5">
        <f t="shared" ca="1" si="8"/>
        <v>6.8294574298371274E-3</v>
      </c>
    </row>
    <row r="11" spans="1:17" x14ac:dyDescent="0.2">
      <c r="A11">
        <f t="shared" ca="1" si="0"/>
        <v>0.11389023941630272</v>
      </c>
      <c r="B11">
        <f t="shared" ca="1" si="1"/>
        <v>-1.2060959952346357</v>
      </c>
      <c r="C11">
        <f t="shared" ca="1" si="5"/>
        <v>-4.2791162343699458</v>
      </c>
      <c r="D11" s="22">
        <f t="shared" ca="1" si="2"/>
        <v>0.19276714750846627</v>
      </c>
      <c r="F11">
        <f t="shared" si="3"/>
        <v>5.0000000000000001E-3</v>
      </c>
      <c r="G11">
        <f t="shared" ca="1" si="4"/>
        <v>3.2881385172764529E-4</v>
      </c>
      <c r="H11">
        <f t="shared" ca="1" si="6"/>
        <v>3.2833034208549616E-4</v>
      </c>
      <c r="I11">
        <f t="shared" ca="1" si="7"/>
        <v>9.9061160551809999E-3</v>
      </c>
      <c r="J11" s="5">
        <f t="shared" ca="1" si="8"/>
        <v>9.5777857130955046E-3</v>
      </c>
      <c r="L11" s="20" t="s">
        <v>51</v>
      </c>
    </row>
    <row r="12" spans="1:17" x14ac:dyDescent="0.2">
      <c r="A12">
        <f t="shared" ca="1" si="0"/>
        <v>0.22504405623322443</v>
      </c>
      <c r="B12">
        <f t="shared" ca="1" si="1"/>
        <v>-0.75526813756132971</v>
      </c>
      <c r="C12">
        <f t="shared" ca="1" si="5"/>
        <v>-5.0343843719312753</v>
      </c>
      <c r="D12" s="22">
        <f t="shared" ca="1" si="2"/>
        <v>0.29994579229212437</v>
      </c>
      <c r="F12">
        <f t="shared" si="3"/>
        <v>6.0000000000000001E-3</v>
      </c>
      <c r="G12">
        <f t="shared" ca="1" si="4"/>
        <v>-3.4750392571703042E-3</v>
      </c>
      <c r="H12">
        <f t="shared" ca="1" si="6"/>
        <v>-3.4757129126977491E-3</v>
      </c>
      <c r="I12">
        <f t="shared" ca="1" si="7"/>
        <v>9.8693435274232206E-3</v>
      </c>
      <c r="J12" s="5">
        <f t="shared" ca="1" si="8"/>
        <v>1.334505644012097E-2</v>
      </c>
      <c r="L12" s="1" t="s">
        <v>19</v>
      </c>
      <c r="M12" t="s">
        <v>30</v>
      </c>
    </row>
    <row r="13" spans="1:17" x14ac:dyDescent="0.2">
      <c r="A13">
        <f t="shared" ca="1" si="0"/>
        <v>0.2054168738644343</v>
      </c>
      <c r="B13">
        <f t="shared" ca="1" si="1"/>
        <v>-0.82242729906189915</v>
      </c>
      <c r="C13">
        <f t="shared" ca="1" si="5"/>
        <v>-5.8568116709931743</v>
      </c>
      <c r="D13" s="22">
        <f t="shared" ca="1" si="2"/>
        <v>0.28446875254621629</v>
      </c>
      <c r="F13">
        <f t="shared" si="3"/>
        <v>7.0000000000000001E-3</v>
      </c>
      <c r="G13">
        <f t="shared" ca="1" si="4"/>
        <v>-5.8529404160473156E-3</v>
      </c>
      <c r="H13">
        <f t="shared" ca="1" si="6"/>
        <v>-5.8537329002536507E-3</v>
      </c>
      <c r="I13">
        <f t="shared" ca="1" si="7"/>
        <v>9.846735429398604E-3</v>
      </c>
      <c r="J13" s="5">
        <f t="shared" ca="1" si="8"/>
        <v>1.5700468329652256E-2</v>
      </c>
      <c r="L13" t="s">
        <v>24</v>
      </c>
    </row>
    <row r="14" spans="1:17" x14ac:dyDescent="0.2">
      <c r="A14">
        <f t="shared" ca="1" si="0"/>
        <v>0.3520213713670729</v>
      </c>
      <c r="B14">
        <f t="shared" ca="1" si="1"/>
        <v>-0.37986888839961613</v>
      </c>
      <c r="C14">
        <f t="shared" ca="1" si="5"/>
        <v>-6.2366805593927905</v>
      </c>
      <c r="D14" s="22">
        <f t="shared" ca="1" si="2"/>
        <v>0.3711723684099153</v>
      </c>
      <c r="F14">
        <f t="shared" si="3"/>
        <v>8.0000000000000002E-3</v>
      </c>
      <c r="G14">
        <f t="shared" ca="1" si="4"/>
        <v>-8.4429690944330654E-3</v>
      </c>
      <c r="H14">
        <f t="shared" ca="1" si="6"/>
        <v>-8.4438910018996872E-3</v>
      </c>
      <c r="I14">
        <f t="shared" ca="1" si="7"/>
        <v>9.8220929231402753E-3</v>
      </c>
      <c r="J14" s="5">
        <f t="shared" ca="1" si="8"/>
        <v>1.8265983925039961E-2</v>
      </c>
      <c r="L14" s="1" t="s">
        <v>20</v>
      </c>
      <c r="M14" t="s">
        <v>31</v>
      </c>
    </row>
    <row r="15" spans="1:17" x14ac:dyDescent="0.2">
      <c r="A15">
        <f t="shared" ca="1" si="0"/>
        <v>0.25810082731996498</v>
      </c>
      <c r="B15">
        <f t="shared" ca="1" si="1"/>
        <v>-0.64921153848824353</v>
      </c>
      <c r="C15">
        <f t="shared" ca="1" si="5"/>
        <v>-6.8858920978810341</v>
      </c>
      <c r="D15" s="22">
        <f t="shared" ca="1" si="2"/>
        <v>0.32313782497642352</v>
      </c>
      <c r="F15">
        <f t="shared" si="3"/>
        <v>9.0000000000000011E-3</v>
      </c>
      <c r="G15">
        <f t="shared" ca="1" si="4"/>
        <v>-9.6333161792570114E-3</v>
      </c>
      <c r="H15">
        <f t="shared" ca="1" si="6"/>
        <v>-9.6342975123785979E-3</v>
      </c>
      <c r="I15">
        <f t="shared" ca="1" si="7"/>
        <v>9.8112332318874111E-3</v>
      </c>
      <c r="J15" s="5">
        <f t="shared" ca="1" si="8"/>
        <v>1.9445530744266009E-2</v>
      </c>
      <c r="L15" t="s">
        <v>33</v>
      </c>
    </row>
    <row r="16" spans="1:17" x14ac:dyDescent="0.2">
      <c r="A16">
        <f t="shared" ca="1" si="0"/>
        <v>0.82271774653592677</v>
      </c>
      <c r="B16">
        <f t="shared" ca="1" si="1"/>
        <v>0.92577195069818774</v>
      </c>
      <c r="C16">
        <f t="shared" ca="1" si="5"/>
        <v>-5.9601201471828462</v>
      </c>
      <c r="D16" s="22">
        <f t="shared" ca="1" si="2"/>
        <v>0.25989816817414407</v>
      </c>
      <c r="F16">
        <f t="shared" si="3"/>
        <v>1.0000000000000002E-2</v>
      </c>
      <c r="G16">
        <f t="shared" ca="1" si="4"/>
        <v>-1.1675237895591935E-2</v>
      </c>
      <c r="H16">
        <f t="shared" ca="1" si="6"/>
        <v>-1.1676321227512276E-2</v>
      </c>
      <c r="I16">
        <f t="shared" ca="1" si="7"/>
        <v>9.7920417578048983E-3</v>
      </c>
      <c r="J16" s="5">
        <f t="shared" ca="1" si="8"/>
        <v>2.1468362985317173E-2</v>
      </c>
      <c r="L16" s="1" t="s">
        <v>37</v>
      </c>
      <c r="M16" t="s">
        <v>39</v>
      </c>
    </row>
    <row r="17" spans="1:12" x14ac:dyDescent="0.2">
      <c r="A17">
        <f t="shared" ca="1" si="0"/>
        <v>0.94336302397754968</v>
      </c>
      <c r="B17">
        <f t="shared" ca="1" si="1"/>
        <v>1.583647526850505</v>
      </c>
      <c r="C17">
        <f t="shared" ca="1" si="5"/>
        <v>-4.3764726203323416</v>
      </c>
      <c r="D17" s="22">
        <f t="shared" ca="1" si="2"/>
        <v>0.11384603907004634</v>
      </c>
      <c r="F17">
        <f t="shared" si="3"/>
        <v>1.1000000000000003E-2</v>
      </c>
      <c r="G17">
        <f t="shared" ca="1" si="4"/>
        <v>-8.7366693433556849E-3</v>
      </c>
      <c r="H17">
        <f t="shared" ca="1" si="6"/>
        <v>-8.737605637286143E-3</v>
      </c>
      <c r="I17">
        <f t="shared" ca="1" si="7"/>
        <v>9.8216834477736596E-3</v>
      </c>
      <c r="J17" s="5">
        <f t="shared" ca="1" si="8"/>
        <v>1.8559289085059803E-2</v>
      </c>
      <c r="L17" t="s">
        <v>40</v>
      </c>
    </row>
    <row r="18" spans="1:12" x14ac:dyDescent="0.2">
      <c r="A18">
        <f t="shared" ca="1" si="0"/>
        <v>0.22213514444901883</v>
      </c>
      <c r="B18">
        <f t="shared" ca="1" si="1"/>
        <v>-0.76500210879993902</v>
      </c>
      <c r="C18">
        <f t="shared" ca="1" si="5"/>
        <v>-5.1414747291322804</v>
      </c>
      <c r="D18" s="22">
        <f t="shared" ca="1" si="2"/>
        <v>0.29773464373367914</v>
      </c>
      <c r="F18">
        <f t="shared" si="3"/>
        <v>1.2000000000000004E-2</v>
      </c>
      <c r="G18">
        <f t="shared" ca="1" si="4"/>
        <v>-3.7181134105733656E-3</v>
      </c>
      <c r="H18">
        <f t="shared" ca="1" si="6"/>
        <v>-3.7187986809821593E-3</v>
      </c>
      <c r="I18">
        <f t="shared" ca="1" si="7"/>
        <v>9.8719309380336812E-3</v>
      </c>
      <c r="J18" s="5">
        <f t="shared" ca="1" si="8"/>
        <v>1.3590729619015841E-2</v>
      </c>
    </row>
    <row r="19" spans="1:12" x14ac:dyDescent="0.2">
      <c r="A19">
        <f t="shared" ca="1" si="0"/>
        <v>0.47209335624695159</v>
      </c>
      <c r="B19">
        <f t="shared" ca="1" si="1"/>
        <v>-7.0008728315970589E-2</v>
      </c>
      <c r="C19">
        <f t="shared" ca="1" si="5"/>
        <v>-5.2114834574482511</v>
      </c>
      <c r="D19" s="22">
        <f t="shared" ca="1" si="2"/>
        <v>0.39796582499751487</v>
      </c>
      <c r="F19">
        <f t="shared" si="3"/>
        <v>1.3000000000000005E-2</v>
      </c>
      <c r="G19">
        <f t="shared" ca="1" si="4"/>
        <v>-6.1267702440310785E-3</v>
      </c>
      <c r="H19">
        <f t="shared" ca="1" si="6"/>
        <v>-6.1275758797538077E-3</v>
      </c>
      <c r="I19">
        <f t="shared" ca="1" si="7"/>
        <v>9.8490137406471757E-3</v>
      </c>
      <c r="J19" s="5">
        <f t="shared" ca="1" si="8"/>
        <v>1.5976589620400983E-2</v>
      </c>
    </row>
    <row r="20" spans="1:12" x14ac:dyDescent="0.2">
      <c r="A20">
        <f t="shared" ca="1" si="0"/>
        <v>0.40290098393899565</v>
      </c>
      <c r="B20">
        <f t="shared" ca="1" si="1"/>
        <v>-0.2458453268095267</v>
      </c>
      <c r="C20">
        <f t="shared" ca="1" si="5"/>
        <v>-5.4573287842577782</v>
      </c>
      <c r="D20" s="22">
        <f t="shared" ca="1" si="2"/>
        <v>0.38706660471202919</v>
      </c>
      <c r="F20">
        <f t="shared" si="3"/>
        <v>1.4000000000000005E-2</v>
      </c>
      <c r="G20">
        <f t="shared" ca="1" si="4"/>
        <v>-6.3375340663025552E-3</v>
      </c>
      <c r="H20">
        <f t="shared" ca="1" si="6"/>
        <v>-6.3383501597362238E-3</v>
      </c>
      <c r="I20">
        <f t="shared" ca="1" si="7"/>
        <v>9.8477690316367047E-3</v>
      </c>
      <c r="J20" s="5">
        <f t="shared" ca="1" si="8"/>
        <v>1.618611919137293E-2</v>
      </c>
    </row>
    <row r="21" spans="1:12" x14ac:dyDescent="0.2">
      <c r="A21">
        <f t="shared" ca="1" si="0"/>
        <v>0.21255174980501601</v>
      </c>
      <c r="B21">
        <f t="shared" ca="1" si="1"/>
        <v>-0.79759853819066595</v>
      </c>
      <c r="C21">
        <f t="shared" ca="1" si="5"/>
        <v>-6.2549273224484443</v>
      </c>
      <c r="D21" s="22">
        <f t="shared" ca="1" si="2"/>
        <v>0.29024779734102296</v>
      </c>
      <c r="F21">
        <f t="shared" si="3"/>
        <v>1.5000000000000006E-2</v>
      </c>
      <c r="G21">
        <f t="shared" ca="1" si="4"/>
        <v>-7.1042931594527698E-3</v>
      </c>
      <c r="H21">
        <f t="shared" ca="1" si="6"/>
        <v>-7.105147509546811E-3</v>
      </c>
      <c r="I21">
        <f t="shared" ca="1" si="7"/>
        <v>9.8410508995406959E-3</v>
      </c>
      <c r="J21" s="5">
        <f t="shared" ca="1" si="8"/>
        <v>1.6946198409087506E-2</v>
      </c>
    </row>
    <row r="22" spans="1:12" x14ac:dyDescent="0.2">
      <c r="A22">
        <f t="shared" ca="1" si="0"/>
        <v>0.93006185226896632</v>
      </c>
      <c r="B22">
        <f t="shared" ca="1" si="1"/>
        <v>1.4762518479199596</v>
      </c>
      <c r="C22">
        <f t="shared" ca="1" si="5"/>
        <v>-4.7786754745284847</v>
      </c>
      <c r="D22" s="22">
        <f t="shared" ca="1" si="2"/>
        <v>0.13417661929687086</v>
      </c>
      <c r="F22">
        <f t="shared" si="3"/>
        <v>1.6000000000000007E-2</v>
      </c>
      <c r="G22">
        <f t="shared" ca="1" si="4"/>
        <v>-9.6156851985961956E-3</v>
      </c>
      <c r="H22">
        <f t="shared" ca="1" si="6"/>
        <v>-9.6166650338991543E-3</v>
      </c>
      <c r="I22">
        <f t="shared" ca="1" si="7"/>
        <v>9.8171933903835867E-3</v>
      </c>
      <c r="J22" s="5">
        <f t="shared" ca="1" si="8"/>
        <v>1.9433858424282739E-2</v>
      </c>
    </row>
    <row r="23" spans="1:12" x14ac:dyDescent="0.2">
      <c r="A23">
        <f t="shared" ca="1" si="0"/>
        <v>0.97803724478320975</v>
      </c>
      <c r="B23">
        <f t="shared" ca="1" si="1"/>
        <v>2.014800940880948</v>
      </c>
      <c r="C23">
        <f t="shared" ca="1" si="5"/>
        <v>-2.7638745336475368</v>
      </c>
      <c r="D23" s="22">
        <f t="shared" ca="1" si="2"/>
        <v>5.2410414946078447E-2</v>
      </c>
      <c r="F23">
        <f t="shared" si="3"/>
        <v>1.7000000000000008E-2</v>
      </c>
      <c r="G23">
        <f t="shared" ca="1" si="4"/>
        <v>-4.9366393448636503E-3</v>
      </c>
      <c r="H23">
        <f t="shared" ca="1" si="6"/>
        <v>-4.9373851279361893E-3</v>
      </c>
      <c r="I23">
        <f t="shared" ca="1" si="7"/>
        <v>9.8640673559000532E-3</v>
      </c>
      <c r="J23" s="5">
        <f t="shared" ca="1" si="8"/>
        <v>1.4801452483836242E-2</v>
      </c>
    </row>
    <row r="24" spans="1:12" x14ac:dyDescent="0.2">
      <c r="A24">
        <f t="shared" ca="1" si="0"/>
        <v>0.71941930080994332</v>
      </c>
      <c r="B24">
        <f t="shared" ca="1" si="1"/>
        <v>0.58111730200780709</v>
      </c>
      <c r="C24">
        <f t="shared" ca="1" si="5"/>
        <v>-2.1827572316397297</v>
      </c>
      <c r="D24" s="22">
        <f t="shared" ca="1" si="2"/>
        <v>0.33696129982079998</v>
      </c>
      <c r="F24">
        <f t="shared" si="3"/>
        <v>1.8000000000000009E-2</v>
      </c>
      <c r="G24">
        <f t="shared" ca="1" si="4"/>
        <v>1.444895244712017E-3</v>
      </c>
      <c r="H24">
        <f t="shared" ca="1" si="6"/>
        <v>1.4444686156106579E-3</v>
      </c>
      <c r="I24">
        <f t="shared" ca="1" si="7"/>
        <v>9.9280586388972615E-3</v>
      </c>
      <c r="J24" s="5">
        <f t="shared" ca="1" si="8"/>
        <v>8.4835900232866045E-3</v>
      </c>
    </row>
    <row r="25" spans="1:12" x14ac:dyDescent="0.2">
      <c r="A25">
        <f t="shared" ca="1" si="0"/>
        <v>0.50602944409898165</v>
      </c>
      <c r="B25">
        <f t="shared" ca="1" si="1"/>
        <v>1.5114150479001448E-2</v>
      </c>
      <c r="C25">
        <f t="shared" ca="1" si="5"/>
        <v>-2.1676430811607283</v>
      </c>
      <c r="D25" s="22">
        <f t="shared" ca="1" si="2"/>
        <v>0.39889671630611345</v>
      </c>
      <c r="F25">
        <f t="shared" si="3"/>
        <v>1.900000000000001E-2</v>
      </c>
      <c r="G25">
        <f t="shared" ca="1" si="4"/>
        <v>3.292312645620233E-3</v>
      </c>
      <c r="H25">
        <f t="shared" ca="1" si="6"/>
        <v>3.2919784308257068E-3</v>
      </c>
      <c r="I25">
        <f t="shared" ca="1" si="7"/>
        <v>9.9472646970968619E-3</v>
      </c>
      <c r="J25" s="5">
        <f t="shared" ca="1" si="8"/>
        <v>6.6552862662711551E-3</v>
      </c>
    </row>
    <row r="26" spans="1:12" x14ac:dyDescent="0.2">
      <c r="A26">
        <f t="shared" ca="1" si="0"/>
        <v>0.49146901090679984</v>
      </c>
      <c r="B26">
        <f t="shared" ca="1" si="1"/>
        <v>-2.1385648466417738E-2</v>
      </c>
      <c r="C26">
        <f t="shared" ca="1" si="5"/>
        <v>-2.1890287296271462</v>
      </c>
      <c r="D26" s="22">
        <f t="shared" ca="1" si="2"/>
        <v>0.39885106351107624</v>
      </c>
      <c r="F26">
        <f t="shared" si="3"/>
        <v>2.0000000000000011E-2</v>
      </c>
      <c r="G26">
        <f t="shared" ca="1" si="4"/>
        <v>3.3497756815880691E-3</v>
      </c>
      <c r="H26">
        <f t="shared" ca="1" si="6"/>
        <v>3.3494443733947938E-3</v>
      </c>
      <c r="I26">
        <f t="shared" ca="1" si="7"/>
        <v>9.9486852195754399E-3</v>
      </c>
      <c r="J26" s="5">
        <f t="shared" ca="1" si="8"/>
        <v>6.5992408461806457E-3</v>
      </c>
    </row>
    <row r="27" spans="1:12" x14ac:dyDescent="0.2">
      <c r="A27">
        <f t="shared" ca="1" si="0"/>
        <v>0.11665458047813293</v>
      </c>
      <c r="B27">
        <f t="shared" ca="1" si="1"/>
        <v>-1.1918778080141366</v>
      </c>
      <c r="C27">
        <f t="shared" ca="1" si="5"/>
        <v>-3.380906537641283</v>
      </c>
      <c r="D27" s="22">
        <f t="shared" ca="1" si="2"/>
        <v>0.19608150039800151</v>
      </c>
      <c r="F27">
        <f t="shared" si="3"/>
        <v>2.1000000000000012E-2</v>
      </c>
      <c r="G27">
        <f t="shared" ca="1" si="4"/>
        <v>3.291816243618365E-3</v>
      </c>
      <c r="H27">
        <f t="shared" ca="1" si="6"/>
        <v>3.2914820705638877E-3</v>
      </c>
      <c r="I27">
        <f t="shared" ca="1" si="7"/>
        <v>9.9489575450975275E-3</v>
      </c>
      <c r="J27" s="5">
        <f t="shared" ca="1" si="8"/>
        <v>6.6574754745336393E-3</v>
      </c>
    </row>
    <row r="28" spans="1:12" x14ac:dyDescent="0.2">
      <c r="A28">
        <f t="shared" ca="1" si="0"/>
        <v>0.17372293535262062</v>
      </c>
      <c r="B28">
        <f t="shared" ca="1" si="1"/>
        <v>-0.93955499447271096</v>
      </c>
      <c r="C28">
        <f t="shared" ca="1" si="5"/>
        <v>-4.3204615321139936</v>
      </c>
      <c r="D28" s="22">
        <f t="shared" ca="1" si="2"/>
        <v>0.2565785747372003</v>
      </c>
      <c r="F28">
        <f t="shared" si="3"/>
        <v>2.2000000000000013E-2</v>
      </c>
      <c r="G28">
        <f t="shared" ca="1" si="4"/>
        <v>-4.67373542887904E-4</v>
      </c>
      <c r="H28">
        <f t="shared" ca="1" si="6"/>
        <v>-4.6789564357672909E-4</v>
      </c>
      <c r="I28">
        <f t="shared" ca="1" si="7"/>
        <v>9.9124716583987357E-3</v>
      </c>
      <c r="J28" s="5">
        <f t="shared" ca="1" si="8"/>
        <v>1.0380367301975465E-2</v>
      </c>
    </row>
    <row r="29" spans="1:12" x14ac:dyDescent="0.2">
      <c r="A29">
        <f t="shared" ca="1" si="0"/>
        <v>0.75144712044416839</v>
      </c>
      <c r="B29">
        <f t="shared" ca="1" si="1"/>
        <v>0.67905066693205152</v>
      </c>
      <c r="C29">
        <f t="shared" ca="1" si="5"/>
        <v>-3.6414108651819421</v>
      </c>
      <c r="D29" s="22">
        <f t="shared" ca="1" si="2"/>
        <v>0.31679720637701958</v>
      </c>
      <c r="F29">
        <f t="shared" si="3"/>
        <v>2.3000000000000013E-2</v>
      </c>
      <c r="G29">
        <f t="shared" ca="1" si="4"/>
        <v>-3.4283125268755334E-3</v>
      </c>
      <c r="H29">
        <f t="shared" ca="1" si="6"/>
        <v>-3.4289826235330504E-3</v>
      </c>
      <c r="I29">
        <f t="shared" ca="1" si="7"/>
        <v>9.8840030233486396E-3</v>
      </c>
      <c r="J29" s="5">
        <f t="shared" ca="1" si="8"/>
        <v>1.331298564688169E-2</v>
      </c>
    </row>
    <row r="30" spans="1:12" x14ac:dyDescent="0.2">
      <c r="A30">
        <f t="shared" ca="1" si="0"/>
        <v>0.84051023558314708</v>
      </c>
      <c r="B30">
        <f t="shared" ca="1" si="1"/>
        <v>0.99655711905454725</v>
      </c>
      <c r="C30">
        <f t="shared" ca="1" si="5"/>
        <v>-2.6448537461273949</v>
      </c>
      <c r="D30" s="22">
        <f t="shared" ca="1" si="2"/>
        <v>0.24280379762151644</v>
      </c>
      <c r="F30">
        <f t="shared" si="3"/>
        <v>2.4000000000000014E-2</v>
      </c>
      <c r="G30">
        <f t="shared" ca="1" si="4"/>
        <v>-1.2707308214497696E-3</v>
      </c>
      <c r="H30">
        <f t="shared" ca="1" si="6"/>
        <v>-1.2712929711090316E-3</v>
      </c>
      <c r="I30">
        <f t="shared" ca="1" si="7"/>
        <v>9.9061912530014548E-3</v>
      </c>
      <c r="J30" s="5">
        <f t="shared" ca="1" si="8"/>
        <v>1.1177484224110487E-2</v>
      </c>
    </row>
    <row r="31" spans="1:12" x14ac:dyDescent="0.2">
      <c r="A31">
        <f t="shared" ca="1" si="0"/>
        <v>0.94981150582306939</v>
      </c>
      <c r="B31">
        <f t="shared" ca="1" si="1"/>
        <v>1.6430287338057221</v>
      </c>
      <c r="C31">
        <f t="shared" ca="1" si="5"/>
        <v>-1.0018250123216728</v>
      </c>
      <c r="D31" s="22">
        <f t="shared" ca="1" si="2"/>
        <v>0.10344551362909325</v>
      </c>
      <c r="F31">
        <f t="shared" si="3"/>
        <v>2.5000000000000015E-2</v>
      </c>
      <c r="G31">
        <f t="shared" ca="1" si="4"/>
        <v>1.8906284970129305E-3</v>
      </c>
      <c r="H31">
        <f t="shared" ca="1" si="6"/>
        <v>1.8902244728560343E-3</v>
      </c>
      <c r="I31">
        <f t="shared" ca="1" si="7"/>
        <v>9.9384028737973459E-3</v>
      </c>
      <c r="J31" s="5">
        <f t="shared" ca="1" si="8"/>
        <v>8.048178400941311E-3</v>
      </c>
    </row>
    <row r="32" spans="1:12" x14ac:dyDescent="0.2">
      <c r="A32">
        <f t="shared" ca="1" si="0"/>
        <v>0.33134296819487741</v>
      </c>
      <c r="B32">
        <f t="shared" ca="1" si="1"/>
        <v>-0.43620784526921019</v>
      </c>
      <c r="C32">
        <f t="shared" ca="1" si="5"/>
        <v>-1.438032857590883</v>
      </c>
      <c r="D32" s="22">
        <f t="shared" ca="1" si="2"/>
        <v>0.36273701809030623</v>
      </c>
      <c r="F32">
        <f t="shared" si="3"/>
        <v>2.6000000000000016E-2</v>
      </c>
      <c r="G32">
        <f t="shared" ca="1" si="4"/>
        <v>7.0958922287322305E-3</v>
      </c>
      <c r="H32">
        <f t="shared" ca="1" si="6"/>
        <v>7.0957485103373226E-3</v>
      </c>
      <c r="I32">
        <f t="shared" ca="1" si="7"/>
        <v>9.9911234534282474E-3</v>
      </c>
      <c r="J32" s="5">
        <f t="shared" ca="1" si="8"/>
        <v>2.8953749430909248E-3</v>
      </c>
    </row>
    <row r="33" spans="1:15" x14ac:dyDescent="0.2">
      <c r="A33">
        <f t="shared" ca="1" si="0"/>
        <v>0.74881170249223372</v>
      </c>
      <c r="B33">
        <f t="shared" ca="1" si="1"/>
        <v>0.67075503743570963</v>
      </c>
      <c r="C33">
        <f t="shared" ca="1" si="5"/>
        <v>-0.76727782015517332</v>
      </c>
      <c r="D33" s="22">
        <f t="shared" ca="1" si="2"/>
        <v>0.31857584726931681</v>
      </c>
      <c r="F33">
        <f t="shared" si="3"/>
        <v>2.7000000000000017E-2</v>
      </c>
      <c r="G33">
        <f t="shared" ca="1" si="4"/>
        <v>5.7258408183618612E-3</v>
      </c>
      <c r="H33">
        <f t="shared" ca="1" si="6"/>
        <v>5.7256286112012797E-3</v>
      </c>
      <c r="I33">
        <f t="shared" ca="1" si="7"/>
        <v>9.9782989890137598E-3</v>
      </c>
      <c r="J33" s="5">
        <f t="shared" ca="1" si="8"/>
        <v>4.2526703778124801E-3</v>
      </c>
    </row>
    <row r="34" spans="1:15" x14ac:dyDescent="0.2">
      <c r="A34">
        <f t="shared" ca="1" si="0"/>
        <v>3.0978622715273962E-2</v>
      </c>
      <c r="B34">
        <f t="shared" ca="1" si="1"/>
        <v>-1.8666015897718016</v>
      </c>
      <c r="C34">
        <f t="shared" ca="1" si="5"/>
        <v>-2.6338794099269749</v>
      </c>
      <c r="D34" s="22">
        <f t="shared" ca="1" si="2"/>
        <v>6.9875563672221891E-2</v>
      </c>
      <c r="F34">
        <f t="shared" si="3"/>
        <v>2.8000000000000018E-2</v>
      </c>
      <c r="G34">
        <f t="shared" ca="1" si="4"/>
        <v>7.8562753819885686E-3</v>
      </c>
      <c r="H34">
        <f t="shared" ca="1" si="6"/>
        <v>7.8561697186685098E-3</v>
      </c>
      <c r="I34">
        <f t="shared" ca="1" si="7"/>
        <v>1.0000436554430517E-2</v>
      </c>
      <c r="J34" s="5">
        <f t="shared" ca="1" si="8"/>
        <v>2.1442668357620071E-3</v>
      </c>
      <c r="L34" s="24" t="s">
        <v>55</v>
      </c>
    </row>
    <row r="35" spans="1:15" x14ac:dyDescent="0.2">
      <c r="A35">
        <f t="shared" ca="1" si="0"/>
        <v>0.45685538850228957</v>
      </c>
      <c r="B35">
        <f t="shared" ca="1" si="1"/>
        <v>-0.10835918385314956</v>
      </c>
      <c r="C35">
        <f t="shared" ca="1" si="5"/>
        <v>-2.7422385937801246</v>
      </c>
      <c r="D35" s="22">
        <f t="shared" ca="1" si="2"/>
        <v>0.39660700930426307</v>
      </c>
      <c r="F35">
        <f t="shared" si="3"/>
        <v>2.9000000000000019E-2</v>
      </c>
      <c r="G35">
        <f t="shared" ca="1" si="4"/>
        <v>1.9630719093055625E-3</v>
      </c>
      <c r="H35">
        <f t="shared" ca="1" si="6"/>
        <v>1.962671593926494E-3</v>
      </c>
      <c r="I35">
        <f t="shared" ca="1" si="7"/>
        <v>9.9425252229290561E-3</v>
      </c>
      <c r="J35" s="5">
        <f t="shared" ca="1" si="8"/>
        <v>7.9798536290025621E-3</v>
      </c>
      <c r="L35" cm="1">
        <f t="array" aca="1" ref="L35" ca="1">CKLSMLE(H6:H1005,L38,M38,N38,O38,O2)</f>
        <v>-3041781802.9198508</v>
      </c>
    </row>
    <row r="36" spans="1:15" x14ac:dyDescent="0.2">
      <c r="A36">
        <f t="shared" ca="1" si="0"/>
        <v>3.1301960252211769E-2</v>
      </c>
      <c r="B36">
        <f t="shared" ca="1" si="1"/>
        <v>-1.8619941097049391</v>
      </c>
      <c r="C36">
        <f t="shared" ca="1" si="5"/>
        <v>-4.6042327034850636</v>
      </c>
      <c r="D36" s="22">
        <f t="shared" ca="1" si="2"/>
        <v>7.0478360080684296E-2</v>
      </c>
      <c r="F36">
        <f t="shared" si="3"/>
        <v>3.000000000000002E-2</v>
      </c>
      <c r="G36">
        <f t="shared" ca="1" si="4"/>
        <v>1.6302304179509086E-3</v>
      </c>
      <c r="H36">
        <f t="shared" ca="1" si="6"/>
        <v>1.6298135003942082E-3</v>
      </c>
      <c r="I36">
        <f t="shared" ca="1" si="7"/>
        <v>9.9400631438676702E-3</v>
      </c>
      <c r="J36" s="5">
        <f t="shared" ca="1" si="8"/>
        <v>8.3102496434734625E-3</v>
      </c>
      <c r="L36" s="1" t="s">
        <v>47</v>
      </c>
    </row>
    <row r="37" spans="1:15" x14ac:dyDescent="0.2">
      <c r="A37">
        <f t="shared" ca="1" si="0"/>
        <v>8.9104487935590226E-2</v>
      </c>
      <c r="B37">
        <f t="shared" ca="1" si="1"/>
        <v>-1.3462901045437361</v>
      </c>
      <c r="C37">
        <f t="shared" ca="1" si="5"/>
        <v>-5.9505228080287997</v>
      </c>
      <c r="D37" s="22">
        <f t="shared" ca="1" si="2"/>
        <v>0.16118749022231962</v>
      </c>
      <c r="F37">
        <f t="shared" si="3"/>
        <v>3.1000000000000021E-2</v>
      </c>
      <c r="G37">
        <f t="shared" ca="1" si="4"/>
        <v>-4.2477810785559829E-3</v>
      </c>
      <c r="H37">
        <f t="shared" ca="1" si="6"/>
        <v>-4.2484918574408701E-3</v>
      </c>
      <c r="I37">
        <f t="shared" ca="1" si="7"/>
        <v>9.8826454179551017E-3</v>
      </c>
      <c r="J37" s="5">
        <f t="shared" ca="1" si="8"/>
        <v>1.4131137275395972E-2</v>
      </c>
      <c r="L37" s="12" t="s">
        <v>10</v>
      </c>
      <c r="M37" s="12" t="s">
        <v>11</v>
      </c>
      <c r="N37" s="12" t="s">
        <v>12</v>
      </c>
      <c r="O37" s="12" t="s">
        <v>13</v>
      </c>
    </row>
    <row r="38" spans="1:15" x14ac:dyDescent="0.2">
      <c r="A38">
        <f t="shared" ca="1" si="0"/>
        <v>0.51542551109115164</v>
      </c>
      <c r="B38">
        <f t="shared" ca="1" si="1"/>
        <v>3.8675661975291278E-2</v>
      </c>
      <c r="C38">
        <f t="shared" ca="1" si="5"/>
        <v>-5.9118471460535087</v>
      </c>
      <c r="D38" s="22">
        <f t="shared" ca="1" si="2"/>
        <v>0.39864402165595669</v>
      </c>
      <c r="F38">
        <f t="shared" si="3"/>
        <v>3.2000000000000021E-2</v>
      </c>
      <c r="G38">
        <f t="shared" ca="1" si="4"/>
        <v>-8.4944870850870609E-3</v>
      </c>
      <c r="H38">
        <f t="shared" ca="1" si="6"/>
        <v>-8.4954101299595346E-3</v>
      </c>
      <c r="I38">
        <f t="shared" ca="1" si="7"/>
        <v>9.8415959470324055E-3</v>
      </c>
      <c r="J38" s="5">
        <f t="shared" ca="1" si="8"/>
        <v>1.833700607699194E-2</v>
      </c>
      <c r="L38" s="13">
        <v>0</v>
      </c>
      <c r="M38" s="13">
        <v>0</v>
      </c>
      <c r="N38" s="13">
        <v>0.1</v>
      </c>
      <c r="O38" s="25">
        <v>1</v>
      </c>
    </row>
    <row r="39" spans="1:15" x14ac:dyDescent="0.2">
      <c r="A39">
        <f t="shared" ca="1" si="0"/>
        <v>0.47860466448215699</v>
      </c>
      <c r="B39">
        <f t="shared" ca="1" si="1"/>
        <v>-5.3655887314123664E-2</v>
      </c>
      <c r="C39">
        <f t="shared" ca="1" si="5"/>
        <v>-5.9655030333676322</v>
      </c>
      <c r="D39" s="22">
        <f t="shared" ca="1" si="2"/>
        <v>0.39836842524068056</v>
      </c>
      <c r="F39">
        <f t="shared" si="3"/>
        <v>3.3000000000000022E-2</v>
      </c>
      <c r="G39">
        <f t="shared" ca="1" si="4"/>
        <v>-8.3613411118805235E-3</v>
      </c>
      <c r="H39">
        <f t="shared" ca="1" si="6"/>
        <v>-8.3622574070898528E-3</v>
      </c>
      <c r="I39">
        <f t="shared" ca="1" si="7"/>
        <v>9.8437347895264666E-3</v>
      </c>
      <c r="J39" s="5">
        <f t="shared" ca="1" si="8"/>
        <v>1.8205992196616318E-2</v>
      </c>
    </row>
    <row r="40" spans="1:15" x14ac:dyDescent="0.2">
      <c r="A40">
        <f t="shared" ca="1" si="0"/>
        <v>0.84777577448522923</v>
      </c>
      <c r="B40">
        <f t="shared" ca="1" si="1"/>
        <v>1.0269405661712985</v>
      </c>
      <c r="C40">
        <f t="shared" ca="1" si="5"/>
        <v>-4.9385624671963342</v>
      </c>
      <c r="D40" s="22">
        <f t="shared" ca="1" si="2"/>
        <v>0.23545346252108834</v>
      </c>
      <c r="F40">
        <f t="shared" si="3"/>
        <v>3.4000000000000023E-2</v>
      </c>
      <c r="G40">
        <f t="shared" ca="1" si="4"/>
        <v>-8.5201718499607303E-3</v>
      </c>
      <c r="H40">
        <f t="shared" ca="1" si="6"/>
        <v>-8.5210959951391094E-3</v>
      </c>
      <c r="I40">
        <f t="shared" ca="1" si="7"/>
        <v>9.8429997379093238E-3</v>
      </c>
      <c r="J40" s="5">
        <f t="shared" ca="1" si="8"/>
        <v>1.8364095733048431E-2</v>
      </c>
      <c r="L40" s="24" t="s">
        <v>56</v>
      </c>
    </row>
    <row r="41" spans="1:15" x14ac:dyDescent="0.2">
      <c r="A41">
        <f t="shared" ca="1" si="0"/>
        <v>0.1403483535653901</v>
      </c>
      <c r="B41">
        <f t="shared" ca="1" si="1"/>
        <v>-1.0787555674078066</v>
      </c>
      <c r="C41">
        <f t="shared" ca="1" si="5"/>
        <v>-6.0173180346041413</v>
      </c>
      <c r="D41" s="22">
        <f t="shared" ca="1" si="2"/>
        <v>0.22295277075003694</v>
      </c>
      <c r="F41">
        <f t="shared" si="3"/>
        <v>3.5000000000000024E-2</v>
      </c>
      <c r="G41">
        <f t="shared" ca="1" si="4"/>
        <v>-5.2620115314296091E-3</v>
      </c>
      <c r="H41">
        <f t="shared" ca="1" si="6"/>
        <v>-5.2627726748154307E-3</v>
      </c>
      <c r="I41">
        <f t="shared" ca="1" si="7"/>
        <v>9.8759547260285699E-3</v>
      </c>
      <c r="J41" s="5">
        <f t="shared" ca="1" si="8"/>
        <v>1.5138727400844001E-2</v>
      </c>
      <c r="L41" cm="1">
        <f t="array" aca="1" ref="L41" ca="1">CKLSMLE(H6:H1005,L44,M44,N44,O44,O2)</f>
        <v>4331.9304202675103</v>
      </c>
    </row>
    <row r="42" spans="1:15" x14ac:dyDescent="0.2">
      <c r="A42">
        <f t="shared" ca="1" si="0"/>
        <v>0.42989626798676428</v>
      </c>
      <c r="B42">
        <f t="shared" ca="1" si="1"/>
        <v>-0.17663826444183478</v>
      </c>
      <c r="C42">
        <f t="shared" ca="1" si="5"/>
        <v>-6.1939562990459764</v>
      </c>
      <c r="D42" s="22">
        <f t="shared" ca="1" si="2"/>
        <v>0.3927668612801502</v>
      </c>
      <c r="F42">
        <f t="shared" si="3"/>
        <v>3.6000000000000025E-2</v>
      </c>
      <c r="G42">
        <f t="shared" ca="1" si="4"/>
        <v>-8.6626399290399888E-3</v>
      </c>
      <c r="H42">
        <f t="shared" ca="1" si="6"/>
        <v>-8.66357102914392E-3</v>
      </c>
      <c r="I42">
        <f t="shared" ca="1" si="7"/>
        <v>9.8432571020454114E-3</v>
      </c>
      <c r="J42" s="5">
        <f t="shared" ca="1" si="8"/>
        <v>1.8506828131189333E-2</v>
      </c>
      <c r="L42" s="1" t="s">
        <v>47</v>
      </c>
    </row>
    <row r="43" spans="1:15" x14ac:dyDescent="0.2">
      <c r="A43">
        <f t="shared" ca="1" si="0"/>
        <v>0.91925391530847067</v>
      </c>
      <c r="B43">
        <f t="shared" ca="1" si="1"/>
        <v>1.4000706287588653</v>
      </c>
      <c r="C43">
        <f t="shared" ca="1" si="5"/>
        <v>-4.7938856702871107</v>
      </c>
      <c r="D43" s="22">
        <f t="shared" ca="1" si="2"/>
        <v>0.1497126609031792</v>
      </c>
      <c r="F43">
        <f t="shared" si="3"/>
        <v>3.7000000000000026E-2</v>
      </c>
      <c r="G43">
        <f t="shared" ca="1" si="4"/>
        <v>-9.2103255181192802E-3</v>
      </c>
      <c r="H43">
        <f t="shared" ca="1" si="6"/>
        <v>-9.2112839096163343E-3</v>
      </c>
      <c r="I43">
        <f t="shared" ca="1" si="7"/>
        <v>9.8386950299454417E-3</v>
      </c>
      <c r="J43" s="5">
        <f t="shared" ca="1" si="8"/>
        <v>1.9049978939561778E-2</v>
      </c>
      <c r="L43" s="12" t="s">
        <v>10</v>
      </c>
      <c r="M43" s="12" t="s">
        <v>11</v>
      </c>
      <c r="N43" s="12" t="s">
        <v>12</v>
      </c>
      <c r="O43" s="12" t="s">
        <v>13</v>
      </c>
    </row>
    <row r="44" spans="1:15" x14ac:dyDescent="0.2">
      <c r="A44">
        <f t="shared" ca="1" si="0"/>
        <v>0.1208586609772333</v>
      </c>
      <c r="B44">
        <f t="shared" ca="1" si="1"/>
        <v>-1.1707051312952514</v>
      </c>
      <c r="C44">
        <f t="shared" ca="1" si="5"/>
        <v>-5.9645908015823625</v>
      </c>
      <c r="D44" s="22">
        <f t="shared" ca="1" si="2"/>
        <v>0.20104755931077217</v>
      </c>
      <c r="F44">
        <f t="shared" si="3"/>
        <v>3.8000000000000027E-2</v>
      </c>
      <c r="G44">
        <f t="shared" ca="1" si="4"/>
        <v>-4.7722143209990645E-3</v>
      </c>
      <c r="H44">
        <f t="shared" ca="1" si="6"/>
        <v>-4.7729507092433166E-3</v>
      </c>
      <c r="I44">
        <f t="shared" ca="1" si="7"/>
        <v>9.8832904264950922E-3</v>
      </c>
      <c r="J44" s="5">
        <f t="shared" ca="1" si="8"/>
        <v>1.4656241135738409E-2</v>
      </c>
      <c r="L44" s="13">
        <v>0.01</v>
      </c>
      <c r="M44" s="13">
        <v>-0.1</v>
      </c>
      <c r="N44" s="13">
        <v>0.1</v>
      </c>
      <c r="O44" s="25">
        <v>0</v>
      </c>
    </row>
    <row r="45" spans="1:15" x14ac:dyDescent="0.2">
      <c r="A45">
        <f t="shared" ca="1" si="0"/>
        <v>0.89452997288794744</v>
      </c>
      <c r="B45">
        <f t="shared" ca="1" si="1"/>
        <v>1.2509847146542707</v>
      </c>
      <c r="C45">
        <f t="shared" ca="1" si="5"/>
        <v>-4.7136060869280918</v>
      </c>
      <c r="D45" s="22">
        <f t="shared" ca="1" si="2"/>
        <v>0.18242431371414791</v>
      </c>
      <c r="F45">
        <f t="shared" si="3"/>
        <v>3.9000000000000028E-2</v>
      </c>
      <c r="G45">
        <f t="shared" ca="1" si="4"/>
        <v>-8.4636472097282308E-3</v>
      </c>
      <c r="H45">
        <f t="shared" ca="1" si="6"/>
        <v>-8.4645680975118549E-3</v>
      </c>
      <c r="I45">
        <f t="shared" ca="1" si="7"/>
        <v>9.8477046813041508E-3</v>
      </c>
      <c r="J45" s="5">
        <f t="shared" ca="1" si="8"/>
        <v>1.8312272778816006E-2</v>
      </c>
    </row>
    <row r="46" spans="1:15" x14ac:dyDescent="0.2">
      <c r="A46">
        <f t="shared" ca="1" si="0"/>
        <v>0.4539106234896233</v>
      </c>
      <c r="B46">
        <f t="shared" ca="1" si="1"/>
        <v>-0.11578713466689046</v>
      </c>
      <c r="C46">
        <f t="shared" ca="1" si="5"/>
        <v>-4.829393221594982</v>
      </c>
      <c r="D46" s="22">
        <f t="shared" ca="1" si="2"/>
        <v>0.39627698170344378</v>
      </c>
      <c r="F46">
        <f t="shared" si="3"/>
        <v>4.0000000000000029E-2</v>
      </c>
      <c r="G46">
        <f t="shared" ca="1" si="4"/>
        <v>-4.4970381607536934E-3</v>
      </c>
      <c r="H46">
        <f t="shared" ca="1" si="6"/>
        <v>-4.4977606243387881E-3</v>
      </c>
      <c r="I46">
        <f t="shared" ca="1" si="7"/>
        <v>9.8876782601086781E-3</v>
      </c>
      <c r="J46" s="5">
        <f t="shared" ca="1" si="8"/>
        <v>1.4385438884447467E-2</v>
      </c>
    </row>
    <row r="47" spans="1:15" x14ac:dyDescent="0.2">
      <c r="A47">
        <f t="shared" ca="1" si="0"/>
        <v>0.24339528373523922</v>
      </c>
      <c r="B47">
        <f t="shared" ca="1" si="1"/>
        <v>-0.69542249456419369</v>
      </c>
      <c r="C47">
        <f t="shared" ca="1" si="5"/>
        <v>-5.5248157161591758</v>
      </c>
      <c r="D47" s="22">
        <f t="shared" ca="1" si="2"/>
        <v>0.31325279703061604</v>
      </c>
      <c r="F47">
        <f t="shared" si="3"/>
        <v>4.1000000000000029E-2</v>
      </c>
      <c r="G47">
        <f t="shared" ca="1" si="4"/>
        <v>-4.8527217419067252E-3</v>
      </c>
      <c r="H47">
        <f t="shared" ca="1" si="6"/>
        <v>-4.8534619175683693E-3</v>
      </c>
      <c r="I47">
        <f t="shared" ca="1" si="7"/>
        <v>9.8849975690281852E-3</v>
      </c>
      <c r="J47" s="5">
        <f t="shared" ca="1" si="8"/>
        <v>1.4738459486596554E-2</v>
      </c>
    </row>
    <row r="48" spans="1:15" x14ac:dyDescent="0.2">
      <c r="A48">
        <f t="shared" ca="1" si="0"/>
        <v>0.37062176270363623</v>
      </c>
      <c r="B48">
        <f t="shared" ca="1" si="1"/>
        <v>-0.33020704311363908</v>
      </c>
      <c r="C48">
        <f t="shared" ca="1" si="5"/>
        <v>-5.8550227592728152</v>
      </c>
      <c r="D48" s="22">
        <f t="shared" ca="1" si="2"/>
        <v>0.37777485637628649</v>
      </c>
      <c r="F48">
        <f t="shared" si="3"/>
        <v>4.200000000000003E-2</v>
      </c>
      <c r="G48">
        <f t="shared" ca="1" si="4"/>
        <v>-7.0412460615479353E-3</v>
      </c>
      <c r="H48">
        <f t="shared" ca="1" si="6"/>
        <v>-7.0420955903155282E-3</v>
      </c>
      <c r="I48">
        <f t="shared" ca="1" si="7"/>
        <v>9.8642202243097773E-3</v>
      </c>
      <c r="J48" s="5">
        <f t="shared" ca="1" si="8"/>
        <v>1.6906315814625306E-2</v>
      </c>
      <c r="L48" s="14" t="s">
        <v>32</v>
      </c>
    </row>
    <row r="49" spans="1:10" x14ac:dyDescent="0.2">
      <c r="A49">
        <f t="shared" ca="1" si="0"/>
        <v>0.79360116582100737</v>
      </c>
      <c r="B49">
        <f t="shared" ca="1" si="1"/>
        <v>0.81898027363868209</v>
      </c>
      <c r="C49">
        <f t="shared" ca="1" si="5"/>
        <v>-5.036042485634133</v>
      </c>
      <c r="D49" s="22">
        <f t="shared" ca="1" si="2"/>
        <v>0.28527465029644772</v>
      </c>
      <c r="F49">
        <f t="shared" si="3"/>
        <v>4.3000000000000031E-2</v>
      </c>
      <c r="G49">
        <f t="shared" ca="1" si="4"/>
        <v>-8.0746966196562405E-3</v>
      </c>
      <c r="H49">
        <f t="shared" ca="1" si="6"/>
        <v>-8.075597736425015E-3</v>
      </c>
      <c r="I49">
        <f t="shared" ca="1" si="7"/>
        <v>9.8548614861686899E-3</v>
      </c>
      <c r="J49" s="5">
        <f t="shared" ca="1" si="8"/>
        <v>1.7930459222593703E-2</v>
      </c>
    </row>
    <row r="50" spans="1:10" x14ac:dyDescent="0.2">
      <c r="A50">
        <f t="shared" ca="1" si="0"/>
        <v>0.39826301178660584</v>
      </c>
      <c r="B50">
        <f t="shared" ca="1" si="1"/>
        <v>-0.25784566058330333</v>
      </c>
      <c r="C50">
        <f t="shared" ca="1" si="5"/>
        <v>-5.2938881462174363</v>
      </c>
      <c r="D50" s="22">
        <f t="shared" ca="1" si="2"/>
        <v>0.38589856634289932</v>
      </c>
      <c r="F50">
        <f t="shared" si="3"/>
        <v>4.4000000000000032E-2</v>
      </c>
      <c r="G50">
        <f t="shared" ca="1" si="4"/>
        <v>-5.4741761536594566E-3</v>
      </c>
      <c r="H50">
        <f t="shared" ca="1" si="6"/>
        <v>-5.474947153205182E-3</v>
      </c>
      <c r="I50">
        <f t="shared" ca="1" si="7"/>
        <v>9.8813557928890509E-3</v>
      </c>
      <c r="J50" s="5">
        <f t="shared" ca="1" si="8"/>
        <v>1.5356302946094233E-2</v>
      </c>
    </row>
    <row r="51" spans="1:10" x14ac:dyDescent="0.2">
      <c r="A51">
        <f t="shared" ca="1" si="0"/>
        <v>0.56454251934791488</v>
      </c>
      <c r="B51">
        <f t="shared" ca="1" si="1"/>
        <v>0.16249640213585315</v>
      </c>
      <c r="C51">
        <f t="shared" ca="1" si="5"/>
        <v>-5.1313917440815828</v>
      </c>
      <c r="D51" s="22">
        <f t="shared" ca="1" si="2"/>
        <v>0.39370984556570787</v>
      </c>
      <c r="F51">
        <f t="shared" si="3"/>
        <v>4.5000000000000033E-2</v>
      </c>
      <c r="G51">
        <f t="shared" ca="1" si="4"/>
        <v>-6.2789680683513526E-3</v>
      </c>
      <c r="H51">
        <f t="shared" ca="1" si="6"/>
        <v>-6.2797792307238004E-3</v>
      </c>
      <c r="I51">
        <f t="shared" ca="1" si="7"/>
        <v>9.8742400293629455E-3</v>
      </c>
      <c r="J51" s="5">
        <f t="shared" ca="1" si="8"/>
        <v>1.6154019260086746E-2</v>
      </c>
    </row>
    <row r="52" spans="1:10" x14ac:dyDescent="0.2">
      <c r="A52">
        <f t="shared" ca="1" si="0"/>
        <v>0.99732936606508982</v>
      </c>
      <c r="B52">
        <f t="shared" ca="1" si="1"/>
        <v>2.7856975735175364</v>
      </c>
      <c r="C52">
        <f t="shared" ca="1" si="5"/>
        <v>-2.3456941705640464</v>
      </c>
      <c r="D52" s="22">
        <f t="shared" ca="1" si="2"/>
        <v>8.2380301858406002E-3</v>
      </c>
      <c r="F52">
        <f t="shared" si="3"/>
        <v>4.6000000000000034E-2</v>
      </c>
      <c r="G52">
        <f t="shared" ca="1" si="4"/>
        <v>-5.7545076524563241E-3</v>
      </c>
      <c r="H52">
        <f t="shared" ca="1" si="6"/>
        <v>-5.7552925104687822E-3</v>
      </c>
      <c r="I52">
        <f t="shared" ca="1" si="7"/>
        <v>9.8802538773348821E-3</v>
      </c>
      <c r="J52" s="5">
        <f t="shared" ca="1" si="8"/>
        <v>1.5635546387803664E-2</v>
      </c>
    </row>
    <row r="53" spans="1:10" x14ac:dyDescent="0.2">
      <c r="A53">
        <f t="shared" ca="1" si="0"/>
        <v>5.6589507530478089E-2</v>
      </c>
      <c r="B53">
        <f t="shared" ca="1" si="1"/>
        <v>-1.5840646179722784</v>
      </c>
      <c r="C53">
        <f t="shared" ca="1" si="5"/>
        <v>-3.9297587885363248</v>
      </c>
      <c r="D53" s="22">
        <f t="shared" ca="1" si="2"/>
        <v>0.11377085581187775</v>
      </c>
      <c r="F53">
        <f t="shared" si="3"/>
        <v>4.7000000000000035E-2</v>
      </c>
      <c r="G53">
        <f t="shared" ca="1" si="4"/>
        <v>3.0647760351651338E-3</v>
      </c>
      <c r="H53">
        <f t="shared" ca="1" si="6"/>
        <v>3.0644322235020326E-3</v>
      </c>
      <c r="I53">
        <f t="shared" ca="1" si="7"/>
        <v>9.9686219695318337E-3</v>
      </c>
      <c r="J53" s="5">
        <f t="shared" ca="1" si="8"/>
        <v>6.9041897460298011E-3</v>
      </c>
    </row>
    <row r="54" spans="1:10" x14ac:dyDescent="0.2">
      <c r="A54">
        <f t="shared" ca="1" si="0"/>
        <v>0.3378375670926842</v>
      </c>
      <c r="B54">
        <f t="shared" ca="1" si="1"/>
        <v>-0.41837202863999134</v>
      </c>
      <c r="C54">
        <f t="shared" ca="1" si="5"/>
        <v>-4.3481308171763162</v>
      </c>
      <c r="D54" s="22">
        <f t="shared" ca="1" si="2"/>
        <v>0.36551202127830507</v>
      </c>
      <c r="F54">
        <f t="shared" si="3"/>
        <v>4.8000000000000036E-2</v>
      </c>
      <c r="G54">
        <f t="shared" ca="1" si="4"/>
        <v>-1.9345326286030443E-3</v>
      </c>
      <c r="H54">
        <f t="shared" ca="1" si="6"/>
        <v>-1.9351263733972121E-3</v>
      </c>
      <c r="I54">
        <f t="shared" ca="1" si="7"/>
        <v>9.9197538210973133E-3</v>
      </c>
      <c r="J54" s="5">
        <f t="shared" ca="1" si="8"/>
        <v>1.1854880194494526E-2</v>
      </c>
    </row>
    <row r="55" spans="1:10" x14ac:dyDescent="0.2">
      <c r="A55">
        <f t="shared" ca="1" si="0"/>
        <v>0.84275378482210617</v>
      </c>
      <c r="B55">
        <f t="shared" ca="1" si="1"/>
        <v>1.0058402326981719</v>
      </c>
      <c r="C55">
        <f t="shared" ca="1" si="5"/>
        <v>-3.3422905844781443</v>
      </c>
      <c r="D55" s="22">
        <f t="shared" ca="1" si="2"/>
        <v>0.24055757522516327</v>
      </c>
      <c r="F55">
        <f t="shared" si="3"/>
        <v>4.9000000000000037E-2</v>
      </c>
      <c r="G55">
        <f t="shared" ca="1" si="4"/>
        <v>-3.247282057133585E-3</v>
      </c>
      <c r="H55">
        <f t="shared" ca="1" si="6"/>
        <v>-3.2479413805674429E-3</v>
      </c>
      <c r="I55">
        <f t="shared" ca="1" si="7"/>
        <v>9.9075797553487225E-3</v>
      </c>
      <c r="J55" s="5">
        <f t="shared" ca="1" si="8"/>
        <v>1.3155521135916165E-2</v>
      </c>
    </row>
    <row r="56" spans="1:10" x14ac:dyDescent="0.2">
      <c r="A56">
        <f t="shared" ca="1" si="0"/>
        <v>0.37356867439167296</v>
      </c>
      <c r="B56">
        <f t="shared" ca="1" si="1"/>
        <v>-0.32241628494892094</v>
      </c>
      <c r="C56">
        <f t="shared" ca="1" si="5"/>
        <v>-3.6647068694270653</v>
      </c>
      <c r="D56" s="22">
        <f t="shared" ca="1" si="2"/>
        <v>0.37873646316914861</v>
      </c>
      <c r="F56">
        <f t="shared" si="3"/>
        <v>5.0000000000000037E-2</v>
      </c>
      <c r="G56">
        <f t="shared" ca="1" si="4"/>
        <v>-5.6370778265694109E-5</v>
      </c>
      <c r="H56">
        <f t="shared" ca="1" si="6"/>
        <v>-5.6870488869392548E-5</v>
      </c>
      <c r="I56">
        <f t="shared" ca="1" si="7"/>
        <v>9.9400876858629413E-3</v>
      </c>
      <c r="J56" s="5">
        <f t="shared" ca="1" si="8"/>
        <v>9.996958174732333E-3</v>
      </c>
    </row>
    <row r="57" spans="1:10" x14ac:dyDescent="0.2">
      <c r="A57">
        <f t="shared" ca="1" si="0"/>
        <v>0.21330754332357549</v>
      </c>
      <c r="B57">
        <f t="shared" ca="1" si="1"/>
        <v>-0.79499727608859483</v>
      </c>
      <c r="C57">
        <f t="shared" ca="1" si="5"/>
        <v>-4.4597041455156603</v>
      </c>
      <c r="D57" s="22">
        <f t="shared" ca="1" si="2"/>
        <v>0.29084963379871792</v>
      </c>
      <c r="F57">
        <f t="shared" si="3"/>
        <v>5.1000000000000038E-2</v>
      </c>
      <c r="G57">
        <f t="shared" ca="1" si="4"/>
        <v>-1.0658844802547535E-3</v>
      </c>
      <c r="H57">
        <f t="shared" ca="1" si="6"/>
        <v>-1.0664346169889608E-3</v>
      </c>
      <c r="I57">
        <f t="shared" ca="1" si="7"/>
        <v>9.9309016280587237E-3</v>
      </c>
      <c r="J57" s="5">
        <f t="shared" ca="1" si="8"/>
        <v>1.0997336245047685E-2</v>
      </c>
    </row>
    <row r="58" spans="1:10" x14ac:dyDescent="0.2">
      <c r="A58">
        <f t="shared" ca="1" si="0"/>
        <v>0.75572525097145726</v>
      </c>
      <c r="B58">
        <f t="shared" ca="1" si="1"/>
        <v>0.69261770230821518</v>
      </c>
      <c r="C58">
        <f t="shared" ca="1" si="5"/>
        <v>-3.7670864432074449</v>
      </c>
      <c r="D58" s="22">
        <f t="shared" ca="1" si="2"/>
        <v>0.31386316321990693</v>
      </c>
      <c r="F58">
        <f t="shared" si="3"/>
        <v>5.2000000000000039E-2</v>
      </c>
      <c r="G58">
        <f t="shared" ca="1" si="4"/>
        <v>-3.5696548283199554E-3</v>
      </c>
      <c r="H58">
        <f t="shared" ca="1" si="6"/>
        <v>-3.5703300995969388E-3</v>
      </c>
      <c r="I58">
        <f t="shared" ca="1" si="7"/>
        <v>9.9069077881816358E-3</v>
      </c>
      <c r="J58" s="5">
        <f t="shared" ca="1" si="8"/>
        <v>1.3477237887778574E-2</v>
      </c>
    </row>
    <row r="59" spans="1:10" x14ac:dyDescent="0.2">
      <c r="A59">
        <f t="shared" ca="1" si="0"/>
        <v>0.77506821576524398</v>
      </c>
      <c r="B59">
        <f t="shared" ca="1" si="1"/>
        <v>0.75564249811834672</v>
      </c>
      <c r="C59">
        <f t="shared" ca="1" si="5"/>
        <v>-3.0114439450890984</v>
      </c>
      <c r="D59" s="22">
        <f t="shared" ca="1" si="2"/>
        <v>0.29986097581482746</v>
      </c>
      <c r="F59">
        <f t="shared" si="3"/>
        <v>5.300000000000004E-2</v>
      </c>
      <c r="G59">
        <f t="shared" ca="1" si="4"/>
        <v>-1.3691584015332464E-3</v>
      </c>
      <c r="H59">
        <f t="shared" ca="1" si="6"/>
        <v>-1.3697235795405572E-3</v>
      </c>
      <c r="I59">
        <f t="shared" ca="1" si="7"/>
        <v>9.9295734325848938E-3</v>
      </c>
      <c r="J59" s="5">
        <f t="shared" ca="1" si="8"/>
        <v>1.1299297012125451E-2</v>
      </c>
    </row>
    <row r="60" spans="1:10" x14ac:dyDescent="0.2">
      <c r="A60">
        <f t="shared" ca="1" si="0"/>
        <v>3.6192161994508698E-2</v>
      </c>
      <c r="B60">
        <f t="shared" ca="1" si="1"/>
        <v>-1.7966932950704073</v>
      </c>
      <c r="C60">
        <f t="shared" ca="1" si="5"/>
        <v>-4.8081372401595059</v>
      </c>
      <c r="D60" s="22">
        <f t="shared" ca="1" si="2"/>
        <v>7.9421042140104425E-2</v>
      </c>
      <c r="F60">
        <f t="shared" si="3"/>
        <v>5.4000000000000041E-2</v>
      </c>
      <c r="G60">
        <f t="shared" ca="1" si="4"/>
        <v>1.0304099257599552E-3</v>
      </c>
      <c r="H60">
        <f t="shared" ca="1" si="6"/>
        <v>1.0299647836908713E-3</v>
      </c>
      <c r="I60">
        <f t="shared" ca="1" si="7"/>
        <v>9.9542746410718509E-3</v>
      </c>
      <c r="J60" s="5">
        <f t="shared" ca="1" si="8"/>
        <v>8.9243098573809805E-3</v>
      </c>
    </row>
    <row r="61" spans="1:10" x14ac:dyDescent="0.2">
      <c r="A61">
        <f t="shared" ca="1" si="0"/>
        <v>0.60339096699165262</v>
      </c>
      <c r="B61">
        <f t="shared" ca="1" si="1"/>
        <v>0.26213408922207238</v>
      </c>
      <c r="C61">
        <f t="shared" ca="1" si="5"/>
        <v>-4.5460031509374339</v>
      </c>
      <c r="D61" s="22">
        <f t="shared" ca="1" si="2"/>
        <v>0.38546854926627216</v>
      </c>
      <c r="F61">
        <f t="shared" si="3"/>
        <v>5.5000000000000042E-2</v>
      </c>
      <c r="G61">
        <f t="shared" ca="1" si="4"/>
        <v>-4.6410526089223211E-3</v>
      </c>
      <c r="H61">
        <f t="shared" ca="1" si="6"/>
        <v>-4.641781281962961E-3</v>
      </c>
      <c r="I61">
        <f t="shared" ca="1" si="7"/>
        <v>9.8988187121144527E-3</v>
      </c>
      <c r="J61" s="5">
        <f t="shared" ca="1" si="8"/>
        <v>1.4540599994077414E-2</v>
      </c>
    </row>
    <row r="62" spans="1:10" x14ac:dyDescent="0.2">
      <c r="A62">
        <f t="shared" ca="1" si="0"/>
        <v>0.98209940708386034</v>
      </c>
      <c r="B62">
        <f t="shared" ca="1" si="1"/>
        <v>2.0991783037121263</v>
      </c>
      <c r="C62">
        <f t="shared" ca="1" si="5"/>
        <v>-2.4468248472253076</v>
      </c>
      <c r="D62" s="22">
        <f t="shared" ca="1" si="2"/>
        <v>4.4059543056788317E-2</v>
      </c>
      <c r="F62">
        <f t="shared" si="3"/>
        <v>5.6000000000000043E-2</v>
      </c>
      <c r="G62">
        <f t="shared" ca="1" si="4"/>
        <v>-3.8016896978455388E-3</v>
      </c>
      <c r="H62">
        <f t="shared" ca="1" si="6"/>
        <v>-3.8023763295192206E-3</v>
      </c>
      <c r="I62">
        <f t="shared" ca="1" si="7"/>
        <v>9.9079688607869257E-3</v>
      </c>
      <c r="J62" s="5">
        <f t="shared" ca="1" si="8"/>
        <v>1.3710345190306146E-2</v>
      </c>
    </row>
    <row r="63" spans="1:10" x14ac:dyDescent="0.2">
      <c r="A63">
        <f t="shared" ca="1" si="0"/>
        <v>0.70532821191668615</v>
      </c>
      <c r="B63">
        <f t="shared" ca="1" si="1"/>
        <v>0.53978751786646351</v>
      </c>
      <c r="C63">
        <f t="shared" ca="1" si="5"/>
        <v>-1.9070373293588441</v>
      </c>
      <c r="D63" s="22">
        <f t="shared" ca="1" si="2"/>
        <v>0.3448575604632157</v>
      </c>
      <c r="F63">
        <f t="shared" si="3"/>
        <v>5.7000000000000044E-2</v>
      </c>
      <c r="G63">
        <f t="shared" ca="1" si="4"/>
        <v>2.8465427112683282E-3</v>
      </c>
      <c r="H63">
        <f t="shared" ca="1" si="6"/>
        <v>2.846188562652742E-3</v>
      </c>
      <c r="I63">
        <f t="shared" ca="1" si="7"/>
        <v>9.9749061423288661E-3</v>
      </c>
      <c r="J63" s="5">
        <f t="shared" ca="1" si="8"/>
        <v>7.1287175796761245E-3</v>
      </c>
    </row>
    <row r="64" spans="1:10" x14ac:dyDescent="0.2">
      <c r="A64">
        <f t="shared" ca="1" si="0"/>
        <v>9.8928818240805239E-2</v>
      </c>
      <c r="B64">
        <f t="shared" ca="1" si="1"/>
        <v>-1.287679258839403</v>
      </c>
      <c r="C64">
        <f t="shared" ca="1" si="5"/>
        <v>-3.1947165881982471</v>
      </c>
      <c r="D64" s="22">
        <f t="shared" ca="1" si="2"/>
        <v>0.17412227964110935</v>
      </c>
      <c r="F64">
        <f t="shared" si="3"/>
        <v>5.8000000000000045E-2</v>
      </c>
      <c r="G64">
        <f t="shared" ca="1" si="4"/>
        <v>4.5631302358885226E-3</v>
      </c>
      <c r="H64">
        <f t="shared" ca="1" si="6"/>
        <v>4.5628619527833345E-3</v>
      </c>
      <c r="I64">
        <f t="shared" ca="1" si="7"/>
        <v>9.9928967085953866E-3</v>
      </c>
      <c r="J64" s="5">
        <f t="shared" ca="1" si="8"/>
        <v>5.4300347558120521E-3</v>
      </c>
    </row>
    <row r="65" spans="1:10" x14ac:dyDescent="0.2">
      <c r="A65">
        <f t="shared" ca="1" si="0"/>
        <v>0.37537656329736024</v>
      </c>
      <c r="B65">
        <f t="shared" ca="1" si="1"/>
        <v>-0.31764646175400452</v>
      </c>
      <c r="C65">
        <f t="shared" ca="1" si="5"/>
        <v>-3.5123630499522518</v>
      </c>
      <c r="D65" s="22">
        <f t="shared" ca="1" si="2"/>
        <v>0.37931504324155146</v>
      </c>
      <c r="F65">
        <f t="shared" si="3"/>
        <v>5.9000000000000045E-2</v>
      </c>
      <c r="G65">
        <f t="shared" ca="1" si="4"/>
        <v>5.0087768349119273E-4</v>
      </c>
      <c r="H65">
        <f t="shared" ca="1" si="6"/>
        <v>5.0040631289803572E-4</v>
      </c>
      <c r="I65">
        <f t="shared" ca="1" si="7"/>
        <v>9.9532338866297893E-3</v>
      </c>
      <c r="J65" s="5">
        <f t="shared" ca="1" si="8"/>
        <v>9.4528275737317535E-3</v>
      </c>
    </row>
    <row r="66" spans="1:10" x14ac:dyDescent="0.2">
      <c r="A66">
        <f t="shared" ca="1" si="0"/>
        <v>0.68360604692960303</v>
      </c>
      <c r="B66">
        <f t="shared" ca="1" si="1"/>
        <v>0.47780653965981407</v>
      </c>
      <c r="C66">
        <f t="shared" ca="1" si="5"/>
        <v>-3.0345565102924379</v>
      </c>
      <c r="D66" s="22">
        <f t="shared" ca="1" si="2"/>
        <v>0.35590619577127958</v>
      </c>
      <c r="F66">
        <f t="shared" si="3"/>
        <v>6.0000000000000046E-2</v>
      </c>
      <c r="G66">
        <f t="shared" ca="1" si="4"/>
        <v>-4.9360898936949972E-4</v>
      </c>
      <c r="H66">
        <f t="shared" ca="1" si="6"/>
        <v>-4.9413003756947212E-4</v>
      </c>
      <c r="I66">
        <f t="shared" ca="1" si="7"/>
        <v>9.944185671908707E-3</v>
      </c>
      <c r="J66" s="5">
        <f t="shared" ca="1" si="8"/>
        <v>1.0438315709478179E-2</v>
      </c>
    </row>
    <row r="67" spans="1:10" x14ac:dyDescent="0.2">
      <c r="A67">
        <f t="shared" ca="1" si="0"/>
        <v>0.45900371681733787</v>
      </c>
      <c r="B67">
        <f t="shared" ca="1" si="1"/>
        <v>-0.10294397807345516</v>
      </c>
      <c r="C67">
        <f t="shared" ca="1" si="5"/>
        <v>-3.1375004883658932</v>
      </c>
      <c r="D67" s="22">
        <f t="shared" ca="1" si="2"/>
        <v>0.39683398303251866</v>
      </c>
      <c r="F67">
        <f t="shared" si="3"/>
        <v>6.1000000000000047E-2</v>
      </c>
      <c r="G67">
        <f t="shared" ca="1" si="4"/>
        <v>1.0273212706271048E-3</v>
      </c>
      <c r="H67">
        <f t="shared" ca="1" si="6"/>
        <v>1.0268763216828717E-3</v>
      </c>
      <c r="I67">
        <f t="shared" ca="1" si="7"/>
        <v>9.9601684363439854E-3</v>
      </c>
      <c r="J67" s="5">
        <f t="shared" ca="1" si="8"/>
        <v>8.9332921146611129E-3</v>
      </c>
    </row>
    <row r="68" spans="1:10" x14ac:dyDescent="0.2">
      <c r="A68">
        <f t="shared" ca="1" si="0"/>
        <v>0.82824888882999947</v>
      </c>
      <c r="B68">
        <f t="shared" ca="1" si="1"/>
        <v>0.94726802008153321</v>
      </c>
      <c r="C68">
        <f t="shared" ca="1" si="5"/>
        <v>-2.1902324682843601</v>
      </c>
      <c r="D68" s="22">
        <f t="shared" ca="1" si="2"/>
        <v>0.25471834233522889</v>
      </c>
      <c r="F68">
        <f t="shared" si="3"/>
        <v>6.2000000000000048E-2</v>
      </c>
      <c r="G68">
        <f t="shared" ca="1" si="4"/>
        <v>7.1169687773652512E-4</v>
      </c>
      <c r="H68">
        <f t="shared" ca="1" si="6"/>
        <v>7.1123619194015265E-4</v>
      </c>
      <c r="I68">
        <f t="shared" ca="1" si="7"/>
        <v>9.9578725092484294E-3</v>
      </c>
      <c r="J68" s="5">
        <f t="shared" ca="1" si="8"/>
        <v>9.2466363173082759E-3</v>
      </c>
    </row>
    <row r="69" spans="1:10" x14ac:dyDescent="0.2">
      <c r="A69">
        <f t="shared" ca="1" si="0"/>
        <v>0.63659785101064525</v>
      </c>
      <c r="B69">
        <f t="shared" ca="1" si="1"/>
        <v>0.34937966449971403</v>
      </c>
      <c r="C69">
        <f t="shared" ca="1" si="5"/>
        <v>-1.8408528037846461</v>
      </c>
      <c r="D69" s="22">
        <f t="shared" ca="1" si="2"/>
        <v>0.37532175476496477</v>
      </c>
      <c r="F69">
        <f t="shared" si="3"/>
        <v>6.3000000000000042E-2</v>
      </c>
      <c r="G69">
        <f t="shared" ca="1" si="4"/>
        <v>3.7169999397350466E-3</v>
      </c>
      <c r="H69">
        <f t="shared" ca="1" si="6"/>
        <v>3.716689566416723E-3</v>
      </c>
      <c r="I69">
        <f t="shared" ca="1" si="7"/>
        <v>9.9886951627368888E-3</v>
      </c>
      <c r="J69" s="5">
        <f t="shared" ca="1" si="8"/>
        <v>6.2720055963201658E-3</v>
      </c>
    </row>
    <row r="70" spans="1:10" x14ac:dyDescent="0.2">
      <c r="A70">
        <f t="shared" ca="1" si="0"/>
        <v>0.73314911374475755</v>
      </c>
      <c r="B70">
        <f t="shared" ca="1" si="1"/>
        <v>0.62236517756145737</v>
      </c>
      <c r="C70">
        <f t="shared" ca="1" si="5"/>
        <v>-1.2184876262231887</v>
      </c>
      <c r="D70" s="22">
        <f t="shared" ca="1" si="2"/>
        <v>0.32870067646093704</v>
      </c>
      <c r="F70">
        <f t="shared" si="3"/>
        <v>6.4000000000000043E-2</v>
      </c>
      <c r="G70">
        <f t="shared" ca="1" si="4"/>
        <v>4.8314080268329306E-3</v>
      </c>
      <c r="H70">
        <f t="shared" ca="1" si="6"/>
        <v>4.8311534054246499E-3</v>
      </c>
      <c r="I70">
        <f t="shared" ca="1" si="7"/>
        <v>1.0000687146636779E-2</v>
      </c>
      <c r="J70" s="5">
        <f t="shared" ca="1" si="8"/>
        <v>5.1695337412121286E-3</v>
      </c>
    </row>
    <row r="71" spans="1:10" x14ac:dyDescent="0.2">
      <c r="A71">
        <f t="shared" ref="A71:A134" ca="1" si="9">RAND()</f>
        <v>0.28816834007926839</v>
      </c>
      <c r="B71">
        <f t="shared" ref="B71:B134" ca="1" si="10">NORMSINV(A71)</f>
        <v>-0.55874365672812865</v>
      </c>
      <c r="C71">
        <f t="shared" ca="1" si="5"/>
        <v>-1.7772312829513175</v>
      </c>
      <c r="D71" s="22">
        <f t="shared" ref="D71:D134" ca="1" si="11">_xlfn.NORM.DIST(B71,0,1,FALSE)</f>
        <v>0.34128554724005211</v>
      </c>
      <c r="F71">
        <f t="shared" ref="F71:F134" si="12">F70+$M$2/$N$2</f>
        <v>6.5000000000000044E-2</v>
      </c>
      <c r="G71">
        <f t="shared" ref="G71:G134" ca="1" si="13">G70*EXP(-$M$4*$O$2) + $O$4*(1-EXP(-$M$4*$O$2)) + $N$4* SQRT((1-EXP(-2*$M$4*$O$2))/(2*$M$4)) *B70</f>
        <v>6.8089175071976097E-3</v>
      </c>
      <c r="H71">
        <f t="shared" ca="1" si="6"/>
        <v>6.8087617875534313E-3</v>
      </c>
      <c r="I71">
        <f t="shared" ca="1" si="7"/>
        <v>1.0021340777096804E-2</v>
      </c>
      <c r="J71" s="5">
        <f t="shared" ca="1" si="8"/>
        <v>3.2125789895433724E-3</v>
      </c>
    </row>
    <row r="72" spans="1:10" x14ac:dyDescent="0.2">
      <c r="A72">
        <f t="shared" ca="1" si="9"/>
        <v>0.79642918384926475</v>
      </c>
      <c r="B72">
        <f t="shared" ca="1" si="10"/>
        <v>0.82893421662433409</v>
      </c>
      <c r="C72">
        <f t="shared" ref="C72:C135" ca="1" si="14">B72+C71</f>
        <v>-0.94829706632698341</v>
      </c>
      <c r="D72" s="22">
        <f t="shared" ca="1" si="11"/>
        <v>0.28294450359221135</v>
      </c>
      <c r="F72">
        <f t="shared" si="12"/>
        <v>6.6000000000000045E-2</v>
      </c>
      <c r="G72">
        <f t="shared" ca="1" si="13"/>
        <v>5.0514219075231438E-3</v>
      </c>
      <c r="H72">
        <f t="shared" ref="H72:H135" ca="1" si="15">H71+($M$6 + $N$6*H71)*$O$2 + $O$6*H71^$P$6*SQRT($O$2)*B71</f>
        <v>5.0511783279425255E-3</v>
      </c>
      <c r="I72">
        <f t="shared" ref="I72:I135" ca="1" si="16">I71*EXP(($M$8-0.5*($N$8^2))*$O$2 + $N$8*SQRT($O$2)*B71)</f>
        <v>1.0004600069877495E-2</v>
      </c>
      <c r="J72" s="5">
        <f t="shared" ref="J72:J135" ca="1" si="17">ABS(H72-I72)</f>
        <v>4.9534217419349696E-3</v>
      </c>
    </row>
    <row r="73" spans="1:10" x14ac:dyDescent="0.2">
      <c r="A73">
        <f t="shared" ca="1" si="9"/>
        <v>0.84743863637534</v>
      </c>
      <c r="B73">
        <f t="shared" ca="1" si="10"/>
        <v>1.0255097501077373</v>
      </c>
      <c r="C73">
        <f t="shared" ca="1" si="14"/>
        <v>7.7212683780753855E-2</v>
      </c>
      <c r="D73" s="22">
        <f t="shared" ca="1" si="11"/>
        <v>0.23579944207219961</v>
      </c>
      <c r="F73">
        <f t="shared" si="12"/>
        <v>6.7000000000000046E-2</v>
      </c>
      <c r="G73">
        <f t="shared" ca="1" si="13"/>
        <v>7.6821053850387299E-3</v>
      </c>
      <c r="H73">
        <f t="shared" ca="1" si="15"/>
        <v>7.6819933650900396E-3</v>
      </c>
      <c r="I73">
        <f t="shared" ca="1" si="16"/>
        <v>1.0031812709077855E-2</v>
      </c>
      <c r="J73" s="5">
        <f t="shared" ca="1" si="17"/>
        <v>2.3498193439878152E-3</v>
      </c>
    </row>
    <row r="74" spans="1:10" x14ac:dyDescent="0.2">
      <c r="A74">
        <f t="shared" ca="1" si="9"/>
        <v>8.3762003629809789E-2</v>
      </c>
      <c r="B74">
        <f t="shared" ca="1" si="10"/>
        <v>-1.3802034656128315</v>
      </c>
      <c r="C74">
        <f t="shared" ca="1" si="14"/>
        <v>-1.3029907818320776</v>
      </c>
      <c r="D74" s="22">
        <f t="shared" ca="1" si="11"/>
        <v>0.15390506365305265</v>
      </c>
      <c r="F74">
        <f t="shared" si="12"/>
        <v>6.8000000000000047E-2</v>
      </c>
      <c r="G74">
        <f t="shared" ca="1" si="13"/>
        <v>1.0934121145403885E-2</v>
      </c>
      <c r="H74">
        <f t="shared" ca="1" si="15"/>
        <v>1.0934171738804087E-2</v>
      </c>
      <c r="I74">
        <f t="shared" ca="1" si="16"/>
        <v>1.0065354312829195E-2</v>
      </c>
      <c r="J74" s="5">
        <f t="shared" ca="1" si="17"/>
        <v>8.6881742597489167E-4</v>
      </c>
    </row>
    <row r="75" spans="1:10" x14ac:dyDescent="0.2">
      <c r="A75">
        <f t="shared" ca="1" si="9"/>
        <v>6.4395015025700775E-2</v>
      </c>
      <c r="B75">
        <f t="shared" ca="1" si="10"/>
        <v>-1.5188906216357798</v>
      </c>
      <c r="C75">
        <f t="shared" ca="1" si="14"/>
        <v>-2.8218814034678577</v>
      </c>
      <c r="D75" s="22">
        <f t="shared" ca="1" si="11"/>
        <v>0.12587664072739554</v>
      </c>
      <c r="F75">
        <f t="shared" si="12"/>
        <v>6.9000000000000047E-2</v>
      </c>
      <c r="G75">
        <f t="shared" ca="1" si="13"/>
        <v>6.5786589224171594E-3</v>
      </c>
      <c r="H75">
        <f t="shared" ca="1" si="15"/>
        <v>6.5784917358357739E-3</v>
      </c>
      <c r="I75">
        <f t="shared" ca="1" si="16"/>
        <v>1.0022471023177588E-2</v>
      </c>
      <c r="J75" s="5">
        <f t="shared" ca="1" si="17"/>
        <v>3.4439792873418142E-3</v>
      </c>
    </row>
    <row r="76" spans="1:10" x14ac:dyDescent="0.2">
      <c r="A76">
        <f t="shared" ca="1" si="9"/>
        <v>6.135448825766987E-2</v>
      </c>
      <c r="B76">
        <f t="shared" ca="1" si="10"/>
        <v>-1.5435021901168613</v>
      </c>
      <c r="C76">
        <f t="shared" ca="1" si="14"/>
        <v>-4.3653835935847187</v>
      </c>
      <c r="D76" s="22">
        <f t="shared" ca="1" si="11"/>
        <v>0.1212212320628914</v>
      </c>
      <c r="F76">
        <f t="shared" si="12"/>
        <v>7.0000000000000048E-2</v>
      </c>
      <c r="G76">
        <f t="shared" ca="1" si="13"/>
        <v>1.7850868560836111E-3</v>
      </c>
      <c r="H76">
        <f t="shared" ca="1" si="15"/>
        <v>1.7846800056241013E-3</v>
      </c>
      <c r="I76">
        <f t="shared" ca="1" si="16"/>
        <v>9.9753945958250684E-3</v>
      </c>
      <c r="J76" s="5">
        <f t="shared" ca="1" si="17"/>
        <v>8.1907145902009662E-3</v>
      </c>
    </row>
    <row r="77" spans="1:10" x14ac:dyDescent="0.2">
      <c r="A77">
        <f t="shared" ca="1" si="9"/>
        <v>5.3386307082474938E-2</v>
      </c>
      <c r="B77">
        <f t="shared" ca="1" si="10"/>
        <v>-1.6128706440398253</v>
      </c>
      <c r="C77">
        <f t="shared" ca="1" si="14"/>
        <v>-5.9782542376245438</v>
      </c>
      <c r="D77" s="22">
        <f t="shared" ca="1" si="11"/>
        <v>0.10865099761500595</v>
      </c>
      <c r="F77">
        <f t="shared" si="12"/>
        <v>7.1000000000000049E-2</v>
      </c>
      <c r="G77">
        <f t="shared" ca="1" si="13"/>
        <v>-3.0858305989312699E-3</v>
      </c>
      <c r="H77">
        <f t="shared" ca="1" si="15"/>
        <v>-3.0864809566039783E-3</v>
      </c>
      <c r="I77">
        <f t="shared" ca="1" si="16"/>
        <v>9.9277665962150263E-3</v>
      </c>
      <c r="J77" s="5">
        <f t="shared" ca="1" si="17"/>
        <v>1.3014247552819005E-2</v>
      </c>
    </row>
    <row r="78" spans="1:10" x14ac:dyDescent="0.2">
      <c r="A78">
        <f t="shared" ca="1" si="9"/>
        <v>0.62426626028811583</v>
      </c>
      <c r="B78">
        <f t="shared" ca="1" si="10"/>
        <v>0.31670496716450602</v>
      </c>
      <c r="C78">
        <f t="shared" ca="1" si="14"/>
        <v>-5.6615492704600374</v>
      </c>
      <c r="D78" s="22">
        <f t="shared" ca="1" si="11"/>
        <v>0.37942833091764777</v>
      </c>
      <c r="F78">
        <f t="shared" si="12"/>
        <v>7.200000000000005E-2</v>
      </c>
      <c r="G78">
        <f t="shared" ca="1" si="13"/>
        <v>-8.1756123310568092E-3</v>
      </c>
      <c r="H78">
        <f t="shared" ca="1" si="15"/>
        <v>-8.1765171148968432E-3</v>
      </c>
      <c r="I78">
        <f t="shared" ca="1" si="16"/>
        <v>9.87819885654476E-3</v>
      </c>
      <c r="J78" s="5">
        <f t="shared" ca="1" si="17"/>
        <v>1.8054715971441603E-2</v>
      </c>
    </row>
    <row r="79" spans="1:10" x14ac:dyDescent="0.2">
      <c r="A79">
        <f t="shared" ca="1" si="9"/>
        <v>0.40620484774159027</v>
      </c>
      <c r="B79">
        <f t="shared" ca="1" si="10"/>
        <v>-0.23731852009927401</v>
      </c>
      <c r="C79">
        <f t="shared" ca="1" si="14"/>
        <v>-5.8988677905593114</v>
      </c>
      <c r="D79" s="22">
        <f t="shared" ca="1" si="11"/>
        <v>0.38786475364839396</v>
      </c>
      <c r="F79">
        <f t="shared" si="12"/>
        <v>7.3000000000000051E-2</v>
      </c>
      <c r="G79">
        <f t="shared" ca="1" si="13"/>
        <v>-7.1633363415207971E-3</v>
      </c>
      <c r="H79">
        <f t="shared" ca="1" si="15"/>
        <v>-7.1641904206566753E-3</v>
      </c>
      <c r="I79">
        <f t="shared" ca="1" si="16"/>
        <v>9.8890363315236596E-3</v>
      </c>
      <c r="J79" s="5">
        <f t="shared" ca="1" si="17"/>
        <v>1.7053226752180337E-2</v>
      </c>
    </row>
    <row r="80" spans="1:10" x14ac:dyDescent="0.2">
      <c r="A80">
        <f t="shared" ca="1" si="9"/>
        <v>0.81056783801605625</v>
      </c>
      <c r="B80">
        <f t="shared" ca="1" si="10"/>
        <v>0.87999074370428854</v>
      </c>
      <c r="C80">
        <f t="shared" ca="1" si="14"/>
        <v>-5.0188770468550228</v>
      </c>
      <c r="D80" s="22">
        <f t="shared" ca="1" si="11"/>
        <v>0.27086617812909825</v>
      </c>
      <c r="F80">
        <f t="shared" si="12"/>
        <v>7.4000000000000052E-2</v>
      </c>
      <c r="G80">
        <f t="shared" ca="1" si="13"/>
        <v>-7.9030500763503028E-3</v>
      </c>
      <c r="H80">
        <f t="shared" ca="1" si="15"/>
        <v>-7.9039410560687636E-3</v>
      </c>
      <c r="I80">
        <f t="shared" ca="1" si="16"/>
        <v>9.8825565178922194E-3</v>
      </c>
      <c r="J80" s="5">
        <f t="shared" ca="1" si="17"/>
        <v>1.7786497573960981E-2</v>
      </c>
    </row>
    <row r="81" spans="1:10" x14ac:dyDescent="0.2">
      <c r="A81">
        <f t="shared" ca="1" si="9"/>
        <v>0.25520431793085363</v>
      </c>
      <c r="B81">
        <f t="shared" ca="1" si="10"/>
        <v>-0.65820153925914959</v>
      </c>
      <c r="C81">
        <f t="shared" ca="1" si="14"/>
        <v>-5.6770785861141722</v>
      </c>
      <c r="D81" s="22">
        <f t="shared" ca="1" si="11"/>
        <v>0.32124437060132977</v>
      </c>
      <c r="F81">
        <f t="shared" si="12"/>
        <v>7.5000000000000053E-2</v>
      </c>
      <c r="G81">
        <f t="shared" ca="1" si="13"/>
        <v>-5.109624373825207E-3</v>
      </c>
      <c r="H81">
        <f t="shared" ca="1" si="15"/>
        <v>-5.1103755919921258E-3</v>
      </c>
      <c r="I81">
        <f t="shared" ca="1" si="16"/>
        <v>9.9110372535870898E-3</v>
      </c>
      <c r="J81" s="5">
        <f t="shared" ca="1" si="17"/>
        <v>1.5021412845579216E-2</v>
      </c>
    </row>
    <row r="82" spans="1:10" x14ac:dyDescent="0.2">
      <c r="A82">
        <f t="shared" ca="1" si="9"/>
        <v>0.96782634676833901</v>
      </c>
      <c r="B82">
        <f t="shared" ca="1" si="10"/>
        <v>1.8497658390336438</v>
      </c>
      <c r="C82">
        <f t="shared" ca="1" si="14"/>
        <v>-3.8273127470805282</v>
      </c>
      <c r="D82" s="22">
        <f t="shared" ca="1" si="11"/>
        <v>7.2096097466627415E-2</v>
      </c>
      <c r="F82">
        <f t="shared" si="12"/>
        <v>7.6000000000000054E-2</v>
      </c>
      <c r="G82">
        <f t="shared" ca="1" si="13"/>
        <v>-7.1804258939409983E-3</v>
      </c>
      <c r="H82">
        <f t="shared" ca="1" si="15"/>
        <v>-7.1812805779205759E-3</v>
      </c>
      <c r="I82">
        <f t="shared" ca="1" si="16"/>
        <v>9.8913693511626568E-3</v>
      </c>
      <c r="J82" s="5">
        <f t="shared" ca="1" si="17"/>
        <v>1.7072649929083233E-2</v>
      </c>
    </row>
    <row r="83" spans="1:10" x14ac:dyDescent="0.2">
      <c r="A83">
        <f t="shared" ca="1" si="9"/>
        <v>0.6611615202533061</v>
      </c>
      <c r="B83">
        <f t="shared" ca="1" si="10"/>
        <v>0.41563520761333878</v>
      </c>
      <c r="C83">
        <f t="shared" ca="1" si="14"/>
        <v>-3.4116775394671892</v>
      </c>
      <c r="D83" s="22">
        <f t="shared" ca="1" si="11"/>
        <v>0.36592940521593204</v>
      </c>
      <c r="F83">
        <f t="shared" si="12"/>
        <v>7.7000000000000055E-2</v>
      </c>
      <c r="G83">
        <f t="shared" ca="1" si="13"/>
        <v>-1.3205276593907557E-3</v>
      </c>
      <c r="H83">
        <f t="shared" ca="1" si="15"/>
        <v>-1.3210892605440743E-3</v>
      </c>
      <c r="I83">
        <f t="shared" ca="1" si="16"/>
        <v>9.9503434423656219E-3</v>
      </c>
      <c r="J83" s="5">
        <f t="shared" ca="1" si="17"/>
        <v>1.1271432702909697E-2</v>
      </c>
    </row>
    <row r="84" spans="1:10" x14ac:dyDescent="0.2">
      <c r="A84">
        <f t="shared" ca="1" si="9"/>
        <v>0.3980173585040061</v>
      </c>
      <c r="B84">
        <f t="shared" ca="1" si="10"/>
        <v>-0.25848228762302961</v>
      </c>
      <c r="C84">
        <f t="shared" ca="1" si="14"/>
        <v>-3.6701598270902189</v>
      </c>
      <c r="D84" s="22">
        <f t="shared" ca="1" si="11"/>
        <v>0.38583514751735382</v>
      </c>
      <c r="F84">
        <f t="shared" si="12"/>
        <v>7.8000000000000055E-2</v>
      </c>
      <c r="G84">
        <f t="shared" ca="1" si="13"/>
        <v>3.8921036460662535E-6</v>
      </c>
      <c r="H84">
        <f t="shared" ca="1" si="15"/>
        <v>3.3967801970876191E-6</v>
      </c>
      <c r="I84">
        <f t="shared" ca="1" si="16"/>
        <v>9.9643768847397628E-3</v>
      </c>
      <c r="J84" s="5">
        <f t="shared" ca="1" si="17"/>
        <v>9.9609801045426744E-3</v>
      </c>
    </row>
    <row r="85" spans="1:10" x14ac:dyDescent="0.2">
      <c r="A85">
        <f t="shared" ca="1" si="9"/>
        <v>0.20936289123611518</v>
      </c>
      <c r="B85">
        <f t="shared" ca="1" si="10"/>
        <v>-0.80863385982982705</v>
      </c>
      <c r="C85">
        <f t="shared" ca="1" si="14"/>
        <v>-4.4787936869200458</v>
      </c>
      <c r="D85" s="22">
        <f t="shared" ca="1" si="11"/>
        <v>0.28768679935761382</v>
      </c>
      <c r="F85">
        <f t="shared" si="12"/>
        <v>7.9000000000000056E-2</v>
      </c>
      <c r="G85">
        <f t="shared" ca="1" si="13"/>
        <v>-8.034606812923385E-4</v>
      </c>
      <c r="H85">
        <f t="shared" ca="1" si="15"/>
        <v>-8.0399632318045621E-4</v>
      </c>
      <c r="I85">
        <f t="shared" ca="1" si="16"/>
        <v>9.9571812903190421E-3</v>
      </c>
      <c r="J85" s="5">
        <f t="shared" ca="1" si="17"/>
        <v>1.0761177613499498E-2</v>
      </c>
    </row>
    <row r="86" spans="1:10" x14ac:dyDescent="0.2">
      <c r="A86">
        <f t="shared" ca="1" si="9"/>
        <v>0.88096137037605571</v>
      </c>
      <c r="B86">
        <f t="shared" ca="1" si="10"/>
        <v>1.1798063101540768</v>
      </c>
      <c r="C86">
        <f t="shared" ca="1" si="14"/>
        <v>-3.298987376765969</v>
      </c>
      <c r="D86" s="22">
        <f t="shared" ca="1" si="11"/>
        <v>0.19890857181557478</v>
      </c>
      <c r="F86">
        <f t="shared" si="12"/>
        <v>8.0000000000000057E-2</v>
      </c>
      <c r="G86">
        <f t="shared" ca="1" si="13"/>
        <v>-3.3503777785079038E-3</v>
      </c>
      <c r="H86">
        <f t="shared" ca="1" si="15"/>
        <v>-3.3510407137437291E-3</v>
      </c>
      <c r="I86">
        <f t="shared" ca="1" si="16"/>
        <v>9.9326956231771731E-3</v>
      </c>
      <c r="J86" s="5">
        <f t="shared" ca="1" si="17"/>
        <v>1.3283736336920902E-2</v>
      </c>
    </row>
    <row r="87" spans="1:10" x14ac:dyDescent="0.2">
      <c r="A87">
        <f t="shared" ca="1" si="9"/>
        <v>0.90297347232916791</v>
      </c>
      <c r="B87">
        <f t="shared" ca="1" si="10"/>
        <v>1.2986820830799868</v>
      </c>
      <c r="C87">
        <f t="shared" ca="1" si="14"/>
        <v>-2.0003052936859822</v>
      </c>
      <c r="D87" s="22">
        <f t="shared" ca="1" si="11"/>
        <v>0.17166229906308059</v>
      </c>
      <c r="F87">
        <f t="shared" si="12"/>
        <v>8.1000000000000058E-2</v>
      </c>
      <c r="G87">
        <f t="shared" ca="1" si="13"/>
        <v>3.9064534447662671E-4</v>
      </c>
      <c r="H87">
        <f t="shared" ca="1" si="15"/>
        <v>3.901695282535686E-4</v>
      </c>
      <c r="I87">
        <f t="shared" ca="1" si="16"/>
        <v>9.9707696632342826E-3</v>
      </c>
      <c r="J87" s="5">
        <f t="shared" ca="1" si="17"/>
        <v>9.580600134980714E-3</v>
      </c>
    </row>
    <row r="88" spans="1:10" x14ac:dyDescent="0.2">
      <c r="A88">
        <f t="shared" ca="1" si="9"/>
        <v>0.22960658090916342</v>
      </c>
      <c r="B88">
        <f t="shared" ca="1" si="10"/>
        <v>-0.74014311169539937</v>
      </c>
      <c r="C88">
        <f t="shared" ca="1" si="14"/>
        <v>-2.7404484053813816</v>
      </c>
      <c r="D88" s="22">
        <f t="shared" ca="1" si="11"/>
        <v>0.30335715262050389</v>
      </c>
      <c r="F88">
        <f t="shared" si="12"/>
        <v>8.2000000000000059E-2</v>
      </c>
      <c r="G88">
        <f t="shared" ca="1" si="13"/>
        <v>4.5071937897852819E-3</v>
      </c>
      <c r="H88">
        <f t="shared" ca="1" si="15"/>
        <v>4.5069238502855212E-3</v>
      </c>
      <c r="I88">
        <f t="shared" ca="1" si="16"/>
        <v>1.0012752917500794E-2</v>
      </c>
      <c r="J88" s="5">
        <f t="shared" ca="1" si="17"/>
        <v>5.5058290672152727E-3</v>
      </c>
    </row>
    <row r="89" spans="1:10" x14ac:dyDescent="0.2">
      <c r="A89">
        <f t="shared" ca="1" si="9"/>
        <v>0.71983578615074928</v>
      </c>
      <c r="B89">
        <f t="shared" ca="1" si="10"/>
        <v>0.58235374990812439</v>
      </c>
      <c r="C89">
        <f t="shared" ca="1" si="14"/>
        <v>-2.1580946554732572</v>
      </c>
      <c r="D89" s="22">
        <f t="shared" ca="1" si="11"/>
        <v>0.33671901553287953</v>
      </c>
      <c r="F89">
        <f t="shared" si="12"/>
        <v>8.300000000000006E-2</v>
      </c>
      <c r="G89">
        <f t="shared" ca="1" si="13"/>
        <v>2.1763215875417806E-3</v>
      </c>
      <c r="H89">
        <f t="shared" ca="1" si="15"/>
        <v>2.1759351304586221E-3</v>
      </c>
      <c r="I89">
        <f t="shared" ca="1" si="16"/>
        <v>9.990294125538127E-3</v>
      </c>
      <c r="J89" s="5">
        <f t="shared" ca="1" si="17"/>
        <v>7.8143589950795053E-3</v>
      </c>
    </row>
    <row r="90" spans="1:10" x14ac:dyDescent="0.2">
      <c r="A90">
        <f t="shared" ca="1" si="9"/>
        <v>0.65284241953381883</v>
      </c>
      <c r="B90">
        <f t="shared" ca="1" si="10"/>
        <v>0.39300584962438778</v>
      </c>
      <c r="C90">
        <f t="shared" ca="1" si="14"/>
        <v>-1.7650888058488694</v>
      </c>
      <c r="D90" s="22">
        <f t="shared" ca="1" si="11"/>
        <v>0.36929284488161357</v>
      </c>
      <c r="F90">
        <f t="shared" si="12"/>
        <v>8.4000000000000061E-2</v>
      </c>
      <c r="G90">
        <f t="shared" ca="1" si="13"/>
        <v>4.0275756455544253E-3</v>
      </c>
      <c r="H90">
        <f t="shared" ca="1" si="15"/>
        <v>4.0272817905953216E-3</v>
      </c>
      <c r="I90">
        <f t="shared" ca="1" si="16"/>
        <v>1.0009659717329297E-2</v>
      </c>
      <c r="J90" s="5">
        <f t="shared" ca="1" si="17"/>
        <v>5.9823779267339757E-3</v>
      </c>
    </row>
    <row r="91" spans="1:10" x14ac:dyDescent="0.2">
      <c r="A91">
        <f t="shared" ca="1" si="9"/>
        <v>4.9292361551618979E-2</v>
      </c>
      <c r="B91">
        <f t="shared" ca="1" si="10"/>
        <v>-1.651753933383181</v>
      </c>
      <c r="C91">
        <f t="shared" ca="1" si="14"/>
        <v>-3.4168427392320506</v>
      </c>
      <c r="D91" s="22">
        <f t="shared" ca="1" si="11"/>
        <v>0.10196924187401128</v>
      </c>
      <c r="F91">
        <f t="shared" si="12"/>
        <v>8.5000000000000062E-2</v>
      </c>
      <c r="G91">
        <f t="shared" ca="1" si="13"/>
        <v>5.279903889634549E-3</v>
      </c>
      <c r="H91">
        <f t="shared" ca="1" si="15"/>
        <v>5.2796726809989578E-3</v>
      </c>
      <c r="I91">
        <f t="shared" ca="1" si="16"/>
        <v>1.00230595373217E-2</v>
      </c>
      <c r="J91" s="5">
        <f t="shared" ca="1" si="17"/>
        <v>4.7433868563227424E-3</v>
      </c>
    </row>
    <row r="92" spans="1:10" x14ac:dyDescent="0.2">
      <c r="A92">
        <f t="shared" ca="1" si="9"/>
        <v>0.67550051578843473</v>
      </c>
      <c r="B92">
        <f t="shared" ca="1" si="10"/>
        <v>0.45515328123552506</v>
      </c>
      <c r="C92">
        <f t="shared" ca="1" si="14"/>
        <v>-2.9616894579965254</v>
      </c>
      <c r="D92" s="22">
        <f t="shared" ca="1" si="11"/>
        <v>0.35968710152097422</v>
      </c>
      <c r="F92">
        <f t="shared" si="12"/>
        <v>8.6000000000000063E-2</v>
      </c>
      <c r="G92">
        <f t="shared" ca="1" si="13"/>
        <v>6.6332016374780547E-5</v>
      </c>
      <c r="H92">
        <f t="shared" ca="1" si="15"/>
        <v>6.5840150097975017E-5</v>
      </c>
      <c r="I92">
        <f t="shared" ca="1" si="16"/>
        <v>9.9717898111043556E-3</v>
      </c>
      <c r="J92" s="5">
        <f t="shared" ca="1" si="17"/>
        <v>9.9059496610063805E-3</v>
      </c>
    </row>
    <row r="93" spans="1:10" x14ac:dyDescent="0.2">
      <c r="A93">
        <f t="shared" ca="1" si="9"/>
        <v>0.33352988156765917</v>
      </c>
      <c r="B93">
        <f t="shared" ca="1" si="10"/>
        <v>-0.43018680015465421</v>
      </c>
      <c r="C93">
        <f t="shared" ca="1" si="14"/>
        <v>-3.3918762581511794</v>
      </c>
      <c r="D93" s="22">
        <f t="shared" ca="1" si="11"/>
        <v>0.36368438024633459</v>
      </c>
      <c r="F93">
        <f t="shared" si="12"/>
        <v>8.7000000000000063E-2</v>
      </c>
      <c r="G93">
        <f t="shared" ca="1" si="13"/>
        <v>1.5155739736706895E-3</v>
      </c>
      <c r="H93">
        <f t="shared" ca="1" si="15"/>
        <v>1.5151546192864018E-3</v>
      </c>
      <c r="I93">
        <f t="shared" ca="1" si="16"/>
        <v>9.9871014816550769E-3</v>
      </c>
      <c r="J93" s="5">
        <f t="shared" ca="1" si="17"/>
        <v>8.4719468623686758E-3</v>
      </c>
    </row>
    <row r="94" spans="1:10" x14ac:dyDescent="0.2">
      <c r="A94">
        <f t="shared" ca="1" si="9"/>
        <v>0.23199443491361416</v>
      </c>
      <c r="B94">
        <f t="shared" ca="1" si="10"/>
        <v>-0.73229444390148546</v>
      </c>
      <c r="C94">
        <f t="shared" ca="1" si="14"/>
        <v>-4.1241707020526652</v>
      </c>
      <c r="D94" s="22">
        <f t="shared" ca="1" si="11"/>
        <v>0.30511512655270029</v>
      </c>
      <c r="F94">
        <f t="shared" si="12"/>
        <v>8.8000000000000064E-2</v>
      </c>
      <c r="G94">
        <f t="shared" ca="1" si="13"/>
        <v>1.6511983171063485E-4</v>
      </c>
      <c r="H94">
        <f t="shared" ca="1" si="15"/>
        <v>1.64632995996091E-4</v>
      </c>
      <c r="I94">
        <f t="shared" ca="1" si="16"/>
        <v>9.9744720940862387E-3</v>
      </c>
      <c r="J94" s="5">
        <f t="shared" ca="1" si="17"/>
        <v>9.8098390980901479E-3</v>
      </c>
    </row>
    <row r="95" spans="1:10" x14ac:dyDescent="0.2">
      <c r="A95">
        <f t="shared" ca="1" si="9"/>
        <v>0.39496295242169865</v>
      </c>
      <c r="B95">
        <f t="shared" ca="1" si="10"/>
        <v>-0.26640683106498841</v>
      </c>
      <c r="C95">
        <f t="shared" ca="1" si="14"/>
        <v>-4.3905775331176535</v>
      </c>
      <c r="D95" s="22">
        <f t="shared" ca="1" si="11"/>
        <v>0.38503353945401242</v>
      </c>
      <c r="F95">
        <f t="shared" si="12"/>
        <v>8.9000000000000065E-2</v>
      </c>
      <c r="G95">
        <f t="shared" ca="1" si="13"/>
        <v>-2.1404997589515641E-3</v>
      </c>
      <c r="H95">
        <f t="shared" ca="1" si="15"/>
        <v>-2.1411018279186025E-3</v>
      </c>
      <c r="I95">
        <f t="shared" ca="1" si="16"/>
        <v>9.952346177576973E-3</v>
      </c>
      <c r="J95" s="5">
        <f t="shared" ca="1" si="17"/>
        <v>1.2093448005495576E-2</v>
      </c>
    </row>
    <row r="96" spans="1:10" x14ac:dyDescent="0.2">
      <c r="A96">
        <f t="shared" ca="1" si="9"/>
        <v>0.28612484093897006</v>
      </c>
      <c r="B96">
        <f t="shared" ca="1" si="10"/>
        <v>-0.56474138329443979</v>
      </c>
      <c r="C96">
        <f t="shared" ca="1" si="14"/>
        <v>-4.955318916412093</v>
      </c>
      <c r="D96" s="22">
        <f t="shared" ca="1" si="11"/>
        <v>0.34013763032448707</v>
      </c>
      <c r="F96">
        <f t="shared" si="12"/>
        <v>9.0000000000000066E-2</v>
      </c>
      <c r="G96">
        <f t="shared" ca="1" si="13"/>
        <v>-2.9726964691907218E-3</v>
      </c>
      <c r="H96">
        <f t="shared" ca="1" si="15"/>
        <v>-2.973340088128875E-3</v>
      </c>
      <c r="I96">
        <f t="shared" ca="1" si="16"/>
        <v>9.944910052256525E-3</v>
      </c>
      <c r="J96" s="5">
        <f t="shared" ca="1" si="17"/>
        <v>1.29182501403854E-2</v>
      </c>
    </row>
    <row r="97" spans="1:10" x14ac:dyDescent="0.2">
      <c r="A97">
        <f t="shared" ca="1" si="9"/>
        <v>7.4956525013007758E-2</v>
      </c>
      <c r="B97">
        <f t="shared" ca="1" si="10"/>
        <v>-1.4398386622860639</v>
      </c>
      <c r="C97">
        <f t="shared" ca="1" si="14"/>
        <v>-6.3951575786981572</v>
      </c>
      <c r="D97" s="22">
        <f t="shared" ca="1" si="11"/>
        <v>0.14149283207276253</v>
      </c>
      <c r="F97">
        <f t="shared" si="12"/>
        <v>9.1000000000000067E-2</v>
      </c>
      <c r="G97">
        <f t="shared" ca="1" si="13"/>
        <v>-4.7481794848221086E-3</v>
      </c>
      <c r="H97">
        <f t="shared" ca="1" si="15"/>
        <v>-4.7489118142846568E-3</v>
      </c>
      <c r="I97">
        <f t="shared" ca="1" si="16"/>
        <v>9.9281087199724789E-3</v>
      </c>
      <c r="J97" s="5">
        <f t="shared" ca="1" si="17"/>
        <v>1.4677020534257136E-2</v>
      </c>
    </row>
    <row r="98" spans="1:10" x14ac:dyDescent="0.2">
      <c r="A98">
        <f t="shared" ca="1" si="9"/>
        <v>0.39770573073093041</v>
      </c>
      <c r="B98">
        <f t="shared" ca="1" si="10"/>
        <v>-0.25929004280694085</v>
      </c>
      <c r="C98">
        <f t="shared" ca="1" si="14"/>
        <v>-6.6544476215050983</v>
      </c>
      <c r="D98" s="22">
        <f t="shared" ca="1" si="11"/>
        <v>0.38575447140259428</v>
      </c>
      <c r="F98">
        <f t="shared" si="12"/>
        <v>9.2000000000000068E-2</v>
      </c>
      <c r="G98">
        <f t="shared" ca="1" si="13"/>
        <v>-9.2906471775945666E-3</v>
      </c>
      <c r="H98">
        <f t="shared" ca="1" si="15"/>
        <v>-9.2916065590971722E-3</v>
      </c>
      <c r="I98">
        <f t="shared" ca="1" si="16"/>
        <v>9.8839460426332574E-3</v>
      </c>
      <c r="J98" s="5">
        <f t="shared" ca="1" si="17"/>
        <v>1.9175552601730428E-2</v>
      </c>
    </row>
    <row r="99" spans="1:10" x14ac:dyDescent="0.2">
      <c r="A99">
        <f t="shared" ca="1" si="9"/>
        <v>0.65679221606834914</v>
      </c>
      <c r="B99">
        <f t="shared" ca="1" si="10"/>
        <v>0.40372416469598504</v>
      </c>
      <c r="C99">
        <f t="shared" ca="1" si="14"/>
        <v>-6.250723456809113</v>
      </c>
      <c r="D99" s="22">
        <f t="shared" ca="1" si="11"/>
        <v>0.36771939922035457</v>
      </c>
      <c r="F99">
        <f t="shared" si="12"/>
        <v>9.3000000000000069E-2</v>
      </c>
      <c r="G99">
        <f t="shared" ca="1" si="13"/>
        <v>-1.0099624773536976E-2</v>
      </c>
      <c r="H99">
        <f t="shared" ca="1" si="15"/>
        <v>-1.0100624508313755E-2</v>
      </c>
      <c r="I99">
        <f t="shared" ca="1" si="16"/>
        <v>9.8767833011335869E-3</v>
      </c>
      <c r="J99" s="5">
        <f t="shared" ca="1" si="17"/>
        <v>1.9977407809447342E-2</v>
      </c>
    </row>
    <row r="100" spans="1:10" x14ac:dyDescent="0.2">
      <c r="A100">
        <f t="shared" ca="1" si="9"/>
        <v>0.92210876605777303</v>
      </c>
      <c r="B100">
        <f t="shared" ca="1" si="10"/>
        <v>1.4193998783282202</v>
      </c>
      <c r="C100">
        <f t="shared" ca="1" si="14"/>
        <v>-4.8313235784808928</v>
      </c>
      <c r="D100" s="22">
        <f t="shared" ca="1" si="11"/>
        <v>0.14568820246054892</v>
      </c>
      <c r="F100">
        <f t="shared" si="12"/>
        <v>9.400000000000007E-2</v>
      </c>
      <c r="G100">
        <f t="shared" ca="1" si="13"/>
        <v>-8.8119912863868378E-3</v>
      </c>
      <c r="H100">
        <f t="shared" ca="1" si="15"/>
        <v>-8.8129265389746709E-3</v>
      </c>
      <c r="I100">
        <f t="shared" ca="1" si="16"/>
        <v>9.8903404613173655E-3</v>
      </c>
      <c r="J100" s="5">
        <f t="shared" ca="1" si="17"/>
        <v>1.8703267000292036E-2</v>
      </c>
    </row>
    <row r="101" spans="1:10" x14ac:dyDescent="0.2">
      <c r="A101">
        <f t="shared" ca="1" si="9"/>
        <v>0.64498776507424926</v>
      </c>
      <c r="B101">
        <f t="shared" ca="1" si="10"/>
        <v>0.37182322578952115</v>
      </c>
      <c r="C101">
        <f t="shared" ca="1" si="14"/>
        <v>-4.4595003526913715</v>
      </c>
      <c r="D101" s="22">
        <f t="shared" ca="1" si="11"/>
        <v>0.37229646662190868</v>
      </c>
      <c r="F101">
        <f t="shared" si="12"/>
        <v>9.500000000000007E-2</v>
      </c>
      <c r="G101">
        <f t="shared" ca="1" si="13"/>
        <v>-4.3127985226925677E-3</v>
      </c>
      <c r="H101">
        <f t="shared" ca="1" si="15"/>
        <v>-4.3135087202377277E-3</v>
      </c>
      <c r="I101">
        <f t="shared" ca="1" si="16"/>
        <v>9.9357772491177679E-3</v>
      </c>
      <c r="J101" s="5">
        <f t="shared" ca="1" si="17"/>
        <v>1.4249285969355496E-2</v>
      </c>
    </row>
    <row r="102" spans="1:10" x14ac:dyDescent="0.2">
      <c r="A102">
        <f t="shared" ca="1" si="9"/>
        <v>0.39205389486709041</v>
      </c>
      <c r="B102">
        <f t="shared" ca="1" si="10"/>
        <v>-0.27396985254396283</v>
      </c>
      <c r="C102">
        <f t="shared" ca="1" si="14"/>
        <v>-4.7334702052353341</v>
      </c>
      <c r="D102" s="22">
        <f t="shared" ca="1" si="11"/>
        <v>0.38424754976363407</v>
      </c>
      <c r="F102">
        <f t="shared" si="12"/>
        <v>9.6000000000000071E-2</v>
      </c>
      <c r="G102">
        <f t="shared" ca="1" si="13"/>
        <v>-3.1266182719054884E-3</v>
      </c>
      <c r="H102">
        <f t="shared" ca="1" si="15"/>
        <v>-3.1272690889197576E-3</v>
      </c>
      <c r="I102">
        <f t="shared" ca="1" si="16"/>
        <v>9.9484117434282641E-3</v>
      </c>
      <c r="J102" s="5">
        <f t="shared" ca="1" si="17"/>
        <v>1.3075680832348021E-2</v>
      </c>
    </row>
    <row r="103" spans="1:10" x14ac:dyDescent="0.2">
      <c r="A103">
        <f t="shared" ca="1" si="9"/>
        <v>0.39278384406190725</v>
      </c>
      <c r="B103">
        <f t="shared" ca="1" si="10"/>
        <v>-0.27207066087326359</v>
      </c>
      <c r="C103">
        <f t="shared" ca="1" si="14"/>
        <v>-5.0055408661085981</v>
      </c>
      <c r="D103" s="22">
        <f t="shared" ca="1" si="11"/>
        <v>0.38444684062028489</v>
      </c>
      <c r="F103">
        <f t="shared" si="12"/>
        <v>9.7000000000000072E-2</v>
      </c>
      <c r="G103">
        <f t="shared" ca="1" si="13"/>
        <v>-3.9826315533212442E-3</v>
      </c>
      <c r="H103">
        <f t="shared" ca="1" si="15"/>
        <v>-3.9833251062702645E-3</v>
      </c>
      <c r="I103">
        <f t="shared" ca="1" si="16"/>
        <v>9.9407408084944398E-3</v>
      </c>
      <c r="J103" s="5">
        <f t="shared" ca="1" si="17"/>
        <v>1.3924065914764704E-2</v>
      </c>
    </row>
    <row r="104" spans="1:10" x14ac:dyDescent="0.2">
      <c r="A104">
        <f t="shared" ca="1" si="9"/>
        <v>0.56540542511268865</v>
      </c>
      <c r="B104">
        <f t="shared" ca="1" si="10"/>
        <v>0.16468852449061194</v>
      </c>
      <c r="C104">
        <f t="shared" ca="1" si="14"/>
        <v>-4.8408523416179863</v>
      </c>
      <c r="D104" s="22">
        <f t="shared" ca="1" si="11"/>
        <v>0.39356868074257084</v>
      </c>
      <c r="F104">
        <f t="shared" si="12"/>
        <v>9.8000000000000073E-2</v>
      </c>
      <c r="G104">
        <f t="shared" ca="1" si="13"/>
        <v>-4.8325537665722101E-3</v>
      </c>
      <c r="H104">
        <f t="shared" ca="1" si="15"/>
        <v>-4.8332897466264067E-3</v>
      </c>
      <c r="I104">
        <f t="shared" ca="1" si="16"/>
        <v>9.9331354443600601E-3</v>
      </c>
      <c r="J104" s="5">
        <f t="shared" ca="1" si="17"/>
        <v>1.4766425190986466E-2</v>
      </c>
    </row>
    <row r="105" spans="1:10" x14ac:dyDescent="0.2">
      <c r="A105">
        <f t="shared" ca="1" si="9"/>
        <v>0.20243867875914978</v>
      </c>
      <c r="B105">
        <f t="shared" ca="1" si="10"/>
        <v>-0.83294214789191134</v>
      </c>
      <c r="C105">
        <f t="shared" ca="1" si="14"/>
        <v>-5.6737944895098975</v>
      </c>
      <c r="D105" s="22">
        <f t="shared" ca="1" si="11"/>
        <v>0.28200376866527355</v>
      </c>
      <c r="F105">
        <f t="shared" si="12"/>
        <v>9.9000000000000074E-2</v>
      </c>
      <c r="G105">
        <f t="shared" ca="1" si="13"/>
        <v>-4.3013062319152556E-3</v>
      </c>
      <c r="H105">
        <f t="shared" ca="1" si="15"/>
        <v>-4.3020155757689882E-3</v>
      </c>
      <c r="I105">
        <f t="shared" ca="1" si="16"/>
        <v>9.9392540618988522E-3</v>
      </c>
      <c r="J105" s="5">
        <f t="shared" ca="1" si="17"/>
        <v>1.424126963766784E-2</v>
      </c>
    </row>
    <row r="106" spans="1:10" x14ac:dyDescent="0.2">
      <c r="A106">
        <f t="shared" ca="1" si="9"/>
        <v>0.45807606535668211</v>
      </c>
      <c r="B106">
        <f t="shared" ca="1" si="10"/>
        <v>-0.10528189261912664</v>
      </c>
      <c r="C106">
        <f t="shared" ca="1" si="14"/>
        <v>-5.7790763821290243</v>
      </c>
      <c r="D106" s="22">
        <f t="shared" ca="1" si="11"/>
        <v>0.39673740255996265</v>
      </c>
      <c r="F106">
        <f t="shared" si="12"/>
        <v>0.10000000000000007</v>
      </c>
      <c r="G106">
        <f t="shared" ca="1" si="13"/>
        <v>-6.9247392750423943E-3</v>
      </c>
      <c r="H106">
        <f t="shared" ca="1" si="15"/>
        <v>-6.9255797207026688E-3</v>
      </c>
      <c r="I106">
        <f t="shared" ca="1" si="16"/>
        <v>9.9140503615932629E-3</v>
      </c>
      <c r="J106" s="5">
        <f t="shared" ca="1" si="17"/>
        <v>1.6839630082295932E-2</v>
      </c>
    </row>
    <row r="107" spans="1:10" x14ac:dyDescent="0.2">
      <c r="A107">
        <f t="shared" ca="1" si="9"/>
        <v>0.25954918211909506</v>
      </c>
      <c r="B107">
        <f t="shared" ca="1" si="10"/>
        <v>-0.64473587414278022</v>
      </c>
      <c r="C107">
        <f t="shared" ca="1" si="14"/>
        <v>-6.4238122562718045</v>
      </c>
      <c r="D107" s="22">
        <f t="shared" ca="1" si="11"/>
        <v>0.32407487088466663</v>
      </c>
      <c r="F107">
        <f t="shared" si="12"/>
        <v>0.10100000000000008</v>
      </c>
      <c r="G107">
        <f t="shared" ca="1" si="13"/>
        <v>-7.2469612669351985E-3</v>
      </c>
      <c r="H107">
        <f t="shared" ca="1" si="15"/>
        <v>-7.2478177397803092E-3</v>
      </c>
      <c r="I107">
        <f t="shared" ca="1" si="16"/>
        <v>9.9116917864695269E-3</v>
      </c>
      <c r="J107" s="5">
        <f t="shared" ca="1" si="17"/>
        <v>1.7159509526249835E-2</v>
      </c>
    </row>
    <row r="108" spans="1:10" x14ac:dyDescent="0.2">
      <c r="A108">
        <f t="shared" ca="1" si="9"/>
        <v>0.39275377924131938</v>
      </c>
      <c r="B108">
        <f t="shared" ca="1" si="10"/>
        <v>-0.2721488645084254</v>
      </c>
      <c r="C108">
        <f t="shared" ca="1" si="14"/>
        <v>-6.6959611207802299</v>
      </c>
      <c r="D108" s="22">
        <f t="shared" ca="1" si="11"/>
        <v>0.38443865968909352</v>
      </c>
      <c r="F108">
        <f t="shared" si="12"/>
        <v>0.10200000000000008</v>
      </c>
      <c r="G108">
        <f t="shared" ca="1" si="13"/>
        <v>-9.2749690210910934E-3</v>
      </c>
      <c r="H108">
        <f t="shared" ca="1" si="15"/>
        <v>-9.2759268095171758E-3</v>
      </c>
      <c r="I108">
        <f t="shared" ca="1" si="16"/>
        <v>9.8924438179363375E-3</v>
      </c>
      <c r="J108" s="5">
        <f t="shared" ca="1" si="17"/>
        <v>1.9168370627453513E-2</v>
      </c>
    </row>
    <row r="109" spans="1:10" x14ac:dyDescent="0.2">
      <c r="A109">
        <f t="shared" ca="1" si="9"/>
        <v>0.9420175707266889</v>
      </c>
      <c r="B109">
        <f t="shared" ca="1" si="10"/>
        <v>1.5719383109237699</v>
      </c>
      <c r="C109">
        <f t="shared" ca="1" si="14"/>
        <v>-5.1240228098564602</v>
      </c>
      <c r="D109" s="22">
        <f t="shared" ca="1" si="11"/>
        <v>0.11596886142765932</v>
      </c>
      <c r="F109">
        <f t="shared" si="12"/>
        <v>0.10300000000000008</v>
      </c>
      <c r="G109">
        <f t="shared" ca="1" si="13"/>
        <v>-1.0124609316299937E-2</v>
      </c>
      <c r="H109">
        <f t="shared" ca="1" si="15"/>
        <v>-1.0125609491311409E-2</v>
      </c>
      <c r="I109">
        <f t="shared" ca="1" si="16"/>
        <v>9.8848729598428383E-3</v>
      </c>
      <c r="J109" s="5">
        <f t="shared" ca="1" si="17"/>
        <v>2.0010482451154249E-2</v>
      </c>
    </row>
    <row r="110" spans="1:10" x14ac:dyDescent="0.2">
      <c r="A110">
        <f t="shared" ca="1" si="9"/>
        <v>0.51173437353104012</v>
      </c>
      <c r="B110">
        <f t="shared" ca="1" si="10"/>
        <v>2.9417955055788796E-2</v>
      </c>
      <c r="C110">
        <f t="shared" ca="1" si="14"/>
        <v>-5.0946048548006715</v>
      </c>
      <c r="D110" s="22">
        <f t="shared" ca="1" si="11"/>
        <v>0.39876969221211545</v>
      </c>
      <c r="F110">
        <f t="shared" si="12"/>
        <v>0.10400000000000008</v>
      </c>
      <c r="G110">
        <f t="shared" ca="1" si="13"/>
        <v>-5.1429405370905356E-3</v>
      </c>
      <c r="H110">
        <f t="shared" ca="1" si="15"/>
        <v>-5.1436915265652252E-3</v>
      </c>
      <c r="I110">
        <f t="shared" ca="1" si="16"/>
        <v>9.9350758453557852E-3</v>
      </c>
      <c r="J110" s="5">
        <f t="shared" ca="1" si="17"/>
        <v>1.5078767371921011E-2</v>
      </c>
    </row>
    <row r="111" spans="1:10" x14ac:dyDescent="0.2">
      <c r="A111">
        <f t="shared" ca="1" si="9"/>
        <v>0.86699728723939795</v>
      </c>
      <c r="B111">
        <f t="shared" ca="1" si="10"/>
        <v>1.1123087441588457</v>
      </c>
      <c r="C111">
        <f t="shared" ca="1" si="14"/>
        <v>-3.9822961106418258</v>
      </c>
      <c r="D111" s="22">
        <f t="shared" ca="1" si="11"/>
        <v>0.2149061399876363</v>
      </c>
      <c r="F111">
        <f t="shared" si="12"/>
        <v>0.10500000000000008</v>
      </c>
      <c r="G111">
        <f t="shared" ca="1" si="13"/>
        <v>-5.0394036778465519E-3</v>
      </c>
      <c r="H111">
        <f t="shared" ca="1" si="15"/>
        <v>-5.0401494153318096E-3</v>
      </c>
      <c r="I111">
        <f t="shared" ca="1" si="16"/>
        <v>9.9369440908698772E-3</v>
      </c>
      <c r="J111" s="5">
        <f t="shared" ca="1" si="17"/>
        <v>1.4977093506201687E-2</v>
      </c>
    </row>
    <row r="112" spans="1:10" x14ac:dyDescent="0.2">
      <c r="A112">
        <f t="shared" ca="1" si="9"/>
        <v>0.69213778668615855</v>
      </c>
      <c r="B112">
        <f t="shared" ca="1" si="10"/>
        <v>0.50191910373476412</v>
      </c>
      <c r="C112">
        <f t="shared" ca="1" si="14"/>
        <v>-3.4803770069070614</v>
      </c>
      <c r="D112" s="22">
        <f t="shared" ca="1" si="11"/>
        <v>0.35172701615229846</v>
      </c>
      <c r="F112">
        <f t="shared" si="12"/>
        <v>0.10600000000000008</v>
      </c>
      <c r="G112">
        <f t="shared" ca="1" si="13"/>
        <v>-1.5116470339218025E-3</v>
      </c>
      <c r="H112">
        <f t="shared" ca="1" si="15"/>
        <v>-1.5122163075268133E-3</v>
      </c>
      <c r="I112">
        <f t="shared" ca="1" si="16"/>
        <v>9.972905511732395E-3</v>
      </c>
      <c r="J112" s="5">
        <f t="shared" ca="1" si="17"/>
        <v>1.1485121819259208E-2</v>
      </c>
    </row>
    <row r="113" spans="1:10" x14ac:dyDescent="0.2">
      <c r="A113">
        <f t="shared" ca="1" si="9"/>
        <v>0.46584469109683946</v>
      </c>
      <c r="B113">
        <f t="shared" ca="1" si="10"/>
        <v>-8.571952293328329E-2</v>
      </c>
      <c r="C113">
        <f t="shared" ca="1" si="14"/>
        <v>-3.5660965298403449</v>
      </c>
      <c r="D113" s="22">
        <f t="shared" ca="1" si="11"/>
        <v>0.39747928815702316</v>
      </c>
      <c r="F113">
        <f t="shared" si="12"/>
        <v>0.10700000000000008</v>
      </c>
      <c r="G113">
        <f t="shared" ca="1" si="13"/>
        <v>8.5631835120543323E-5</v>
      </c>
      <c r="H113">
        <f t="shared" ca="1" si="15"/>
        <v>8.5142483056119484E-5</v>
      </c>
      <c r="I113">
        <f t="shared" ca="1" si="16"/>
        <v>9.9896961275596548E-3</v>
      </c>
      <c r="J113" s="5">
        <f t="shared" ca="1" si="17"/>
        <v>9.9045536445035356E-3</v>
      </c>
    </row>
    <row r="114" spans="1:10" x14ac:dyDescent="0.2">
      <c r="A114">
        <f t="shared" ca="1" si="9"/>
        <v>0.95666318431978847</v>
      </c>
      <c r="B114">
        <f t="shared" ca="1" si="10"/>
        <v>1.7132115291641048</v>
      </c>
      <c r="C114">
        <f t="shared" ca="1" si="14"/>
        <v>-1.8528850006762401</v>
      </c>
      <c r="D114" s="22">
        <f t="shared" ca="1" si="11"/>
        <v>9.1952291688911877E-2</v>
      </c>
      <c r="F114">
        <f t="shared" si="12"/>
        <v>0.10800000000000008</v>
      </c>
      <c r="G114">
        <f t="shared" ca="1" si="13"/>
        <v>-1.754326071484519E-4</v>
      </c>
      <c r="H114">
        <f t="shared" ca="1" si="15"/>
        <v>-1.7593496360439895E-4</v>
      </c>
      <c r="I114">
        <f t="shared" ca="1" si="16"/>
        <v>9.9879374072599E-3</v>
      </c>
      <c r="J114" s="5">
        <f t="shared" ca="1" si="17"/>
        <v>1.0163872370864298E-2</v>
      </c>
    </row>
    <row r="115" spans="1:10" x14ac:dyDescent="0.2">
      <c r="A115">
        <f t="shared" ca="1" si="9"/>
        <v>0.84601974883943309</v>
      </c>
      <c r="B115">
        <f t="shared" ca="1" si="10"/>
        <v>1.0195108552395111</v>
      </c>
      <c r="C115">
        <f t="shared" ca="1" si="14"/>
        <v>-0.83337414543672894</v>
      </c>
      <c r="D115" s="22">
        <f t="shared" ca="1" si="11"/>
        <v>0.23725026484512887</v>
      </c>
      <c r="F115">
        <f t="shared" si="12"/>
        <v>0.10900000000000008</v>
      </c>
      <c r="G115">
        <f t="shared" ca="1" si="13"/>
        <v>5.2519641098293405E-3</v>
      </c>
      <c r="H115">
        <f t="shared" ca="1" si="15"/>
        <v>5.2517331757105179E-3</v>
      </c>
      <c r="I115">
        <f t="shared" ca="1" si="16"/>
        <v>1.0043149458410287E-2</v>
      </c>
      <c r="J115" s="5">
        <f t="shared" ca="1" si="17"/>
        <v>4.7914162826997687E-3</v>
      </c>
    </row>
    <row r="116" spans="1:10" x14ac:dyDescent="0.2">
      <c r="A116">
        <f t="shared" ca="1" si="9"/>
        <v>0.51940138305403161</v>
      </c>
      <c r="B116">
        <f t="shared" ca="1" si="10"/>
        <v>4.865124097237343E-2</v>
      </c>
      <c r="C116">
        <f t="shared" ca="1" si="14"/>
        <v>-0.78472290446435555</v>
      </c>
      <c r="D116" s="22">
        <f t="shared" ca="1" si="11"/>
        <v>0.39847042280304645</v>
      </c>
      <c r="F116">
        <f t="shared" si="12"/>
        <v>0.11000000000000008</v>
      </c>
      <c r="G116">
        <f t="shared" ca="1" si="13"/>
        <v>8.4852536494132661E-3</v>
      </c>
      <c r="H116">
        <f t="shared" ca="1" si="15"/>
        <v>8.4851844042160111E-3</v>
      </c>
      <c r="I116">
        <f t="shared" ca="1" si="16"/>
        <v>1.0076537811391149E-2</v>
      </c>
      <c r="J116" s="5">
        <f t="shared" ca="1" si="17"/>
        <v>1.5913534071751376E-3</v>
      </c>
    </row>
    <row r="117" spans="1:10" x14ac:dyDescent="0.2">
      <c r="A117">
        <f t="shared" ca="1" si="9"/>
        <v>0.33076952217026823</v>
      </c>
      <c r="B117">
        <f t="shared" ca="1" si="10"/>
        <v>-0.43778927768130793</v>
      </c>
      <c r="C117">
        <f t="shared" ca="1" si="14"/>
        <v>-1.2225121821456635</v>
      </c>
      <c r="D117" s="22">
        <f t="shared" ca="1" si="11"/>
        <v>0.36248642305469503</v>
      </c>
      <c r="F117">
        <f t="shared" si="12"/>
        <v>0.11100000000000008</v>
      </c>
      <c r="G117">
        <f t="shared" ca="1" si="13"/>
        <v>8.6482457068401321E-3</v>
      </c>
      <c r="H117">
        <f t="shared" ca="1" si="15"/>
        <v>8.6481846182419938E-3</v>
      </c>
      <c r="I117">
        <f t="shared" ca="1" si="16"/>
        <v>1.0079045657077332E-2</v>
      </c>
      <c r="J117" s="5">
        <f t="shared" ca="1" si="17"/>
        <v>1.430861038835338E-3</v>
      </c>
    </row>
    <row r="118" spans="1:10" x14ac:dyDescent="0.2">
      <c r="A118">
        <f t="shared" ca="1" si="9"/>
        <v>0.22909260954806032</v>
      </c>
      <c r="B118">
        <f t="shared" ca="1" si="10"/>
        <v>-0.7418384537531767</v>
      </c>
      <c r="C118">
        <f t="shared" ca="1" si="14"/>
        <v>-1.9643506358988403</v>
      </c>
      <c r="D118" s="22">
        <f t="shared" ca="1" si="11"/>
        <v>0.30297630467056108</v>
      </c>
      <c r="F118">
        <f t="shared" si="12"/>
        <v>0.11200000000000009</v>
      </c>
      <c r="G118">
        <f t="shared" ca="1" si="13"/>
        <v>7.27303839053162E-3</v>
      </c>
      <c r="H118">
        <f t="shared" ca="1" si="15"/>
        <v>7.2729085471073176E-3</v>
      </c>
      <c r="I118">
        <f t="shared" ca="1" si="16"/>
        <v>1.0066057997207703E-2</v>
      </c>
      <c r="J118" s="5">
        <f t="shared" ca="1" si="17"/>
        <v>2.7931494501003858E-3</v>
      </c>
    </row>
    <row r="119" spans="1:10" x14ac:dyDescent="0.2">
      <c r="A119">
        <f t="shared" ca="1" si="9"/>
        <v>0.5047847081697886</v>
      </c>
      <c r="B119">
        <f t="shared" ca="1" si="10"/>
        <v>1.1993772329885894E-2</v>
      </c>
      <c r="C119">
        <f t="shared" ca="1" si="14"/>
        <v>-1.9523568635689543</v>
      </c>
      <c r="D119" s="22">
        <f t="shared" ca="1" si="11"/>
        <v>0.39891358739516725</v>
      </c>
      <c r="F119">
        <f t="shared" si="12"/>
        <v>0.11300000000000009</v>
      </c>
      <c r="G119">
        <f t="shared" ca="1" si="13"/>
        <v>4.9365287433871001E-3</v>
      </c>
      <c r="H119">
        <f t="shared" ca="1" si="15"/>
        <v>4.936282086495083E-3</v>
      </c>
      <c r="I119">
        <f t="shared" ca="1" si="16"/>
        <v>1.0043425796575455E-2</v>
      </c>
      <c r="J119" s="5">
        <f t="shared" ca="1" si="17"/>
        <v>5.1071437100803719E-3</v>
      </c>
    </row>
    <row r="120" spans="1:10" x14ac:dyDescent="0.2">
      <c r="A120">
        <f t="shared" ca="1" si="9"/>
        <v>0.94446464722550505</v>
      </c>
      <c r="B120">
        <f t="shared" ca="1" si="10"/>
        <v>1.5933990194849175</v>
      </c>
      <c r="C120">
        <f t="shared" ca="1" si="14"/>
        <v>-0.35895784408403686</v>
      </c>
      <c r="D120" s="22">
        <f t="shared" ca="1" si="11"/>
        <v>0.11209609876947019</v>
      </c>
      <c r="F120">
        <f t="shared" si="12"/>
        <v>0.11400000000000009</v>
      </c>
      <c r="G120">
        <f t="shared" ca="1" si="13"/>
        <v>4.9839603572082898E-3</v>
      </c>
      <c r="H120">
        <f t="shared" ca="1" si="15"/>
        <v>4.9837160965863769E-3</v>
      </c>
      <c r="I120">
        <f t="shared" ca="1" si="16"/>
        <v>1.0044760934183414E-2</v>
      </c>
      <c r="J120" s="5">
        <f t="shared" ca="1" si="17"/>
        <v>5.0610448375970375E-3</v>
      </c>
    </row>
    <row r="121" spans="1:10" x14ac:dyDescent="0.2">
      <c r="A121">
        <f t="shared" ca="1" si="9"/>
        <v>0.41792405749243955</v>
      </c>
      <c r="B121">
        <f t="shared" ca="1" si="10"/>
        <v>-0.20720710980851453</v>
      </c>
      <c r="C121">
        <f t="shared" ca="1" si="14"/>
        <v>-0.56616495389255139</v>
      </c>
      <c r="D121" s="22">
        <f t="shared" ca="1" si="11"/>
        <v>0.39046930139323582</v>
      </c>
      <c r="F121">
        <f t="shared" si="12"/>
        <v>0.11500000000000009</v>
      </c>
      <c r="G121">
        <f t="shared" ca="1" si="13"/>
        <v>1.0031979681150388E-2</v>
      </c>
      <c r="H121">
        <f t="shared" ca="1" si="15"/>
        <v>1.0031987848028074E-2</v>
      </c>
      <c r="I121">
        <f t="shared" ca="1" si="16"/>
        <v>1.0096461022395795E-2</v>
      </c>
      <c r="J121" s="5">
        <f t="shared" ca="1" si="17"/>
        <v>6.447317436772057E-5</v>
      </c>
    </row>
    <row r="122" spans="1:10" x14ac:dyDescent="0.2">
      <c r="A122">
        <f t="shared" ca="1" si="9"/>
        <v>0.18948507663643444</v>
      </c>
      <c r="B122">
        <f t="shared" ca="1" si="10"/>
        <v>-0.87979540700535319</v>
      </c>
      <c r="C122">
        <f t="shared" ca="1" si="14"/>
        <v>-1.4459603608979046</v>
      </c>
      <c r="D122" s="22">
        <f t="shared" ca="1" si="11"/>
        <v>0.27091273736526156</v>
      </c>
      <c r="F122">
        <f t="shared" si="12"/>
        <v>0.11600000000000009</v>
      </c>
      <c r="G122">
        <f t="shared" ca="1" si="13"/>
        <v>9.3857623799373253E-3</v>
      </c>
      <c r="H122">
        <f t="shared" ca="1" si="15"/>
        <v>9.3857382348677496E-3</v>
      </c>
      <c r="I122">
        <f t="shared" ca="1" si="16"/>
        <v>1.0090806100532876E-2</v>
      </c>
      <c r="J122" s="5">
        <f t="shared" ca="1" si="17"/>
        <v>7.0506786566512658E-4</v>
      </c>
    </row>
    <row r="123" spans="1:10" x14ac:dyDescent="0.2">
      <c r="A123">
        <f t="shared" ca="1" si="9"/>
        <v>0.15551975683175101</v>
      </c>
      <c r="B123">
        <f t="shared" ca="1" si="10"/>
        <v>-1.0130432276630854</v>
      </c>
      <c r="C123">
        <f t="shared" ca="1" si="14"/>
        <v>-2.4590035885609902</v>
      </c>
      <c r="D123" s="22">
        <f t="shared" ca="1" si="11"/>
        <v>0.23881482366011172</v>
      </c>
      <c r="F123">
        <f t="shared" si="12"/>
        <v>0.11700000000000009</v>
      </c>
      <c r="G123">
        <f t="shared" ca="1" si="13"/>
        <v>6.6128050916236161E-3</v>
      </c>
      <c r="H123">
        <f t="shared" ca="1" si="15"/>
        <v>6.6126422999524884E-3</v>
      </c>
      <c r="I123">
        <f t="shared" ca="1" si="16"/>
        <v>1.006372691595005E-2</v>
      </c>
      <c r="J123" s="5">
        <f t="shared" ca="1" si="17"/>
        <v>3.4510846159975621E-3</v>
      </c>
    </row>
    <row r="124" spans="1:10" x14ac:dyDescent="0.2">
      <c r="A124">
        <f t="shared" ca="1" si="9"/>
        <v>0.7790898531705811</v>
      </c>
      <c r="B124">
        <f t="shared" ca="1" si="10"/>
        <v>0.76912300311942305</v>
      </c>
      <c r="C124">
        <f t="shared" ca="1" si="14"/>
        <v>-1.6898805854415673</v>
      </c>
      <c r="D124" s="22">
        <f t="shared" ca="1" si="11"/>
        <v>0.29679499525828629</v>
      </c>
      <c r="F124">
        <f t="shared" si="12"/>
        <v>0.11800000000000009</v>
      </c>
      <c r="G124">
        <f t="shared" ca="1" si="13"/>
        <v>3.4187795460948632E-3</v>
      </c>
      <c r="H124">
        <f t="shared" ca="1" si="15"/>
        <v>3.4184570680986489E-3</v>
      </c>
      <c r="I124">
        <f t="shared" ca="1" si="16"/>
        <v>1.0032492151786298E-2</v>
      </c>
      <c r="J124" s="5">
        <f t="shared" ca="1" si="17"/>
        <v>6.6140350836876487E-3</v>
      </c>
    </row>
    <row r="125" spans="1:10" x14ac:dyDescent="0.2">
      <c r="A125">
        <f t="shared" ca="1" si="9"/>
        <v>0.27543048455410413</v>
      </c>
      <c r="B125">
        <f t="shared" ca="1" si="10"/>
        <v>-0.59647047962540789</v>
      </c>
      <c r="C125">
        <f t="shared" ca="1" si="14"/>
        <v>-2.2863510650669752</v>
      </c>
      <c r="D125" s="22">
        <f t="shared" ca="1" si="11"/>
        <v>0.33392894447296056</v>
      </c>
      <c r="F125">
        <f t="shared" si="12"/>
        <v>0.11900000000000009</v>
      </c>
      <c r="G125">
        <f t="shared" ca="1" si="13"/>
        <v>5.8604960719787014E-3</v>
      </c>
      <c r="H125">
        <f t="shared" ca="1" si="15"/>
        <v>5.8602957130780052E-3</v>
      </c>
      <c r="I125">
        <f t="shared" ca="1" si="16"/>
        <v>1.0057878134194065E-2</v>
      </c>
      <c r="J125" s="5">
        <f t="shared" ca="1" si="17"/>
        <v>4.1975824211160596E-3</v>
      </c>
    </row>
    <row r="126" spans="1:10" x14ac:dyDescent="0.2">
      <c r="A126">
        <f t="shared" ca="1" si="9"/>
        <v>0.56879387991674057</v>
      </c>
      <c r="B126">
        <f t="shared" ca="1" si="10"/>
        <v>0.17330430478147865</v>
      </c>
      <c r="C126">
        <f t="shared" ca="1" si="14"/>
        <v>-2.1130467602854965</v>
      </c>
      <c r="D126" s="22">
        <f t="shared" ca="1" si="11"/>
        <v>0.39299604757183582</v>
      </c>
      <c r="F126">
        <f t="shared" si="12"/>
        <v>0.12000000000000009</v>
      </c>
      <c r="G126">
        <f t="shared" ca="1" si="13"/>
        <v>3.9837985853545385E-3</v>
      </c>
      <c r="H126">
        <f t="shared" ca="1" si="15"/>
        <v>3.9835044108373517E-3</v>
      </c>
      <c r="I126">
        <f t="shared" ca="1" si="16"/>
        <v>1.0039878535149104E-2</v>
      </c>
      <c r="J126" s="5">
        <f t="shared" ca="1" si="17"/>
        <v>6.0563741243117525E-3</v>
      </c>
    </row>
    <row r="127" spans="1:10" x14ac:dyDescent="0.2">
      <c r="A127">
        <f t="shared" ca="1" si="9"/>
        <v>0.70982162598476906</v>
      </c>
      <c r="B127">
        <f t="shared" ca="1" si="10"/>
        <v>0.55286369650140388</v>
      </c>
      <c r="C127">
        <f t="shared" ca="1" si="14"/>
        <v>-1.5601830637840925</v>
      </c>
      <c r="D127" s="22">
        <f t="shared" ca="1" si="11"/>
        <v>0.34240272827299711</v>
      </c>
      <c r="F127">
        <f t="shared" si="12"/>
        <v>0.12100000000000009</v>
      </c>
      <c r="G127">
        <f t="shared" ca="1" si="13"/>
        <v>4.5414086561776021E-3</v>
      </c>
      <c r="H127">
        <f t="shared" ca="1" si="15"/>
        <v>4.5411423918177499E-3</v>
      </c>
      <c r="I127">
        <f t="shared" ca="1" si="16"/>
        <v>1.0046336617978676E-2</v>
      </c>
      <c r="J127" s="5">
        <f t="shared" ca="1" si="17"/>
        <v>5.5051942261609265E-3</v>
      </c>
    </row>
    <row r="128" spans="1:10" x14ac:dyDescent="0.2">
      <c r="A128">
        <f t="shared" ca="1" si="9"/>
        <v>0.61619741043572462</v>
      </c>
      <c r="B128">
        <f t="shared" ca="1" si="10"/>
        <v>0.29550886781078667</v>
      </c>
      <c r="C128">
        <f t="shared" ca="1" si="14"/>
        <v>-1.2646741959733059</v>
      </c>
      <c r="D128" s="22">
        <f t="shared" ca="1" si="11"/>
        <v>0.38189816920198183</v>
      </c>
      <c r="F128">
        <f t="shared" si="12"/>
        <v>0.12200000000000009</v>
      </c>
      <c r="G128">
        <f t="shared" ca="1" si="13"/>
        <v>6.2991751428157598E-3</v>
      </c>
      <c r="H128">
        <f t="shared" ca="1" si="15"/>
        <v>6.2989967941430684E-3</v>
      </c>
      <c r="I128">
        <f t="shared" ca="1" si="16"/>
        <v>1.0064872193971086E-2</v>
      </c>
      <c r="J128" s="5">
        <f t="shared" ca="1" si="17"/>
        <v>3.765875399828018E-3</v>
      </c>
    </row>
    <row r="129" spans="1:10" x14ac:dyDescent="0.2">
      <c r="A129">
        <f t="shared" ca="1" si="9"/>
        <v>0.42549362295604221</v>
      </c>
      <c r="B129">
        <f t="shared" ca="1" si="10"/>
        <v>-0.18785892064273774</v>
      </c>
      <c r="C129">
        <f t="shared" ca="1" si="14"/>
        <v>-1.4525331166160436</v>
      </c>
      <c r="D129" s="22">
        <f t="shared" ca="1" si="11"/>
        <v>0.39196449383827092</v>
      </c>
      <c r="F129">
        <f t="shared" si="12"/>
        <v>0.1230000000000001</v>
      </c>
      <c r="G129">
        <f t="shared" ca="1" si="13"/>
        <v>7.2429791257648691E-3</v>
      </c>
      <c r="H129">
        <f t="shared" ca="1" si="15"/>
        <v>7.2428479855233558E-3</v>
      </c>
      <c r="I129">
        <f t="shared" ca="1" si="16"/>
        <v>1.0075239124942816E-2</v>
      </c>
      <c r="J129" s="5">
        <f t="shared" ca="1" si="17"/>
        <v>2.8323911394194604E-3</v>
      </c>
    </row>
    <row r="130" spans="1:10" x14ac:dyDescent="0.2">
      <c r="A130">
        <f t="shared" ca="1" si="9"/>
        <v>0.2232559486423229</v>
      </c>
      <c r="B130">
        <f t="shared" ca="1" si="10"/>
        <v>-0.76124307002514413</v>
      </c>
      <c r="C130">
        <f t="shared" ca="1" si="14"/>
        <v>-2.2137761866411876</v>
      </c>
      <c r="D130" s="22">
        <f t="shared" ca="1" si="11"/>
        <v>0.29858995372474312</v>
      </c>
      <c r="F130">
        <f t="shared" si="12"/>
        <v>0.1240000000000001</v>
      </c>
      <c r="G130">
        <f t="shared" ca="1" si="13"/>
        <v>6.6582219979365986E-3</v>
      </c>
      <c r="H130">
        <f t="shared" ca="1" si="15"/>
        <v>6.6580616327129296E-3</v>
      </c>
      <c r="I130">
        <f t="shared" ca="1" si="16"/>
        <v>1.007021220974509E-2</v>
      </c>
      <c r="J130" s="5">
        <f t="shared" ca="1" si="17"/>
        <v>3.41215057703216E-3</v>
      </c>
    </row>
    <row r="131" spans="1:10" x14ac:dyDescent="0.2">
      <c r="A131">
        <f t="shared" ca="1" si="9"/>
        <v>0.59917242144965122</v>
      </c>
      <c r="B131">
        <f t="shared" ca="1" si="10"/>
        <v>0.25120559752253591</v>
      </c>
      <c r="C131">
        <f t="shared" ca="1" si="14"/>
        <v>-1.9625705891186516</v>
      </c>
      <c r="D131" s="22">
        <f t="shared" ca="1" si="11"/>
        <v>0.38655131191336417</v>
      </c>
      <c r="F131">
        <f t="shared" si="12"/>
        <v>0.12500000000000008</v>
      </c>
      <c r="G131">
        <f t="shared" ca="1" si="13"/>
        <v>4.2604141128277694E-3</v>
      </c>
      <c r="H131">
        <f t="shared" ca="1" si="15"/>
        <v>4.2601338722511517E-3</v>
      </c>
      <c r="I131">
        <f t="shared" ca="1" si="16"/>
        <v>1.0046954140917169E-2</v>
      </c>
      <c r="J131" s="5">
        <f t="shared" ca="1" si="17"/>
        <v>5.7868202686660172E-3</v>
      </c>
    </row>
    <row r="132" spans="1:10" x14ac:dyDescent="0.2">
      <c r="A132">
        <f t="shared" ca="1" si="9"/>
        <v>0.99451734117221335</v>
      </c>
      <c r="B132">
        <f t="shared" ca="1" si="10"/>
        <v>2.5438021440749301</v>
      </c>
      <c r="C132">
        <f t="shared" ca="1" si="14"/>
        <v>0.58123155495627854</v>
      </c>
      <c r="D132" s="22">
        <f t="shared" ca="1" si="11"/>
        <v>1.5695155089079361E-2</v>
      </c>
      <c r="F132">
        <f t="shared" si="12"/>
        <v>0.12600000000000008</v>
      </c>
      <c r="G132">
        <f t="shared" ca="1" si="13"/>
        <v>5.0643297244517107E-3</v>
      </c>
      <c r="H132">
        <f t="shared" ca="1" si="15"/>
        <v>5.0640897080186905E-3</v>
      </c>
      <c r="I132">
        <f t="shared" ca="1" si="16"/>
        <v>1.0055893694318392E-2</v>
      </c>
      <c r="J132" s="5">
        <f t="shared" ca="1" si="17"/>
        <v>4.991803986299702E-3</v>
      </c>
    </row>
    <row r="133" spans="1:10" x14ac:dyDescent="0.2">
      <c r="A133">
        <f t="shared" ca="1" si="9"/>
        <v>0.48570715834154765</v>
      </c>
      <c r="B133">
        <f t="shared" ca="1" si="10"/>
        <v>-3.5834508802820013E-2</v>
      </c>
      <c r="C133">
        <f t="shared" ca="1" si="14"/>
        <v>0.54539704615345852</v>
      </c>
      <c r="D133" s="22">
        <f t="shared" ca="1" si="11"/>
        <v>0.39868621932400394</v>
      </c>
      <c r="F133">
        <f t="shared" si="12"/>
        <v>0.12700000000000009</v>
      </c>
      <c r="G133">
        <f t="shared" ca="1" si="13"/>
        <v>1.3117629315236745E-2</v>
      </c>
      <c r="H133">
        <f t="shared" ca="1" si="15"/>
        <v>1.3117791991144465E-2</v>
      </c>
      <c r="I133">
        <f t="shared" ca="1" si="16"/>
        <v>1.0138074702184089E-2</v>
      </c>
      <c r="J133" s="5">
        <f t="shared" ca="1" si="17"/>
        <v>2.9797172889603762E-3</v>
      </c>
    </row>
    <row r="134" spans="1:10" x14ac:dyDescent="0.2">
      <c r="A134">
        <f t="shared" ca="1" si="9"/>
        <v>0.62379919913113513</v>
      </c>
      <c r="B134">
        <f t="shared" ca="1" si="10"/>
        <v>0.31547424658229706</v>
      </c>
      <c r="C134">
        <f t="shared" ca="1" si="14"/>
        <v>0.86087129273575558</v>
      </c>
      <c r="D134" s="22">
        <f t="shared" ca="1" si="11"/>
        <v>0.37957596407650895</v>
      </c>
      <c r="F134">
        <f t="shared" si="12"/>
        <v>0.12800000000000009</v>
      </c>
      <c r="G134">
        <f t="shared" ca="1" si="13"/>
        <v>1.3013004116954847E-2</v>
      </c>
      <c r="H134">
        <f t="shared" ca="1" si="15"/>
        <v>1.3013161545295086E-2</v>
      </c>
      <c r="I134">
        <f t="shared" ca="1" si="16"/>
        <v>1.0137888987874169E-2</v>
      </c>
      <c r="J134" s="5">
        <f t="shared" ca="1" si="17"/>
        <v>2.8752725574209166E-3</v>
      </c>
    </row>
    <row r="135" spans="1:10" x14ac:dyDescent="0.2">
      <c r="A135">
        <f t="shared" ref="A135:A198" ca="1" si="18">RAND()</f>
        <v>0.28141642341749185</v>
      </c>
      <c r="B135">
        <f t="shared" ref="B135:B198" ca="1" si="19">NORMSINV(A135)</f>
        <v>-0.57863890639838766</v>
      </c>
      <c r="C135">
        <f t="shared" ca="1" si="14"/>
        <v>0.28223238633736791</v>
      </c>
      <c r="D135" s="22">
        <f t="shared" ref="D135:D198" ca="1" si="20">_xlfn.NORM.DIST(B135,0,1,FALSE)</f>
        <v>0.33744591775338001</v>
      </c>
      <c r="F135">
        <f t="shared" ref="F135:F198" si="21">F134+$M$2/$N$2</f>
        <v>0.12900000000000009</v>
      </c>
      <c r="G135">
        <f t="shared" ref="G135:G198" ca="1" si="22">G134*EXP(-$M$4*$O$2) + $O$4*(1-EXP(-$M$4*$O$2)) + $N$4* SQRT((1-EXP(-2*$M$4*$O$2))/(2*$M$4)) *B134</f>
        <v>1.4019269665168482E-2</v>
      </c>
      <c r="H135">
        <f t="shared" ca="1" si="15"/>
        <v>1.4019477391466206E-2</v>
      </c>
      <c r="I135">
        <f t="shared" ca="1" si="16"/>
        <v>1.0148971872944718E-2</v>
      </c>
      <c r="J135" s="5">
        <f t="shared" ca="1" si="17"/>
        <v>3.8705055185214877E-3</v>
      </c>
    </row>
    <row r="136" spans="1:10" x14ac:dyDescent="0.2">
      <c r="A136">
        <f t="shared" ca="1" si="18"/>
        <v>1.1247773150945939E-2</v>
      </c>
      <c r="B136">
        <f t="shared" ca="1" si="19"/>
        <v>-2.2818948952541005</v>
      </c>
      <c r="C136">
        <f t="shared" ref="C136:C199" ca="1" si="23">B136+C135</f>
        <v>-1.9996625089167326</v>
      </c>
      <c r="D136" s="22">
        <f t="shared" ca="1" si="20"/>
        <v>2.9526689681447404E-2</v>
      </c>
      <c r="F136">
        <f t="shared" si="21"/>
        <v>0.13000000000000009</v>
      </c>
      <c r="G136">
        <f t="shared" ca="1" si="22"/>
        <v>1.2198141908337158E-2</v>
      </c>
      <c r="H136">
        <f t="shared" ref="H136:H199" ca="1" si="24">H135+($M$6 + $N$6*H135)*$O$2 + $O$6*H135^$P$6*SQRT($O$2)*B135</f>
        <v>1.2198258556719176E-2</v>
      </c>
      <c r="I136">
        <f t="shared" ref="I136:I199" ca="1" si="25">I135*EXP(($M$8-0.5*($N$8^2))*$O$2 + $N$8*SQRT($O$2)*B135)</f>
        <v>1.0131380528446409E-2</v>
      </c>
      <c r="J136" s="5">
        <f t="shared" ref="J136:J199" ca="1" si="26">ABS(H136-I136)</f>
        <v>2.0668780282727672E-3</v>
      </c>
    </row>
    <row r="137" spans="1:10" x14ac:dyDescent="0.2">
      <c r="A137">
        <f t="shared" ca="1" si="18"/>
        <v>0.73936464096060805</v>
      </c>
      <c r="B137">
        <f t="shared" ca="1" si="19"/>
        <v>0.64138786056531172</v>
      </c>
      <c r="C137">
        <f t="shared" ca="1" si="23"/>
        <v>-1.3582746483514208</v>
      </c>
      <c r="D137" s="22">
        <f t="shared" ca="1" si="20"/>
        <v>0.32477334919086104</v>
      </c>
      <c r="F137">
        <f t="shared" si="21"/>
        <v>0.13100000000000009</v>
      </c>
      <c r="G137">
        <f t="shared" ca="1" si="22"/>
        <v>4.9912971892672213E-3</v>
      </c>
      <c r="H137">
        <f t="shared" ca="1" si="24"/>
        <v>4.991053480749197E-3</v>
      </c>
      <c r="I137">
        <f t="shared" ca="1" si="25"/>
        <v>1.005949138169876E-2</v>
      </c>
      <c r="J137" s="5">
        <f t="shared" ca="1" si="26"/>
        <v>5.0684379009495626E-3</v>
      </c>
    </row>
    <row r="138" spans="1:10" x14ac:dyDescent="0.2">
      <c r="A138">
        <f t="shared" ca="1" si="18"/>
        <v>0.77397045409308407</v>
      </c>
      <c r="B138">
        <f t="shared" ca="1" si="19"/>
        <v>0.75198664221177769</v>
      </c>
      <c r="C138">
        <f t="shared" ca="1" si="23"/>
        <v>-0.60628800613964307</v>
      </c>
      <c r="D138" s="22">
        <f t="shared" ca="1" si="20"/>
        <v>0.30068848363621348</v>
      </c>
      <c r="F138">
        <f t="shared" si="21"/>
        <v>0.13200000000000009</v>
      </c>
      <c r="G138">
        <f t="shared" ca="1" si="22"/>
        <v>7.028942679389672E-3</v>
      </c>
      <c r="H138">
        <f t="shared" ca="1" si="24"/>
        <v>7.0288008783699991E-3</v>
      </c>
      <c r="I138">
        <f t="shared" ca="1" si="25"/>
        <v>1.0080872852630672E-2</v>
      </c>
      <c r="J138" s="5">
        <f t="shared" ca="1" si="26"/>
        <v>3.052071974260673E-3</v>
      </c>
    </row>
    <row r="139" spans="1:10" x14ac:dyDescent="0.2">
      <c r="A139">
        <f t="shared" ca="1" si="18"/>
        <v>7.8422126928919145E-2</v>
      </c>
      <c r="B139">
        <f t="shared" ca="1" si="19"/>
        <v>-1.4157652265325578</v>
      </c>
      <c r="C139">
        <f t="shared" ca="1" si="23"/>
        <v>-2.0220532326722007</v>
      </c>
      <c r="D139" s="22">
        <f t="shared" ca="1" si="20"/>
        <v>0.14644078626717844</v>
      </c>
      <c r="F139">
        <f t="shared" si="21"/>
        <v>0.13300000000000009</v>
      </c>
      <c r="G139">
        <f t="shared" ca="1" si="22"/>
        <v>9.416110985119238E-3</v>
      </c>
      <c r="H139">
        <f t="shared" ca="1" si="24"/>
        <v>9.4160885576934986E-3</v>
      </c>
      <c r="I139">
        <f t="shared" ca="1" si="25"/>
        <v>1.0105833607160004E-2</v>
      </c>
      <c r="J139" s="5">
        <f t="shared" ca="1" si="26"/>
        <v>6.8974504946650583E-4</v>
      </c>
    </row>
    <row r="140" spans="1:10" x14ac:dyDescent="0.2">
      <c r="A140">
        <f t="shared" ca="1" si="18"/>
        <v>0.55268850055715613</v>
      </c>
      <c r="B140">
        <f t="shared" ca="1" si="19"/>
        <v>0.13245678938484448</v>
      </c>
      <c r="C140">
        <f t="shared" ca="1" si="23"/>
        <v>-1.8895964432873562</v>
      </c>
      <c r="D140" s="22">
        <f t="shared" ca="1" si="20"/>
        <v>0.39545790444628831</v>
      </c>
      <c r="F140">
        <f t="shared" si="21"/>
        <v>0.13400000000000009</v>
      </c>
      <c r="G140">
        <f t="shared" ca="1" si="22"/>
        <v>4.9483500160198762E-3</v>
      </c>
      <c r="H140">
        <f t="shared" ca="1" si="24"/>
        <v>4.9481042009305969E-3</v>
      </c>
      <c r="I140">
        <f t="shared" ca="1" si="25"/>
        <v>1.0061646298336419E-2</v>
      </c>
      <c r="J140" s="5">
        <f t="shared" ca="1" si="26"/>
        <v>5.1135420974058217E-3</v>
      </c>
    </row>
    <row r="141" spans="1:10" x14ac:dyDescent="0.2">
      <c r="A141">
        <f t="shared" ca="1" si="18"/>
        <v>0.99515607708921472</v>
      </c>
      <c r="B141">
        <f t="shared" ca="1" si="19"/>
        <v>2.5867763219798614</v>
      </c>
      <c r="C141">
        <f t="shared" ca="1" si="23"/>
        <v>0.69717987869250519</v>
      </c>
      <c r="D141" s="22">
        <f t="shared" ca="1" si="20"/>
        <v>1.405686482080671E-2</v>
      </c>
      <c r="F141">
        <f t="shared" si="21"/>
        <v>0.13500000000000009</v>
      </c>
      <c r="G141">
        <f t="shared" ca="1" si="22"/>
        <v>5.3766989094004847E-3</v>
      </c>
      <c r="H141">
        <f t="shared" ca="1" si="24"/>
        <v>5.376474536519826E-3</v>
      </c>
      <c r="I141">
        <f t="shared" ca="1" si="25"/>
        <v>1.0066817956334202E-2</v>
      </c>
      <c r="J141" s="5">
        <f t="shared" ca="1" si="26"/>
        <v>4.6903434198143756E-3</v>
      </c>
    </row>
    <row r="142" spans="1:10" x14ac:dyDescent="0.2">
      <c r="A142">
        <f t="shared" ca="1" si="18"/>
        <v>0.4319842532157554</v>
      </c>
      <c r="B142">
        <f t="shared" ca="1" si="19"/>
        <v>-0.17132464068430203</v>
      </c>
      <c r="C142">
        <f t="shared" ca="1" si="23"/>
        <v>0.52585523800820311</v>
      </c>
      <c r="D142" s="22">
        <f t="shared" ca="1" si="20"/>
        <v>0.3931301311284876</v>
      </c>
      <c r="F142">
        <f t="shared" si="21"/>
        <v>0.13600000000000009</v>
      </c>
      <c r="G142">
        <f t="shared" ca="1" si="22"/>
        <v>1.3565856753050651E-2</v>
      </c>
      <c r="H142">
        <f t="shared" ca="1" si="24"/>
        <v>1.3566041863915617E-2</v>
      </c>
      <c r="I142">
        <f t="shared" ca="1" si="25"/>
        <v>1.0150467558965539E-2</v>
      </c>
      <c r="J142" s="5">
        <f t="shared" ca="1" si="26"/>
        <v>3.4155743049500784E-3</v>
      </c>
    </row>
    <row r="143" spans="1:10" x14ac:dyDescent="0.2">
      <c r="A143">
        <f t="shared" ca="1" si="18"/>
        <v>0.87468370437918552</v>
      </c>
      <c r="B143">
        <f t="shared" ca="1" si="19"/>
        <v>1.1488142279597888</v>
      </c>
      <c r="C143">
        <f t="shared" ca="1" si="23"/>
        <v>1.6746694659679919</v>
      </c>
      <c r="D143" s="22">
        <f t="shared" ca="1" si="20"/>
        <v>0.2062171377906607</v>
      </c>
      <c r="F143">
        <f t="shared" si="21"/>
        <v>0.13700000000000009</v>
      </c>
      <c r="G143">
        <f t="shared" ca="1" si="22"/>
        <v>1.3032750739022235E-2</v>
      </c>
      <c r="H143">
        <f t="shared" ca="1" si="24"/>
        <v>1.3032909175856883E-2</v>
      </c>
      <c r="I143">
        <f t="shared" ca="1" si="25"/>
        <v>1.0145933585730892E-2</v>
      </c>
      <c r="J143" s="5">
        <f t="shared" ca="1" si="26"/>
        <v>2.8869755901259914E-3</v>
      </c>
    </row>
    <row r="144" spans="1:10" x14ac:dyDescent="0.2">
      <c r="A144">
        <f t="shared" ca="1" si="18"/>
        <v>0.10005945023047591</v>
      </c>
      <c r="B144">
        <f t="shared" ca="1" si="19"/>
        <v>-1.2812128880755862</v>
      </c>
      <c r="C144">
        <f t="shared" ca="1" si="23"/>
        <v>0.39345657789240573</v>
      </c>
      <c r="D144" s="22">
        <f t="shared" ca="1" si="20"/>
        <v>0.17557451040047001</v>
      </c>
      <c r="F144">
        <f t="shared" si="21"/>
        <v>0.13800000000000009</v>
      </c>
      <c r="G144">
        <f t="shared" ca="1" si="22"/>
        <v>1.6674134961977116E-2</v>
      </c>
      <c r="H144">
        <f t="shared" ca="1" si="24"/>
        <v>1.6674475453700124E-2</v>
      </c>
      <c r="I144">
        <f t="shared" ca="1" si="25"/>
        <v>1.018382688955527E-2</v>
      </c>
      <c r="J144" s="5">
        <f t="shared" ca="1" si="26"/>
        <v>6.490648564144854E-3</v>
      </c>
    </row>
    <row r="145" spans="1:10" x14ac:dyDescent="0.2">
      <c r="A145">
        <f t="shared" ca="1" si="18"/>
        <v>0.242729299767656</v>
      </c>
      <c r="B145">
        <f t="shared" ca="1" si="19"/>
        <v>-0.69755009657470202</v>
      </c>
      <c r="C145">
        <f t="shared" ca="1" si="23"/>
        <v>-0.30409351868229628</v>
      </c>
      <c r="D145" s="22">
        <f t="shared" ca="1" si="20"/>
        <v>0.31278894849910027</v>
      </c>
      <c r="F145">
        <f t="shared" si="21"/>
        <v>0.1390000000000001</v>
      </c>
      <c r="G145">
        <f t="shared" ca="1" si="22"/>
        <v>1.2631118807088575E-2</v>
      </c>
      <c r="H145">
        <f t="shared" ca="1" si="24"/>
        <v>1.2631257112273517E-2</v>
      </c>
      <c r="I145">
        <f t="shared" ca="1" si="25"/>
        <v>1.0143613665465253E-2</v>
      </c>
      <c r="J145" s="5">
        <f t="shared" ca="1" si="26"/>
        <v>2.4876434468082635E-3</v>
      </c>
    </row>
    <row r="146" spans="1:10" x14ac:dyDescent="0.2">
      <c r="A146">
        <f t="shared" ca="1" si="18"/>
        <v>0.57308904970188967</v>
      </c>
      <c r="B146">
        <f t="shared" ca="1" si="19"/>
        <v>0.18424418186149905</v>
      </c>
      <c r="C146">
        <f t="shared" ca="1" si="23"/>
        <v>-0.11984933682079724</v>
      </c>
      <c r="D146" s="22">
        <f t="shared" ca="1" si="20"/>
        <v>0.39222818950176658</v>
      </c>
      <c r="F146">
        <f t="shared" si="21"/>
        <v>0.1400000000000001</v>
      </c>
      <c r="G146">
        <f t="shared" ca="1" si="22"/>
        <v>1.0434118458890595E-2</v>
      </c>
      <c r="H146">
        <f t="shared" ca="1" si="24"/>
        <v>1.0434146899315813E-2</v>
      </c>
      <c r="I146">
        <f t="shared" ca="1" si="25"/>
        <v>1.0122224630538272E-2</v>
      </c>
      <c r="J146" s="5">
        <f t="shared" ca="1" si="26"/>
        <v>3.1192226877754109E-4</v>
      </c>
    </row>
    <row r="147" spans="1:10" x14ac:dyDescent="0.2">
      <c r="A147">
        <f t="shared" ca="1" si="18"/>
        <v>0.52312365624399226</v>
      </c>
      <c r="B147">
        <f t="shared" ca="1" si="19"/>
        <v>5.7994904255268709E-2</v>
      </c>
      <c r="C147">
        <f t="shared" ca="1" si="23"/>
        <v>-6.1854432565528528E-2</v>
      </c>
      <c r="D147" s="22">
        <f t="shared" ca="1" si="20"/>
        <v>0.39827194120347648</v>
      </c>
      <c r="F147">
        <f t="shared" si="21"/>
        <v>0.1410000000000001</v>
      </c>
      <c r="G147">
        <f t="shared" ca="1" si="22"/>
        <v>1.1025676729197591E-2</v>
      </c>
      <c r="H147">
        <f t="shared" ca="1" si="24"/>
        <v>1.1025734744942501E-2</v>
      </c>
      <c r="I147">
        <f t="shared" ca="1" si="25"/>
        <v>1.0129086090879324E-2</v>
      </c>
      <c r="J147" s="5">
        <f t="shared" ca="1" si="26"/>
        <v>8.9664865406317677E-4</v>
      </c>
    </row>
    <row r="148" spans="1:10" x14ac:dyDescent="0.2">
      <c r="A148">
        <f t="shared" ca="1" si="18"/>
        <v>0.85460223987100481</v>
      </c>
      <c r="B148">
        <f t="shared" ca="1" si="19"/>
        <v>1.0563780716525908</v>
      </c>
      <c r="C148">
        <f t="shared" ca="1" si="23"/>
        <v>0.99452363908706221</v>
      </c>
      <c r="D148" s="22">
        <f t="shared" ca="1" si="20"/>
        <v>0.22834312471614787</v>
      </c>
      <c r="F148">
        <f t="shared" si="21"/>
        <v>0.1420000000000001</v>
      </c>
      <c r="G148">
        <f t="shared" ca="1" si="22"/>
        <v>1.1217960537380476E-2</v>
      </c>
      <c r="H148">
        <f t="shared" ca="1" si="24"/>
        <v>1.1218028161598045E-2</v>
      </c>
      <c r="I148">
        <f t="shared" ca="1" si="25"/>
        <v>1.0131906380391138E-2</v>
      </c>
      <c r="J148" s="5">
        <f t="shared" ca="1" si="26"/>
        <v>1.0861217812069071E-3</v>
      </c>
    </row>
    <row r="149" spans="1:10" x14ac:dyDescent="0.2">
      <c r="A149">
        <f t="shared" ca="1" si="18"/>
        <v>0.80234790843539083</v>
      </c>
      <c r="B149">
        <f t="shared" ca="1" si="19"/>
        <v>0.85003759817751234</v>
      </c>
      <c r="C149">
        <f t="shared" ca="1" si="23"/>
        <v>1.8445612372645745</v>
      </c>
      <c r="D149" s="22">
        <f t="shared" ca="1" si="20"/>
        <v>0.27797600211014689</v>
      </c>
      <c r="F149">
        <f t="shared" si="21"/>
        <v>0.1430000000000001</v>
      </c>
      <c r="G149">
        <f t="shared" ca="1" si="22"/>
        <v>1.4567232053030441E-2</v>
      </c>
      <c r="H149">
        <f t="shared" ca="1" si="24"/>
        <v>1.4567467135460626E-2</v>
      </c>
      <c r="I149">
        <f t="shared" ca="1" si="25"/>
        <v>1.0166775022918456E-2</v>
      </c>
      <c r="J149" s="5">
        <f t="shared" ca="1" si="26"/>
        <v>4.4006921125421695E-3</v>
      </c>
    </row>
    <row r="150" spans="1:10" x14ac:dyDescent="0.2">
      <c r="A150">
        <f t="shared" ca="1" si="18"/>
        <v>0.35085885877517886</v>
      </c>
      <c r="B150">
        <f t="shared" ca="1" si="19"/>
        <v>-0.38300276013740731</v>
      </c>
      <c r="C150">
        <f t="shared" ca="1" si="23"/>
        <v>1.4615584771271672</v>
      </c>
      <c r="D150" s="22">
        <f t="shared" ca="1" si="20"/>
        <v>0.37072894482411473</v>
      </c>
      <c r="F150">
        <f t="shared" si="21"/>
        <v>0.1440000000000001</v>
      </c>
      <c r="G150">
        <f t="shared" ca="1" si="22"/>
        <v>1.726369541254999E-2</v>
      </c>
      <c r="H150">
        <f t="shared" ca="1" si="24"/>
        <v>1.7264065295767014E-2</v>
      </c>
      <c r="I150">
        <f t="shared" ca="1" si="25"/>
        <v>1.0195109125427837E-2</v>
      </c>
      <c r="J150" s="5">
        <f t="shared" ca="1" si="26"/>
        <v>7.0689561703391763E-3</v>
      </c>
    </row>
    <row r="151" spans="1:10" x14ac:dyDescent="0.2">
      <c r="A151">
        <f t="shared" ca="1" si="18"/>
        <v>0.64318879037640209</v>
      </c>
      <c r="B151">
        <f t="shared" ca="1" si="19"/>
        <v>0.36699544021290476</v>
      </c>
      <c r="C151">
        <f t="shared" ca="1" si="23"/>
        <v>1.828553917340072</v>
      </c>
      <c r="D151" s="22">
        <f t="shared" ca="1" si="20"/>
        <v>0.37296102337436127</v>
      </c>
      <c r="F151">
        <f t="shared" si="21"/>
        <v>0.1450000000000001</v>
      </c>
      <c r="G151">
        <f t="shared" ca="1" si="22"/>
        <v>1.6060868112706118E-2</v>
      </c>
      <c r="H151">
        <f t="shared" ca="1" si="24"/>
        <v>1.6061177817072083E-2</v>
      </c>
      <c r="I151">
        <f t="shared" ca="1" si="25"/>
        <v>1.0183736089746133E-2</v>
      </c>
      <c r="J151" s="5">
        <f t="shared" ca="1" si="26"/>
        <v>5.8774417273259501E-3</v>
      </c>
    </row>
    <row r="152" spans="1:10" x14ac:dyDescent="0.2">
      <c r="A152">
        <f t="shared" ca="1" si="18"/>
        <v>0.42438658762809467</v>
      </c>
      <c r="B152">
        <f t="shared" ca="1" si="19"/>
        <v>-0.19068399945704756</v>
      </c>
      <c r="C152">
        <f t="shared" ca="1" si="23"/>
        <v>1.6378699178830245</v>
      </c>
      <c r="D152" s="22">
        <f t="shared" ca="1" si="20"/>
        <v>0.39175496378477975</v>
      </c>
      <c r="F152">
        <f t="shared" si="21"/>
        <v>0.1460000000000001</v>
      </c>
      <c r="G152">
        <f t="shared" ca="1" si="22"/>
        <v>1.7229745063525696E-2</v>
      </c>
      <c r="H152">
        <f t="shared" ca="1" si="24"/>
        <v>1.7230113181259304E-2</v>
      </c>
      <c r="I152">
        <f t="shared" ca="1" si="25"/>
        <v>1.019653022295001E-2</v>
      </c>
      <c r="J152" s="5">
        <f t="shared" ca="1" si="26"/>
        <v>7.0335829583092948E-3</v>
      </c>
    </row>
    <row r="153" spans="1:10" x14ac:dyDescent="0.2">
      <c r="A153">
        <f t="shared" ca="1" si="18"/>
        <v>0.21231615094242817</v>
      </c>
      <c r="B153">
        <f t="shared" ca="1" si="19"/>
        <v>-0.79841051743642688</v>
      </c>
      <c r="C153">
        <f t="shared" ca="1" si="23"/>
        <v>0.83945940044659761</v>
      </c>
      <c r="D153" s="22">
        <f t="shared" ca="1" si="20"/>
        <v>0.29005978839225993</v>
      </c>
      <c r="F153">
        <f t="shared" si="21"/>
        <v>0.1470000000000001</v>
      </c>
      <c r="G153">
        <f t="shared" ca="1" si="22"/>
        <v>1.6635056072078679E-2</v>
      </c>
      <c r="H153">
        <f t="shared" ca="1" si="24"/>
        <v>1.6635394418306599E-2</v>
      </c>
      <c r="I153">
        <f t="shared" ca="1" si="25"/>
        <v>1.0191351744349266E-2</v>
      </c>
      <c r="J153" s="5">
        <f t="shared" ca="1" si="26"/>
        <v>6.4440426739573332E-3</v>
      </c>
    </row>
    <row r="154" spans="1:10" x14ac:dyDescent="0.2">
      <c r="A154">
        <f t="shared" ca="1" si="18"/>
        <v>0.24119628524109982</v>
      </c>
      <c r="B154">
        <f t="shared" ca="1" si="19"/>
        <v>-0.70245962809950568</v>
      </c>
      <c r="C154">
        <f t="shared" ca="1" si="23"/>
        <v>0.13699977234709193</v>
      </c>
      <c r="D154" s="22">
        <f t="shared" ca="1" si="20"/>
        <v>0.31171583303196626</v>
      </c>
      <c r="F154">
        <f t="shared" si="21"/>
        <v>0.1480000000000001</v>
      </c>
      <c r="G154">
        <f t="shared" ca="1" si="22"/>
        <v>1.4118722641255341E-2</v>
      </c>
      <c r="H154">
        <f t="shared" ca="1" si="24"/>
        <v>1.4118935135932079E-2</v>
      </c>
      <c r="I154">
        <f t="shared" ca="1" si="25"/>
        <v>1.0166618901312843E-2</v>
      </c>
      <c r="J154" s="5">
        <f t="shared" ca="1" si="26"/>
        <v>3.9523162346192364E-3</v>
      </c>
    </row>
    <row r="155" spans="1:10" x14ac:dyDescent="0.2">
      <c r="A155">
        <f t="shared" ca="1" si="18"/>
        <v>0.56358679285908808</v>
      </c>
      <c r="B155">
        <f t="shared" ca="1" si="19"/>
        <v>0.16006938896864042</v>
      </c>
      <c r="C155">
        <f t="shared" ca="1" si="23"/>
        <v>0.29706916131573236</v>
      </c>
      <c r="D155" s="22">
        <f t="shared" ca="1" si="20"/>
        <v>0.39386398782551862</v>
      </c>
      <c r="F155">
        <f t="shared" si="21"/>
        <v>0.1490000000000001</v>
      </c>
      <c r="G155">
        <f t="shared" ca="1" si="22"/>
        <v>1.1906049014481687E-2</v>
      </c>
      <c r="H155">
        <f t="shared" ca="1" si="24"/>
        <v>1.1906150853309231E-2</v>
      </c>
      <c r="I155">
        <f t="shared" ca="1" si="25"/>
        <v>1.0145023851286315E-2</v>
      </c>
      <c r="J155" s="5">
        <f t="shared" ca="1" si="26"/>
        <v>1.761127002022916E-3</v>
      </c>
    </row>
    <row r="156" spans="1:10" x14ac:dyDescent="0.2">
      <c r="A156">
        <f t="shared" ca="1" si="18"/>
        <v>0.42428927883082324</v>
      </c>
      <c r="B156">
        <f t="shared" ca="1" si="19"/>
        <v>-0.19093239733793255</v>
      </c>
      <c r="C156">
        <f t="shared" ca="1" si="23"/>
        <v>0.10613676397779981</v>
      </c>
      <c r="D156" s="22">
        <f t="shared" ca="1" si="20"/>
        <v>0.39173639646857961</v>
      </c>
      <c r="F156">
        <f t="shared" si="21"/>
        <v>0.15000000000000011</v>
      </c>
      <c r="G156">
        <f t="shared" ca="1" si="22"/>
        <v>1.2421016513799364E-2</v>
      </c>
      <c r="H156">
        <f t="shared" ca="1" si="24"/>
        <v>1.2421144091036236E-2</v>
      </c>
      <c r="I156">
        <f t="shared" ca="1" si="25"/>
        <v>1.0151124709497078E-2</v>
      </c>
      <c r="J156" s="5">
        <f t="shared" ca="1" si="26"/>
        <v>2.2700193815391578E-3</v>
      </c>
    </row>
    <row r="157" spans="1:10" x14ac:dyDescent="0.2">
      <c r="A157">
        <f t="shared" ca="1" si="18"/>
        <v>0.60459803299817305</v>
      </c>
      <c r="B157">
        <f t="shared" ca="1" si="19"/>
        <v>0.26526680567257038</v>
      </c>
      <c r="C157">
        <f t="shared" ca="1" si="23"/>
        <v>0.37140356965037019</v>
      </c>
      <c r="D157" s="22">
        <f t="shared" ca="1" si="20"/>
        <v>0.38515024568057138</v>
      </c>
      <c r="F157">
        <f t="shared" si="21"/>
        <v>0.15100000000000011</v>
      </c>
      <c r="G157">
        <f t="shared" ca="1" si="22"/>
        <v>1.1826022907368439E-2</v>
      </c>
      <c r="H157">
        <f t="shared" ca="1" si="24"/>
        <v>1.1826120721922994E-2</v>
      </c>
      <c r="I157">
        <f t="shared" ca="1" si="25"/>
        <v>1.0145961321159703E-2</v>
      </c>
      <c r="J157" s="5">
        <f t="shared" ca="1" si="26"/>
        <v>1.6801594007632911E-3</v>
      </c>
    </row>
    <row r="158" spans="1:10" x14ac:dyDescent="0.2">
      <c r="A158">
        <f t="shared" ca="1" si="18"/>
        <v>0.49543188653830461</v>
      </c>
      <c r="B158">
        <f t="shared" ca="1" si="19"/>
        <v>-1.1450812600428052E-2</v>
      </c>
      <c r="C158">
        <f t="shared" ca="1" si="23"/>
        <v>0.35995275704994212</v>
      </c>
      <c r="D158" s="22">
        <f t="shared" ca="1" si="20"/>
        <v>0.39891612638161955</v>
      </c>
      <c r="F158">
        <f t="shared" si="21"/>
        <v>0.15200000000000011</v>
      </c>
      <c r="G158">
        <f t="shared" ca="1" si="22"/>
        <v>1.2673645217167953E-2</v>
      </c>
      <c r="H158">
        <f t="shared" ca="1" si="24"/>
        <v>1.2673785403413398E-2</v>
      </c>
      <c r="I158">
        <f t="shared" ca="1" si="25"/>
        <v>1.0155440525055633E-2</v>
      </c>
      <c r="J158" s="5">
        <f t="shared" ca="1" si="26"/>
        <v>2.5183448783577655E-3</v>
      </c>
    </row>
    <row r="159" spans="1:10" x14ac:dyDescent="0.2">
      <c r="A159">
        <f t="shared" ca="1" si="18"/>
        <v>0.88647979479644956</v>
      </c>
      <c r="B159">
        <f t="shared" ca="1" si="19"/>
        <v>1.2080178136659159</v>
      </c>
      <c r="C159">
        <f t="shared" ca="1" si="23"/>
        <v>1.567970570715858</v>
      </c>
      <c r="D159" s="22">
        <f t="shared" ca="1" si="20"/>
        <v>0.19232049529455222</v>
      </c>
      <c r="F159">
        <f t="shared" si="21"/>
        <v>0.15300000000000011</v>
      </c>
      <c r="G159">
        <f t="shared" ca="1" si="22"/>
        <v>1.2646168577608917E-2</v>
      </c>
      <c r="H159">
        <f t="shared" ca="1" si="24"/>
        <v>1.2646307375995949E-2</v>
      </c>
      <c r="I159">
        <f t="shared" ca="1" si="25"/>
        <v>1.0156037574364367E-2</v>
      </c>
      <c r="J159" s="5">
        <f t="shared" ca="1" si="26"/>
        <v>2.4902698016315821E-3</v>
      </c>
    </row>
    <row r="160" spans="1:10" x14ac:dyDescent="0.2">
      <c r="A160">
        <f t="shared" ca="1" si="18"/>
        <v>5.4762904529714995E-2</v>
      </c>
      <c r="B160">
        <f t="shared" ca="1" si="19"/>
        <v>-1.6003281324314358</v>
      </c>
      <c r="C160">
        <f t="shared" ca="1" si="23"/>
        <v>-3.2357561715577798E-2</v>
      </c>
      <c r="D160" s="22">
        <f t="shared" ca="1" si="20"/>
        <v>0.11086260923832397</v>
      </c>
      <c r="F160">
        <f t="shared" si="21"/>
        <v>0.15400000000000011</v>
      </c>
      <c r="G160">
        <f t="shared" ca="1" si="22"/>
        <v>1.6474800272808638E-2</v>
      </c>
      <c r="H160">
        <f t="shared" ca="1" si="24"/>
        <v>1.6475130490499524E-2</v>
      </c>
      <c r="I160">
        <f t="shared" ca="1" si="25"/>
        <v>1.0195877289714349E-2</v>
      </c>
      <c r="J160" s="5">
        <f t="shared" ca="1" si="26"/>
        <v>6.2792532007851752E-3</v>
      </c>
    </row>
    <row r="161" spans="1:10" x14ac:dyDescent="0.2">
      <c r="A161">
        <f t="shared" ca="1" si="18"/>
        <v>0.28202557260087979</v>
      </c>
      <c r="B161">
        <f t="shared" ca="1" si="19"/>
        <v>-0.57683467181999715</v>
      </c>
      <c r="C161">
        <f t="shared" ca="1" si="23"/>
        <v>-0.60919223353557495</v>
      </c>
      <c r="D161" s="22">
        <f t="shared" ca="1" si="20"/>
        <v>0.33779784555121095</v>
      </c>
      <c r="F161">
        <f t="shared" si="21"/>
        <v>0.15500000000000011</v>
      </c>
      <c r="G161">
        <f t="shared" ca="1" si="22"/>
        <v>1.1422723496594844E-2</v>
      </c>
      <c r="H161">
        <f t="shared" ca="1" si="24"/>
        <v>1.1422801075323563E-2</v>
      </c>
      <c r="I161">
        <f t="shared" ca="1" si="25"/>
        <v>1.0145373303522833E-2</v>
      </c>
      <c r="J161" s="5">
        <f t="shared" ca="1" si="26"/>
        <v>1.2774277718007303E-3</v>
      </c>
    </row>
    <row r="162" spans="1:10" x14ac:dyDescent="0.2">
      <c r="A162">
        <f t="shared" ca="1" si="18"/>
        <v>0.11357751628581991</v>
      </c>
      <c r="B162">
        <f t="shared" ca="1" si="19"/>
        <v>-1.2077198694978097</v>
      </c>
      <c r="C162">
        <f t="shared" ca="1" si="23"/>
        <v>-1.8169121030333848</v>
      </c>
      <c r="D162" s="22">
        <f t="shared" ca="1" si="20"/>
        <v>0.19238971956459081</v>
      </c>
      <c r="F162">
        <f t="shared" si="21"/>
        <v>0.15600000000000011</v>
      </c>
      <c r="G162">
        <f t="shared" ca="1" si="22"/>
        <v>9.6075605868363792E-3</v>
      </c>
      <c r="H162">
        <f t="shared" ca="1" si="24"/>
        <v>9.607547398909096E-3</v>
      </c>
      <c r="I162">
        <f t="shared" ca="1" si="25"/>
        <v>1.0127845980637767E-2</v>
      </c>
      <c r="J162" s="5">
        <f t="shared" ca="1" si="26"/>
        <v>5.2029858172867108E-4</v>
      </c>
    </row>
    <row r="163" spans="1:10" x14ac:dyDescent="0.2">
      <c r="A163">
        <f t="shared" ca="1" si="18"/>
        <v>0.37233014509143647</v>
      </c>
      <c r="B163">
        <f t="shared" ca="1" si="19"/>
        <v>-0.32568817718873833</v>
      </c>
      <c r="C163">
        <f t="shared" ca="1" si="23"/>
        <v>-2.1426002802221231</v>
      </c>
      <c r="D163" s="22">
        <f t="shared" ca="1" si="20"/>
        <v>0.37833511534420805</v>
      </c>
      <c r="F163">
        <f t="shared" si="21"/>
        <v>0.15700000000000011</v>
      </c>
      <c r="G163">
        <f t="shared" ca="1" si="22"/>
        <v>5.7976447650981162E-3</v>
      </c>
      <c r="H163">
        <f t="shared" ca="1" si="24"/>
        <v>5.7974410811148114E-3</v>
      </c>
      <c r="I163">
        <f t="shared" ca="1" si="25"/>
        <v>1.0090198553726443E-2</v>
      </c>
      <c r="J163" s="5">
        <f t="shared" ca="1" si="26"/>
        <v>4.2927574726116316E-3</v>
      </c>
    </row>
    <row r="164" spans="1:10" x14ac:dyDescent="0.2">
      <c r="A164">
        <f t="shared" ca="1" si="18"/>
        <v>8.9677473618094972E-3</v>
      </c>
      <c r="B164">
        <f t="shared" ca="1" si="19"/>
        <v>-2.3669471304787</v>
      </c>
      <c r="C164">
        <f t="shared" ca="1" si="23"/>
        <v>-4.5095474107008231</v>
      </c>
      <c r="D164" s="22">
        <f t="shared" ca="1" si="20"/>
        <v>2.4230141787308267E-2</v>
      </c>
      <c r="F164">
        <f t="shared" si="21"/>
        <v>0.15800000000000011</v>
      </c>
      <c r="G164">
        <f t="shared" ca="1" si="22"/>
        <v>4.7771995763974014E-3</v>
      </c>
      <c r="H164">
        <f t="shared" ca="1" si="24"/>
        <v>4.7769448901017926E-3</v>
      </c>
      <c r="I164">
        <f t="shared" ca="1" si="25"/>
        <v>1.0080769469535778E-2</v>
      </c>
      <c r="J164" s="5">
        <f t="shared" ca="1" si="26"/>
        <v>5.3038245794339856E-3</v>
      </c>
    </row>
    <row r="165" spans="1:10" x14ac:dyDescent="0.2">
      <c r="A165">
        <f t="shared" ca="1" si="18"/>
        <v>0.72944245889445736</v>
      </c>
      <c r="B165">
        <f t="shared" ca="1" si="19"/>
        <v>0.61112764078542281</v>
      </c>
      <c r="C165">
        <f t="shared" ca="1" si="23"/>
        <v>-3.8984197699154004</v>
      </c>
      <c r="D165" s="22">
        <f t="shared" ca="1" si="20"/>
        <v>0.33098671847256483</v>
      </c>
      <c r="F165">
        <f t="shared" si="21"/>
        <v>0.15900000000000011</v>
      </c>
      <c r="G165">
        <f t="shared" ca="1" si="22"/>
        <v>-2.6978484215620909E-3</v>
      </c>
      <c r="H165">
        <f t="shared" ca="1" si="24"/>
        <v>-2.6984768378996611E-3</v>
      </c>
      <c r="I165">
        <f t="shared" ca="1" si="25"/>
        <v>1.0006547732361383E-2</v>
      </c>
      <c r="J165" s="5">
        <f t="shared" ca="1" si="26"/>
        <v>1.2705024570261044E-2</v>
      </c>
    </row>
    <row r="166" spans="1:10" x14ac:dyDescent="0.2">
      <c r="A166">
        <f t="shared" ca="1" si="18"/>
        <v>0.31406632192646944</v>
      </c>
      <c r="B166">
        <f t="shared" ca="1" si="19"/>
        <v>-0.48435683918177336</v>
      </c>
      <c r="C166">
        <f t="shared" ca="1" si="23"/>
        <v>-4.3827766090971734</v>
      </c>
      <c r="D166" s="22">
        <f t="shared" ca="1" si="20"/>
        <v>0.35478641905201963</v>
      </c>
      <c r="F166">
        <f t="shared" si="21"/>
        <v>0.16000000000000011</v>
      </c>
      <c r="G166">
        <f t="shared" ca="1" si="22"/>
        <v>-7.5512048796322947E-4</v>
      </c>
      <c r="H166">
        <f t="shared" ca="1" si="24"/>
        <v>-7.5565170424872225E-4</v>
      </c>
      <c r="I166">
        <f t="shared" ca="1" si="25"/>
        <v>1.0026857143379616E-2</v>
      </c>
      <c r="J166" s="5">
        <f t="shared" ca="1" si="26"/>
        <v>1.0782508847628339E-2</v>
      </c>
    </row>
    <row r="167" spans="1:10" x14ac:dyDescent="0.2">
      <c r="A167">
        <f t="shared" ca="1" si="18"/>
        <v>0.31192044625946214</v>
      </c>
      <c r="B167">
        <f t="shared" ca="1" si="19"/>
        <v>-0.49041411222071107</v>
      </c>
      <c r="C167">
        <f t="shared" ca="1" si="23"/>
        <v>-4.8731907213178847</v>
      </c>
      <c r="D167" s="22">
        <f t="shared" ca="1" si="20"/>
        <v>0.35374055361704704</v>
      </c>
      <c r="F167">
        <f t="shared" si="21"/>
        <v>0.16100000000000012</v>
      </c>
      <c r="G167">
        <f t="shared" ca="1" si="22"/>
        <v>-2.2766397114177706E-3</v>
      </c>
      <c r="H167">
        <f t="shared" ca="1" si="24"/>
        <v>-2.2772469511725874E-3</v>
      </c>
      <c r="I167">
        <f t="shared" ca="1" si="25"/>
        <v>1.0012462193262978E-2</v>
      </c>
      <c r="J167" s="5">
        <f t="shared" ca="1" si="26"/>
        <v>1.2289709144435565E-2</v>
      </c>
    </row>
    <row r="168" spans="1:10" x14ac:dyDescent="0.2">
      <c r="A168">
        <f t="shared" ca="1" si="18"/>
        <v>0.35949617138174661</v>
      </c>
      <c r="B168">
        <f t="shared" ca="1" si="19"/>
        <v>-0.35980583042681441</v>
      </c>
      <c r="C168">
        <f t="shared" ca="1" si="23"/>
        <v>-5.2329965517446988</v>
      </c>
      <c r="D168" s="22">
        <f t="shared" ca="1" si="20"/>
        <v>0.37393673598014987</v>
      </c>
      <c r="F168">
        <f t="shared" si="21"/>
        <v>0.16200000000000012</v>
      </c>
      <c r="G168">
        <f t="shared" ca="1" si="22"/>
        <v>-3.8171606120708254E-3</v>
      </c>
      <c r="H168">
        <f t="shared" ca="1" si="24"/>
        <v>-3.8178448177843337E-3</v>
      </c>
      <c r="I168">
        <f t="shared" ca="1" si="25"/>
        <v>9.9978963997700912E-3</v>
      </c>
      <c r="J168" s="5">
        <f t="shared" ca="1" si="26"/>
        <v>1.3815741217554425E-2</v>
      </c>
    </row>
    <row r="169" spans="1:10" x14ac:dyDescent="0.2">
      <c r="A169">
        <f t="shared" ca="1" si="18"/>
        <v>0.157208005452526</v>
      </c>
      <c r="B169">
        <f t="shared" ca="1" si="19"/>
        <v>-1.005999083560061</v>
      </c>
      <c r="C169">
        <f t="shared" ca="1" si="23"/>
        <v>-6.23899563530476</v>
      </c>
      <c r="D169" s="22">
        <f t="shared" ca="1" si="20"/>
        <v>0.24051913931136421</v>
      </c>
      <c r="F169">
        <f t="shared" si="21"/>
        <v>0.16300000000000012</v>
      </c>
      <c r="G169">
        <f t="shared" ca="1" si="22"/>
        <v>-4.944528466708514E-3</v>
      </c>
      <c r="H169">
        <f t="shared" ca="1" si="24"/>
        <v>-4.9452689728596028E-3</v>
      </c>
      <c r="I169">
        <f t="shared" ca="1" si="25"/>
        <v>9.9874759682096002E-3</v>
      </c>
      <c r="J169" s="5">
        <f t="shared" ca="1" si="26"/>
        <v>1.4932744941069203E-2</v>
      </c>
    </row>
    <row r="170" spans="1:10" x14ac:dyDescent="0.2">
      <c r="A170">
        <f t="shared" ca="1" si="18"/>
        <v>0.93653626765004272</v>
      </c>
      <c r="B170">
        <f t="shared" ca="1" si="19"/>
        <v>1.5263309491781221</v>
      </c>
      <c r="C170">
        <f t="shared" ca="1" si="23"/>
        <v>-4.7126646861266384</v>
      </c>
      <c r="D170" s="22">
        <f t="shared" ca="1" si="20"/>
        <v>0.12445866622245862</v>
      </c>
      <c r="F170">
        <f t="shared" si="21"/>
        <v>0.16400000000000012</v>
      </c>
      <c r="G170">
        <f t="shared" ca="1" si="22"/>
        <v>-8.1151239108647466E-3</v>
      </c>
      <c r="H170">
        <f t="shared" ca="1" si="24"/>
        <v>-8.1160228740541594E-3</v>
      </c>
      <c r="I170">
        <f t="shared" ca="1" si="25"/>
        <v>9.9566996523089094E-3</v>
      </c>
      <c r="J170" s="5">
        <f t="shared" ca="1" si="26"/>
        <v>1.8072722526363071E-2</v>
      </c>
    </row>
    <row r="171" spans="1:10" x14ac:dyDescent="0.2">
      <c r="A171">
        <f t="shared" ca="1" si="18"/>
        <v>0.85803819187845864</v>
      </c>
      <c r="B171">
        <f t="shared" ca="1" si="19"/>
        <v>1.0715468515874178</v>
      </c>
      <c r="C171">
        <f t="shared" ca="1" si="23"/>
        <v>-3.6411178345392203</v>
      </c>
      <c r="D171" s="22">
        <f t="shared" ca="1" si="20"/>
        <v>0.22468747085548177</v>
      </c>
      <c r="F171">
        <f t="shared" si="21"/>
        <v>0.16500000000000012</v>
      </c>
      <c r="G171">
        <f t="shared" ca="1" si="22"/>
        <v>-3.2778720004796678E-3</v>
      </c>
      <c r="H171">
        <f t="shared" ca="1" si="24"/>
        <v>-3.2785290091571807E-3</v>
      </c>
      <c r="I171">
        <f t="shared" ca="1" si="25"/>
        <v>1.0005824152811522E-2</v>
      </c>
      <c r="J171" s="5">
        <f t="shared" ca="1" si="26"/>
        <v>1.3284353161968703E-2</v>
      </c>
    </row>
    <row r="172" spans="1:10" x14ac:dyDescent="0.2">
      <c r="A172">
        <f t="shared" ca="1" si="18"/>
        <v>0.62258259724307574</v>
      </c>
      <c r="B172">
        <f t="shared" ca="1" si="19"/>
        <v>0.31227069995133366</v>
      </c>
      <c r="C172">
        <f t="shared" ca="1" si="23"/>
        <v>-3.3288471345878867</v>
      </c>
      <c r="D172" s="22">
        <f t="shared" ca="1" si="20"/>
        <v>0.37995782159352065</v>
      </c>
      <c r="F172">
        <f t="shared" si="21"/>
        <v>0.16600000000000012</v>
      </c>
      <c r="G172">
        <f t="shared" ca="1" si="22"/>
        <v>1.2081452157248259E-4</v>
      </c>
      <c r="H172">
        <f t="shared" ca="1" si="24"/>
        <v>1.2032751434238849E-4</v>
      </c>
      <c r="I172">
        <f t="shared" ca="1" si="25"/>
        <v>1.0040740508875445E-2</v>
      </c>
      <c r="J172" s="5">
        <f t="shared" ca="1" si="26"/>
        <v>9.9204129945330566E-3</v>
      </c>
    </row>
    <row r="173" spans="1:10" x14ac:dyDescent="0.2">
      <c r="A173">
        <f t="shared" ca="1" si="18"/>
        <v>0.60123290868128731</v>
      </c>
      <c r="B173">
        <f t="shared" ca="1" si="19"/>
        <v>0.25653963136027214</v>
      </c>
      <c r="C173">
        <f t="shared" ca="1" si="23"/>
        <v>-3.0723075032276146</v>
      </c>
      <c r="D173" s="22">
        <f t="shared" ca="1" si="20"/>
        <v>0.38602821187311387</v>
      </c>
      <c r="F173">
        <f t="shared" si="21"/>
        <v>0.16700000000000012</v>
      </c>
      <c r="G173">
        <f t="shared" ca="1" si="22"/>
        <v>1.1182392268465446E-3</v>
      </c>
      <c r="H173">
        <f t="shared" ca="1" si="24"/>
        <v>1.1178021399721996E-3</v>
      </c>
      <c r="I173">
        <f t="shared" ca="1" si="25"/>
        <v>1.0051615361396045E-2</v>
      </c>
      <c r="J173" s="5">
        <f t="shared" ca="1" si="26"/>
        <v>8.9338132214238451E-3</v>
      </c>
    </row>
    <row r="174" spans="1:10" x14ac:dyDescent="0.2">
      <c r="A174">
        <f t="shared" ca="1" si="18"/>
        <v>0.97870402188336769</v>
      </c>
      <c r="B174">
        <f t="shared" ca="1" si="19"/>
        <v>2.0276894190264336</v>
      </c>
      <c r="C174">
        <f t="shared" ca="1" si="23"/>
        <v>-1.044618084201181</v>
      </c>
      <c r="D174" s="22">
        <f t="shared" ca="1" si="20"/>
        <v>5.1062713602102704E-2</v>
      </c>
      <c r="F174">
        <f t="shared" si="21"/>
        <v>0.16800000000000012</v>
      </c>
      <c r="G174">
        <f t="shared" ca="1" si="22"/>
        <v>1.9393358929427258E-3</v>
      </c>
      <c r="H174">
        <f t="shared" ca="1" si="24"/>
        <v>1.9389399049566224E-3</v>
      </c>
      <c r="I174">
        <f t="shared" ca="1" si="25"/>
        <v>1.0060728762129727E-2</v>
      </c>
      <c r="J174" s="5">
        <f t="shared" ca="1" si="26"/>
        <v>8.1217888571731046E-3</v>
      </c>
    </row>
    <row r="175" spans="1:10" x14ac:dyDescent="0.2">
      <c r="A175">
        <f t="shared" ca="1" si="18"/>
        <v>0.67390164166077104</v>
      </c>
      <c r="B175">
        <f t="shared" ca="1" si="19"/>
        <v>0.45071257681671845</v>
      </c>
      <c r="C175">
        <f t="shared" ca="1" si="23"/>
        <v>-0.59390550738446257</v>
      </c>
      <c r="D175" s="22">
        <f t="shared" ca="1" si="20"/>
        <v>0.36041128307269693</v>
      </c>
      <c r="F175">
        <f t="shared" si="21"/>
        <v>0.16900000000000012</v>
      </c>
      <c r="G175">
        <f t="shared" ca="1" si="22"/>
        <v>8.3609378281239623E-3</v>
      </c>
      <c r="H175">
        <f t="shared" ca="1" si="24"/>
        <v>8.3608629625132186E-3</v>
      </c>
      <c r="I175">
        <f t="shared" ca="1" si="25"/>
        <v>1.0126408562118504E-2</v>
      </c>
      <c r="J175" s="5">
        <f t="shared" ca="1" si="26"/>
        <v>1.7655455996052859E-3</v>
      </c>
    </row>
    <row r="176" spans="1:10" x14ac:dyDescent="0.2">
      <c r="A176">
        <f t="shared" ca="1" si="18"/>
        <v>0.89143340260343551</v>
      </c>
      <c r="B176">
        <f t="shared" ca="1" si="19"/>
        <v>1.2341870957808598</v>
      </c>
      <c r="C176">
        <f t="shared" ca="1" si="23"/>
        <v>0.64028158839639726</v>
      </c>
      <c r="D176" s="22">
        <f t="shared" ca="1" si="20"/>
        <v>0.18627197783216973</v>
      </c>
      <c r="F176">
        <f t="shared" si="21"/>
        <v>0.17000000000000012</v>
      </c>
      <c r="G176">
        <f t="shared" ca="1" si="22"/>
        <v>9.7953083280391054E-3</v>
      </c>
      <c r="H176">
        <f t="shared" ca="1" si="24"/>
        <v>9.7953051890414013E-3</v>
      </c>
      <c r="I176">
        <f t="shared" ca="1" si="25"/>
        <v>1.0141815229686197E-2</v>
      </c>
      <c r="J176" s="5">
        <f t="shared" ca="1" si="26"/>
        <v>3.4651004064479608E-4</v>
      </c>
    </row>
    <row r="177" spans="1:10" x14ac:dyDescent="0.2">
      <c r="A177">
        <f t="shared" ca="1" si="18"/>
        <v>0.37896111650981645</v>
      </c>
      <c r="B177">
        <f t="shared" ca="1" si="19"/>
        <v>-0.30821040834224089</v>
      </c>
      <c r="C177">
        <f t="shared" ca="1" si="23"/>
        <v>0.33207118005415637</v>
      </c>
      <c r="D177" s="22">
        <f t="shared" ca="1" si="20"/>
        <v>0.38043674354570378</v>
      </c>
      <c r="F177">
        <f t="shared" si="21"/>
        <v>0.17100000000000012</v>
      </c>
      <c r="G177">
        <f t="shared" ca="1" si="22"/>
        <v>1.3706975493670276E-2</v>
      </c>
      <c r="H177">
        <f t="shared" ca="1" si="24"/>
        <v>1.3707167939978403E-2</v>
      </c>
      <c r="I177">
        <f t="shared" ca="1" si="25"/>
        <v>1.018244176254729E-2</v>
      </c>
      <c r="J177" s="5">
        <f t="shared" ca="1" si="26"/>
        <v>3.5247261774311138E-3</v>
      </c>
    </row>
    <row r="178" spans="1:10" x14ac:dyDescent="0.2">
      <c r="A178">
        <f t="shared" ca="1" si="18"/>
        <v>0.57725585001513702</v>
      </c>
      <c r="B178">
        <f t="shared" ca="1" si="19"/>
        <v>0.19487820114666812</v>
      </c>
      <c r="C178">
        <f t="shared" ca="1" si="23"/>
        <v>0.52694938120082446</v>
      </c>
      <c r="D178" s="22">
        <f t="shared" ca="1" si="20"/>
        <v>0.39143833331290329</v>
      </c>
      <c r="F178">
        <f t="shared" si="21"/>
        <v>0.17200000000000013</v>
      </c>
      <c r="G178">
        <f t="shared" ca="1" si="22"/>
        <v>1.2741006206052148E-2</v>
      </c>
      <c r="H178">
        <f t="shared" ca="1" si="24"/>
        <v>1.2741150334252363E-2</v>
      </c>
      <c r="I178">
        <f t="shared" ca="1" si="25"/>
        <v>1.0173488747652287E-2</v>
      </c>
      <c r="J178" s="5">
        <f t="shared" ca="1" si="26"/>
        <v>2.5676615866000764E-3</v>
      </c>
    </row>
    <row r="179" spans="1:10" x14ac:dyDescent="0.2">
      <c r="A179">
        <f t="shared" ca="1" si="18"/>
        <v>9.9952212270181251E-3</v>
      </c>
      <c r="B179">
        <f t="shared" ca="1" si="19"/>
        <v>-2.3265272130937533</v>
      </c>
      <c r="C179">
        <f t="shared" ca="1" si="23"/>
        <v>-1.799577831892929</v>
      </c>
      <c r="D179" s="22">
        <f t="shared" ca="1" si="20"/>
        <v>2.6641024686610656E-2</v>
      </c>
      <c r="F179">
        <f t="shared" si="21"/>
        <v>0.17300000000000013</v>
      </c>
      <c r="G179">
        <f t="shared" ca="1" si="22"/>
        <v>1.3365959839425746E-2</v>
      </c>
      <c r="H179">
        <f t="shared" ca="1" si="24"/>
        <v>1.3366135201158848E-2</v>
      </c>
      <c r="I179">
        <f t="shared" ca="1" si="25"/>
        <v>1.0180727306841679E-2</v>
      </c>
      <c r="J179" s="5">
        <f t="shared" ca="1" si="26"/>
        <v>3.1854078943171684E-3</v>
      </c>
    </row>
    <row r="180" spans="1:10" x14ac:dyDescent="0.2">
      <c r="A180">
        <f t="shared" ca="1" si="18"/>
        <v>0.28549223062662477</v>
      </c>
      <c r="B180">
        <f t="shared" ca="1" si="19"/>
        <v>-0.56660222750297606</v>
      </c>
      <c r="C180">
        <f t="shared" ca="1" si="23"/>
        <v>-2.366180059395905</v>
      </c>
      <c r="D180" s="22">
        <f t="shared" ca="1" si="20"/>
        <v>0.3397797806102506</v>
      </c>
      <c r="F180">
        <f t="shared" si="21"/>
        <v>0.17400000000000013</v>
      </c>
      <c r="G180">
        <f t="shared" ca="1" si="22"/>
        <v>6.0178656194707801E-3</v>
      </c>
      <c r="H180">
        <f t="shared" ca="1" si="24"/>
        <v>6.0176735558985566E-3</v>
      </c>
      <c r="I180">
        <f t="shared" ca="1" si="25"/>
        <v>1.0107061401484898E-2</v>
      </c>
      <c r="J180" s="5">
        <f t="shared" ca="1" si="26"/>
        <v>4.0893878455863413E-3</v>
      </c>
    </row>
    <row r="181" spans="1:10" x14ac:dyDescent="0.2">
      <c r="A181">
        <f t="shared" ca="1" si="18"/>
        <v>5.6084543487208927E-2</v>
      </c>
      <c r="B181">
        <f t="shared" ca="1" si="19"/>
        <v>-1.5885187395784577</v>
      </c>
      <c r="C181">
        <f t="shared" ca="1" si="23"/>
        <v>-3.9546987989743627</v>
      </c>
      <c r="D181" s="22">
        <f t="shared" ca="1" si="20"/>
        <v>0.11296983687625721</v>
      </c>
      <c r="F181">
        <f t="shared" si="21"/>
        <v>0.17500000000000013</v>
      </c>
      <c r="G181">
        <f t="shared" ca="1" si="22"/>
        <v>4.2355993807251767E-3</v>
      </c>
      <c r="H181">
        <f t="shared" ca="1" si="24"/>
        <v>4.2353182223086646E-3</v>
      </c>
      <c r="I181">
        <f t="shared" ca="1" si="25"/>
        <v>1.0089926749759339E-2</v>
      </c>
      <c r="J181" s="5">
        <f t="shared" ca="1" si="26"/>
        <v>5.8546085274506741E-3</v>
      </c>
    </row>
    <row r="182" spans="1:10" x14ac:dyDescent="0.2">
      <c r="A182">
        <f t="shared" ca="1" si="18"/>
        <v>0.28926866803903117</v>
      </c>
      <c r="B182">
        <f t="shared" ca="1" si="19"/>
        <v>-0.55552248320681552</v>
      </c>
      <c r="C182">
        <f t="shared" ca="1" si="23"/>
        <v>-4.5102212821811785</v>
      </c>
      <c r="D182" s="22">
        <f t="shared" ca="1" si="20"/>
        <v>0.34189857580418231</v>
      </c>
      <c r="F182">
        <f t="shared" si="21"/>
        <v>0.17600000000000013</v>
      </c>
      <c r="G182">
        <f t="shared" ca="1" si="22"/>
        <v>-7.7791082454540996E-4</v>
      </c>
      <c r="H182">
        <f t="shared" ca="1" si="24"/>
        <v>-7.7844263244135521E-4</v>
      </c>
      <c r="I182">
        <f t="shared" ca="1" si="25"/>
        <v>1.0040322520760489E-2</v>
      </c>
      <c r="J182" s="5">
        <f t="shared" ca="1" si="26"/>
        <v>1.0818765153201845E-2</v>
      </c>
    </row>
    <row r="183" spans="1:10" x14ac:dyDescent="0.2">
      <c r="A183">
        <f t="shared" ca="1" si="18"/>
        <v>0.6396553540747284</v>
      </c>
      <c r="B183">
        <f t="shared" ca="1" si="19"/>
        <v>0.3575377218797347</v>
      </c>
      <c r="C183">
        <f t="shared" ca="1" si="23"/>
        <v>-4.152683560301444</v>
      </c>
      <c r="D183" s="22">
        <f t="shared" ca="1" si="20"/>
        <v>0.37424105972123528</v>
      </c>
      <c r="F183">
        <f t="shared" si="21"/>
        <v>0.17700000000000013</v>
      </c>
      <c r="G183">
        <f t="shared" ca="1" si="22"/>
        <v>-2.5244620435446374E-3</v>
      </c>
      <c r="H183">
        <f t="shared" ca="1" si="24"/>
        <v>-2.5250811265442874E-3</v>
      </c>
      <c r="I183">
        <f t="shared" ca="1" si="25"/>
        <v>1.0023652207287388E-2</v>
      </c>
      <c r="J183" s="5">
        <f t="shared" ca="1" si="26"/>
        <v>1.2548733333831675E-2</v>
      </c>
    </row>
    <row r="184" spans="1:10" x14ac:dyDescent="0.2">
      <c r="A184">
        <f t="shared" ca="1" si="18"/>
        <v>0.96801885903203888</v>
      </c>
      <c r="B184">
        <f t="shared" ca="1" si="19"/>
        <v>1.8524426760375887</v>
      </c>
      <c r="C184">
        <f t="shared" ca="1" si="23"/>
        <v>-2.3002408842638555</v>
      </c>
      <c r="D184" s="22">
        <f t="shared" ca="1" si="20"/>
        <v>7.1739737408454921E-2</v>
      </c>
      <c r="F184">
        <f t="shared" si="21"/>
        <v>0.17800000000000013</v>
      </c>
      <c r="G184">
        <f t="shared" ca="1" si="22"/>
        <v>-1.3836330886998704E-3</v>
      </c>
      <c r="H184">
        <f t="shared" ca="1" si="24"/>
        <v>-1.3841950678638527E-3</v>
      </c>
      <c r="I184">
        <f t="shared" ca="1" si="25"/>
        <v>1.0035945063461504E-2</v>
      </c>
      <c r="J184" s="5">
        <f t="shared" ca="1" si="26"/>
        <v>1.1420140131325357E-2</v>
      </c>
    </row>
    <row r="185" spans="1:10" x14ac:dyDescent="0.2">
      <c r="A185">
        <f t="shared" ca="1" si="18"/>
        <v>0.68272109602181807</v>
      </c>
      <c r="B185">
        <f t="shared" ca="1" si="19"/>
        <v>0.47532154063453308</v>
      </c>
      <c r="C185">
        <f t="shared" ca="1" si="23"/>
        <v>-1.8249193436293225</v>
      </c>
      <c r="D185" s="22">
        <f t="shared" ca="1" si="20"/>
        <v>0.3563279313341996</v>
      </c>
      <c r="F185">
        <f t="shared" si="21"/>
        <v>0.17900000000000013</v>
      </c>
      <c r="G185">
        <f t="shared" ca="1" si="22"/>
        <v>4.4841499741828748E-3</v>
      </c>
      <c r="H185">
        <f t="shared" ca="1" si="24"/>
        <v>4.4838814428191315E-3</v>
      </c>
      <c r="I185">
        <f t="shared" ca="1" si="25"/>
        <v>1.0095866600756113E-2</v>
      </c>
      <c r="J185" s="5">
        <f t="shared" ca="1" si="26"/>
        <v>5.611985157936982E-3</v>
      </c>
    </row>
    <row r="186" spans="1:10" x14ac:dyDescent="0.2">
      <c r="A186">
        <f t="shared" ca="1" si="18"/>
        <v>0.87185491774335888</v>
      </c>
      <c r="B186">
        <f t="shared" ca="1" si="19"/>
        <v>1.1352032585863312</v>
      </c>
      <c r="C186">
        <f t="shared" ca="1" si="23"/>
        <v>-0.68971608504299131</v>
      </c>
      <c r="D186" s="22">
        <f t="shared" ca="1" si="20"/>
        <v>0.20944758698902305</v>
      </c>
      <c r="F186">
        <f t="shared" si="21"/>
        <v>0.18000000000000013</v>
      </c>
      <c r="G186">
        <f t="shared" ca="1" si="22"/>
        <v>5.996724619164377E-3</v>
      </c>
      <c r="H186">
        <f t="shared" ca="1" si="24"/>
        <v>5.9965317440202502E-3</v>
      </c>
      <c r="I186">
        <f t="shared" ca="1" si="25"/>
        <v>1.0112013690823795E-2</v>
      </c>
      <c r="J186" s="5">
        <f t="shared" ca="1" si="26"/>
        <v>4.1154819468035451E-3</v>
      </c>
    </row>
    <row r="187" spans="1:10" x14ac:dyDescent="0.2">
      <c r="A187">
        <f t="shared" ca="1" si="18"/>
        <v>0.87023752583391933</v>
      </c>
      <c r="B187">
        <f t="shared" ca="1" si="19"/>
        <v>1.127514654013577</v>
      </c>
      <c r="C187">
        <f t="shared" ca="1" si="23"/>
        <v>0.43779856897058567</v>
      </c>
      <c r="D187" s="22">
        <f t="shared" ca="1" si="20"/>
        <v>0.211277428797396</v>
      </c>
      <c r="F187">
        <f t="shared" si="21"/>
        <v>0.18100000000000013</v>
      </c>
      <c r="G187">
        <f t="shared" ca="1" si="22"/>
        <v>9.5957728971629158E-3</v>
      </c>
      <c r="H187">
        <f t="shared" ca="1" si="24"/>
        <v>9.5957599952237512E-3</v>
      </c>
      <c r="I187">
        <f t="shared" ca="1" si="25"/>
        <v>1.0149343455682316E-2</v>
      </c>
      <c r="J187" s="5">
        <f t="shared" ca="1" si="26"/>
        <v>5.5358346045856523E-4</v>
      </c>
    </row>
    <row r="188" spans="1:10" x14ac:dyDescent="0.2">
      <c r="A188">
        <f t="shared" ca="1" si="18"/>
        <v>0.85563179840049375</v>
      </c>
      <c r="B188">
        <f t="shared" ca="1" si="19"/>
        <v>1.0608976811935815</v>
      </c>
      <c r="C188">
        <f t="shared" ca="1" si="23"/>
        <v>1.4986962501641672</v>
      </c>
      <c r="D188" s="22">
        <f t="shared" ca="1" si="20"/>
        <v>0.22725319691615556</v>
      </c>
      <c r="F188">
        <f t="shared" si="21"/>
        <v>0.18200000000000013</v>
      </c>
      <c r="G188">
        <f t="shared" ca="1" si="22"/>
        <v>1.3170149001474481E-2</v>
      </c>
      <c r="H188">
        <f t="shared" ca="1" si="24"/>
        <v>1.3170314821123841E-2</v>
      </c>
      <c r="I188">
        <f t="shared" ca="1" si="25"/>
        <v>1.0186563353998335E-2</v>
      </c>
      <c r="J188" s="5">
        <f t="shared" ca="1" si="26"/>
        <v>2.9837514671255064E-3</v>
      </c>
    </row>
    <row r="189" spans="1:10" x14ac:dyDescent="0.2">
      <c r="A189">
        <f t="shared" ca="1" si="18"/>
        <v>8.4167645163584992E-2</v>
      </c>
      <c r="B189">
        <f t="shared" ca="1" si="19"/>
        <v>-1.377572584182261</v>
      </c>
      <c r="C189">
        <f t="shared" ca="1" si="23"/>
        <v>0.12112366598190616</v>
      </c>
      <c r="D189" s="22">
        <f t="shared" ca="1" si="20"/>
        <v>0.15446439758375557</v>
      </c>
      <c r="F189">
        <f t="shared" si="21"/>
        <v>0.18300000000000013</v>
      </c>
      <c r="G189">
        <f t="shared" ca="1" si="22"/>
        <v>1.6533516853739574E-2</v>
      </c>
      <c r="H189">
        <f t="shared" ca="1" si="24"/>
        <v>1.6533850826604628E-2</v>
      </c>
      <c r="I189">
        <f t="shared" ca="1" si="25"/>
        <v>1.0221766187909251E-2</v>
      </c>
      <c r="J189" s="5">
        <f t="shared" ca="1" si="26"/>
        <v>6.3120846386953769E-3</v>
      </c>
    </row>
    <row r="190" spans="1:10" x14ac:dyDescent="0.2">
      <c r="A190">
        <f t="shared" ca="1" si="18"/>
        <v>0.27398095652536347</v>
      </c>
      <c r="B190">
        <f t="shared" ca="1" si="19"/>
        <v>-0.60081695037142691</v>
      </c>
      <c r="C190">
        <f t="shared" ca="1" si="23"/>
        <v>-0.47969328438952075</v>
      </c>
      <c r="D190" s="22">
        <f t="shared" ca="1" si="20"/>
        <v>0.33306119499495501</v>
      </c>
      <c r="F190">
        <f t="shared" si="21"/>
        <v>0.18400000000000014</v>
      </c>
      <c r="G190">
        <f t="shared" ca="1" si="22"/>
        <v>1.2185813880790958E-2</v>
      </c>
      <c r="H190">
        <f t="shared" ca="1" si="24"/>
        <v>1.2185930433301979E-2</v>
      </c>
      <c r="I190">
        <f t="shared" ca="1" si="25"/>
        <v>1.017830118664613E-2</v>
      </c>
      <c r="J190" s="5">
        <f t="shared" ca="1" si="26"/>
        <v>2.0076292466558489E-3</v>
      </c>
    </row>
    <row r="191" spans="1:10" x14ac:dyDescent="0.2">
      <c r="A191">
        <f t="shared" ca="1" si="18"/>
        <v>1.3091399165698681E-2</v>
      </c>
      <c r="B191">
        <f t="shared" ca="1" si="19"/>
        <v>-2.223489682600281</v>
      </c>
      <c r="C191">
        <f t="shared" ca="1" si="23"/>
        <v>-2.703182966989802</v>
      </c>
      <c r="D191" s="22">
        <f t="shared" ca="1" si="20"/>
        <v>3.3678631679733138E-2</v>
      </c>
      <c r="F191">
        <f t="shared" si="21"/>
        <v>0.18500000000000014</v>
      </c>
      <c r="G191">
        <f t="shared" ca="1" si="22"/>
        <v>1.029473983387947E-2</v>
      </c>
      <c r="H191">
        <f t="shared" ca="1" si="24"/>
        <v>1.0294761820248591E-2</v>
      </c>
      <c r="I191">
        <f t="shared" ca="1" si="25"/>
        <v>1.0159946431406622E-2</v>
      </c>
      <c r="J191" s="5">
        <f t="shared" ca="1" si="26"/>
        <v>1.3481538884196897E-4</v>
      </c>
    </row>
    <row r="192" spans="1:10" x14ac:dyDescent="0.2">
      <c r="A192">
        <f t="shared" ca="1" si="18"/>
        <v>0.23248106006078617</v>
      </c>
      <c r="B192">
        <f t="shared" ca="1" si="19"/>
        <v>-0.73070048358972728</v>
      </c>
      <c r="C192">
        <f t="shared" ca="1" si="23"/>
        <v>-3.433883450579529</v>
      </c>
      <c r="D192" s="22">
        <f t="shared" ca="1" si="20"/>
        <v>0.30547109153828456</v>
      </c>
      <c r="F192">
        <f t="shared" si="21"/>
        <v>0.18600000000000014</v>
      </c>
      <c r="G192">
        <f t="shared" ca="1" si="22"/>
        <v>3.2727697104226435E-3</v>
      </c>
      <c r="H192">
        <f t="shared" ca="1" si="24"/>
        <v>3.2724405931648173E-3</v>
      </c>
      <c r="I192">
        <f t="shared" ca="1" si="25"/>
        <v>1.0089717923066503E-2</v>
      </c>
      <c r="J192" s="5">
        <f t="shared" ca="1" si="26"/>
        <v>6.8172773299016859E-3</v>
      </c>
    </row>
    <row r="193" spans="1:10" x14ac:dyDescent="0.2">
      <c r="A193">
        <f t="shared" ca="1" si="18"/>
        <v>0.706527044827581</v>
      </c>
      <c r="B193">
        <f t="shared" ca="1" si="19"/>
        <v>0.54326710383874799</v>
      </c>
      <c r="C193">
        <f t="shared" ca="1" si="23"/>
        <v>-2.8906163467407811</v>
      </c>
      <c r="D193" s="22">
        <f t="shared" ca="1" si="20"/>
        <v>0.34420836035583446</v>
      </c>
      <c r="F193">
        <f t="shared" si="21"/>
        <v>0.18700000000000014</v>
      </c>
      <c r="G193">
        <f t="shared" ca="1" si="22"/>
        <v>9.7187966337861911E-4</v>
      </c>
      <c r="H193">
        <f t="shared" ca="1" si="24"/>
        <v>9.714355335754747E-4</v>
      </c>
      <c r="I193">
        <f t="shared" ca="1" si="25"/>
        <v>1.00673871069819E-2</v>
      </c>
      <c r="J193" s="5">
        <f t="shared" ca="1" si="26"/>
        <v>9.0959515734064245E-3</v>
      </c>
    </row>
    <row r="194" spans="1:10" x14ac:dyDescent="0.2">
      <c r="A194">
        <f t="shared" ca="1" si="18"/>
        <v>0.33496895031220619</v>
      </c>
      <c r="B194">
        <f t="shared" ca="1" si="19"/>
        <v>-0.42623323724685813</v>
      </c>
      <c r="C194">
        <f t="shared" ca="1" si="23"/>
        <v>-3.3168495839876391</v>
      </c>
      <c r="D194" s="22">
        <f t="shared" ca="1" si="20"/>
        <v>0.36430060309768403</v>
      </c>
      <c r="F194">
        <f t="shared" si="21"/>
        <v>0.18800000000000014</v>
      </c>
      <c r="G194">
        <f t="shared" ca="1" si="22"/>
        <v>2.699657511769463E-3</v>
      </c>
      <c r="H194">
        <f t="shared" ca="1" si="24"/>
        <v>2.6992998159957654E-3</v>
      </c>
      <c r="I194">
        <f t="shared" ca="1" si="25"/>
        <v>1.0085655446360765E-2</v>
      </c>
      <c r="J194" s="5">
        <f t="shared" ca="1" si="26"/>
        <v>7.3863556303649996E-3</v>
      </c>
    </row>
    <row r="195" spans="1:10" x14ac:dyDescent="0.2">
      <c r="A195">
        <f t="shared" ca="1" si="18"/>
        <v>0.63149527808136618</v>
      </c>
      <c r="B195">
        <f t="shared" ca="1" si="19"/>
        <v>0.33581623877129985</v>
      </c>
      <c r="C195">
        <f t="shared" ca="1" si="23"/>
        <v>-2.9810333452163391</v>
      </c>
      <c r="D195" s="22">
        <f t="shared" ca="1" si="20"/>
        <v>0.37706985899898232</v>
      </c>
      <c r="F195">
        <f t="shared" si="21"/>
        <v>0.18900000000000014</v>
      </c>
      <c r="G195">
        <f t="shared" ca="1" si="22"/>
        <v>1.3615866059500745E-3</v>
      </c>
      <c r="H195">
        <f t="shared" ca="1" si="24"/>
        <v>1.3611620418471774E-3</v>
      </c>
      <c r="I195">
        <f t="shared" ca="1" si="25"/>
        <v>1.0073027365274869E-2</v>
      </c>
      <c r="J195" s="5">
        <f t="shared" ca="1" si="26"/>
        <v>8.7118653234276918E-3</v>
      </c>
    </row>
    <row r="196" spans="1:10" x14ac:dyDescent="0.2">
      <c r="A196">
        <f t="shared" ca="1" si="18"/>
        <v>0.11644163795327123</v>
      </c>
      <c r="B196">
        <f t="shared" ca="1" si="19"/>
        <v>-1.1929645015488675</v>
      </c>
      <c r="C196">
        <f t="shared" ca="1" si="23"/>
        <v>-4.1739978467652064</v>
      </c>
      <c r="D196" s="22">
        <f t="shared" ca="1" si="20"/>
        <v>0.19582758325159139</v>
      </c>
      <c r="F196">
        <f t="shared" si="21"/>
        <v>0.19000000000000014</v>
      </c>
      <c r="G196">
        <f t="shared" ca="1" si="22"/>
        <v>2.4333410489049017E-3</v>
      </c>
      <c r="H196">
        <f t="shared" ca="1" si="24"/>
        <v>2.4329701154312449E-3</v>
      </c>
      <c r="I196">
        <f t="shared" ca="1" si="25"/>
        <v>1.0084688039832871E-2</v>
      </c>
      <c r="J196" s="5">
        <f t="shared" ca="1" si="26"/>
        <v>7.6517179244016261E-3</v>
      </c>
    </row>
    <row r="197" spans="1:10" x14ac:dyDescent="0.2">
      <c r="A197">
        <f t="shared" ca="1" si="18"/>
        <v>0.29959342756249174</v>
      </c>
      <c r="B197">
        <f t="shared" ca="1" si="19"/>
        <v>-0.5255702161205682</v>
      </c>
      <c r="C197">
        <f t="shared" ca="1" si="23"/>
        <v>-4.6995680628857741</v>
      </c>
      <c r="D197" s="22">
        <f t="shared" ca="1" si="20"/>
        <v>0.34747916964514408</v>
      </c>
      <c r="F197">
        <f t="shared" si="21"/>
        <v>0.19100000000000014</v>
      </c>
      <c r="G197">
        <f t="shared" ca="1" si="22"/>
        <v>-1.3291991492482822E-3</v>
      </c>
      <c r="H197">
        <f t="shared" ca="1" si="24"/>
        <v>-1.3297581742021877E-3</v>
      </c>
      <c r="I197">
        <f t="shared" ca="1" si="25"/>
        <v>1.0047669859531528E-2</v>
      </c>
      <c r="J197" s="5">
        <f t="shared" ca="1" si="26"/>
        <v>1.1377428033733716E-2</v>
      </c>
    </row>
    <row r="198" spans="1:10" x14ac:dyDescent="0.2">
      <c r="A198">
        <f t="shared" ca="1" si="18"/>
        <v>0.85429210179867188</v>
      </c>
      <c r="B198">
        <f t="shared" ca="1" si="19"/>
        <v>1.0550208339873368</v>
      </c>
      <c r="C198">
        <f t="shared" ca="1" si="23"/>
        <v>-3.6445472288984373</v>
      </c>
      <c r="D198" s="22">
        <f t="shared" ca="1" si="20"/>
        <v>0.22867053725914807</v>
      </c>
      <c r="F198">
        <f t="shared" si="21"/>
        <v>0.19200000000000014</v>
      </c>
      <c r="G198">
        <f t="shared" ca="1" si="22"/>
        <v>-2.9809825927650875E-3</v>
      </c>
      <c r="H198">
        <f t="shared" ca="1" si="24"/>
        <v>-2.9816241516727074E-3</v>
      </c>
      <c r="I198">
        <f t="shared" ca="1" si="25"/>
        <v>1.0031937500892634E-2</v>
      </c>
      <c r="J198" s="5">
        <f t="shared" ca="1" si="26"/>
        <v>1.3013561652565342E-2</v>
      </c>
    </row>
    <row r="199" spans="1:10" x14ac:dyDescent="0.2">
      <c r="A199">
        <f t="shared" ref="A199:A262" ca="1" si="27">RAND()</f>
        <v>0.99827914769791326</v>
      </c>
      <c r="B199">
        <f t="shared" ref="B199:B262" ca="1" si="28">NORMSINV(A199)</f>
        <v>2.9252582616722349</v>
      </c>
      <c r="C199">
        <f t="shared" ca="1" si="23"/>
        <v>-0.71928896722620239</v>
      </c>
      <c r="D199" s="22">
        <f t="shared" ref="D199:D262" ca="1" si="29">_xlfn.NORM.DIST(B199,0,1,FALSE)</f>
        <v>5.5303372379907441E-3</v>
      </c>
      <c r="F199">
        <f t="shared" ref="F199:F262" si="30">F198+$M$2/$N$2</f>
        <v>0.19300000000000014</v>
      </c>
      <c r="G199">
        <f t="shared" ref="G199:G262" ca="1" si="31">G198*EXP(-$M$4*$O$2) + $O$4*(1-EXP(-$M$4*$O$2)) + $N$4* SQRT((1-EXP(-2*$M$4*$O$2))/(2*$M$4)) *B198</f>
        <v>3.6541699844634679E-4</v>
      </c>
      <c r="H199">
        <f t="shared" ca="1" si="24"/>
        <v>3.6494282507282781E-4</v>
      </c>
      <c r="I199">
        <f t="shared" ca="1" si="25"/>
        <v>1.0066418898828606E-2</v>
      </c>
      <c r="J199" s="5">
        <f t="shared" ca="1" si="26"/>
        <v>9.7014760737557781E-3</v>
      </c>
    </row>
    <row r="200" spans="1:10" x14ac:dyDescent="0.2">
      <c r="A200">
        <f t="shared" ca="1" si="27"/>
        <v>0.19856428538075155</v>
      </c>
      <c r="B200">
        <f t="shared" ca="1" si="28"/>
        <v>-0.84676060468975356</v>
      </c>
      <c r="C200">
        <f t="shared" ref="C200:C263" ca="1" si="32">B200+C199</f>
        <v>-1.566049571915956</v>
      </c>
      <c r="D200" s="22">
        <f t="shared" ca="1" si="29"/>
        <v>0.27874990583153614</v>
      </c>
      <c r="F200">
        <f t="shared" si="30"/>
        <v>0.19400000000000014</v>
      </c>
      <c r="G200">
        <f t="shared" ca="1" si="31"/>
        <v>9.6253963050277214E-3</v>
      </c>
      <c r="H200">
        <f t="shared" ref="H200:H263" ca="1" si="33">H199+($M$6 + $N$6*H199)*$O$2 + $O$6*H199^$P$6*SQRT($O$2)*B199</f>
        <v>9.6253851818994159E-3</v>
      </c>
      <c r="I200">
        <f t="shared" ref="I200:I263" ca="1" si="34">I199*EXP(($M$8-0.5*($N$8^2))*$O$2 + $N$8*SQRT($O$2)*B199)</f>
        <v>1.0160935366674272E-2</v>
      </c>
      <c r="J200" s="5">
        <f t="shared" ref="J200:J263" ca="1" si="35">ABS(H200-I200)</f>
        <v>5.3555018477485609E-4</v>
      </c>
    </row>
    <row r="201" spans="1:10" x14ac:dyDescent="0.2">
      <c r="A201">
        <f t="shared" ca="1" si="27"/>
        <v>0.65602647458158914</v>
      </c>
      <c r="B201">
        <f t="shared" ca="1" si="28"/>
        <v>0.40164263096416247</v>
      </c>
      <c r="C201">
        <f t="shared" ca="1" si="32"/>
        <v>-1.1644069409517934</v>
      </c>
      <c r="D201" s="22">
        <f t="shared" ca="1" si="29"/>
        <v>0.36802775049276759</v>
      </c>
      <c r="F201">
        <f t="shared" si="30"/>
        <v>0.19500000000000015</v>
      </c>
      <c r="G201">
        <f t="shared" ca="1" si="31"/>
        <v>6.9568750488470917E-3</v>
      </c>
      <c r="H201">
        <f t="shared" ca="1" si="33"/>
        <v>6.9567304996601496E-3</v>
      </c>
      <c r="I201">
        <f t="shared" ca="1" si="34"/>
        <v>1.0134726657811467E-2</v>
      </c>
      <c r="J201" s="5">
        <f t="shared" ca="1" si="35"/>
        <v>3.1779961581513173E-3</v>
      </c>
    </row>
    <row r="202" spans="1:10" x14ac:dyDescent="0.2">
      <c r="A202">
        <f t="shared" ca="1" si="27"/>
        <v>0.85920985729575039</v>
      </c>
      <c r="B202">
        <f t="shared" ca="1" si="28"/>
        <v>1.0767761440782428</v>
      </c>
      <c r="C202">
        <f t="shared" ca="1" si="32"/>
        <v>-8.7630796873550576E-2</v>
      </c>
      <c r="D202" s="22">
        <f t="shared" ca="1" si="29"/>
        <v>0.22342891584387184</v>
      </c>
      <c r="F202">
        <f t="shared" si="30"/>
        <v>0.19600000000000015</v>
      </c>
      <c r="G202">
        <f t="shared" ca="1" si="31"/>
        <v>8.236220912781287E-3</v>
      </c>
      <c r="H202">
        <f t="shared" ca="1" si="33"/>
        <v>8.2361403458794079E-3</v>
      </c>
      <c r="I202">
        <f t="shared" ca="1" si="34"/>
        <v>1.0148571076504577E-2</v>
      </c>
      <c r="J202" s="5">
        <f t="shared" ca="1" si="35"/>
        <v>1.9124307306251694E-3</v>
      </c>
    </row>
    <row r="203" spans="1:10" x14ac:dyDescent="0.2">
      <c r="A203">
        <f t="shared" ca="1" si="27"/>
        <v>0.17135835199350302</v>
      </c>
      <c r="B203">
        <f t="shared" ca="1" si="28"/>
        <v>-0.94881108308066564</v>
      </c>
      <c r="C203">
        <f t="shared" ca="1" si="32"/>
        <v>-1.0364418799542161</v>
      </c>
      <c r="D203" s="22">
        <f t="shared" ca="1" si="29"/>
        <v>0.25434599117554479</v>
      </c>
      <c r="F203">
        <f t="shared" si="30"/>
        <v>0.19700000000000015</v>
      </c>
      <c r="G203">
        <f t="shared" ca="1" si="31"/>
        <v>1.1650291731143589E-2</v>
      </c>
      <c r="H203">
        <f t="shared" ca="1" si="33"/>
        <v>1.1650381877265695E-2</v>
      </c>
      <c r="I203">
        <f t="shared" ca="1" si="34"/>
        <v>1.018415397130466E-2</v>
      </c>
      <c r="J203" s="5">
        <f t="shared" ca="1" si="35"/>
        <v>1.4662279059610359E-3</v>
      </c>
    </row>
    <row r="204" spans="1:10" x14ac:dyDescent="0.2">
      <c r="A204">
        <f t="shared" ca="1" si="27"/>
        <v>0.79781880898969237</v>
      </c>
      <c r="B204">
        <f t="shared" ca="1" si="28"/>
        <v>0.83385556032313657</v>
      </c>
      <c r="C204">
        <f t="shared" ca="1" si="32"/>
        <v>-0.20258631963107954</v>
      </c>
      <c r="D204" s="22">
        <f t="shared" ca="1" si="29"/>
        <v>0.28178917868536185</v>
      </c>
      <c r="F204">
        <f t="shared" si="30"/>
        <v>0.19800000000000015</v>
      </c>
      <c r="G204">
        <f t="shared" ca="1" si="31"/>
        <v>8.6588721824445228E-3</v>
      </c>
      <c r="H204">
        <f t="shared" ca="1" si="33"/>
        <v>8.6588127473318163E-3</v>
      </c>
      <c r="I204">
        <f t="shared" ca="1" si="34"/>
        <v>1.0154607831207786E-2</v>
      </c>
      <c r="J204" s="5">
        <f t="shared" ca="1" si="35"/>
        <v>1.4957950838759698E-3</v>
      </c>
    </row>
    <row r="205" spans="1:10" x14ac:dyDescent="0.2">
      <c r="A205">
        <f t="shared" ca="1" si="27"/>
        <v>0.71803877530571414</v>
      </c>
      <c r="B205">
        <f t="shared" ca="1" si="28"/>
        <v>0.57702517464127656</v>
      </c>
      <c r="C205">
        <f t="shared" ca="1" si="32"/>
        <v>0.37443885501019702</v>
      </c>
      <c r="D205" s="22">
        <f t="shared" ca="1" si="29"/>
        <v>0.33776072131851198</v>
      </c>
      <c r="F205">
        <f t="shared" si="30"/>
        <v>0.19900000000000015</v>
      </c>
      <c r="G205">
        <f t="shared" ca="1" si="31"/>
        <v>1.1304756810105661E-2</v>
      </c>
      <c r="H205">
        <f t="shared" ca="1" si="33"/>
        <v>1.1304829676274124E-2</v>
      </c>
      <c r="I205">
        <f t="shared" ca="1" si="34"/>
        <v>1.018238695716798E-2</v>
      </c>
      <c r="J205" s="5">
        <f t="shared" ca="1" si="35"/>
        <v>1.122442719106144E-3</v>
      </c>
    </row>
    <row r="206" spans="1:10" x14ac:dyDescent="0.2">
      <c r="A206">
        <f t="shared" ca="1" si="27"/>
        <v>0.59040302254441868</v>
      </c>
      <c r="B206">
        <f t="shared" ca="1" si="28"/>
        <v>0.22858182144113501</v>
      </c>
      <c r="C206">
        <f t="shared" ca="1" si="32"/>
        <v>0.60302067645133206</v>
      </c>
      <c r="D206" s="22">
        <f t="shared" ca="1" si="29"/>
        <v>0.38865494581824966</v>
      </c>
      <c r="F206">
        <f t="shared" si="30"/>
        <v>0.20000000000000015</v>
      </c>
      <c r="G206">
        <f t="shared" ca="1" si="31"/>
        <v>1.3138248478196449E-2</v>
      </c>
      <c r="H206">
        <f t="shared" ca="1" si="33"/>
        <v>1.3138413012429365E-2</v>
      </c>
      <c r="I206">
        <f t="shared" ca="1" si="34"/>
        <v>1.0201953000714506E-2</v>
      </c>
      <c r="J206" s="5">
        <f t="shared" ca="1" si="35"/>
        <v>2.9364600117148584E-3</v>
      </c>
    </row>
    <row r="207" spans="1:10" x14ac:dyDescent="0.2">
      <c r="A207">
        <f t="shared" ca="1" si="27"/>
        <v>0.52144255155581176</v>
      </c>
      <c r="B207">
        <f t="shared" ca="1" si="28"/>
        <v>5.3774411236260013E-2</v>
      </c>
      <c r="C207">
        <f t="shared" ca="1" si="32"/>
        <v>0.65679508768759209</v>
      </c>
      <c r="D207" s="22">
        <f t="shared" ca="1" si="29"/>
        <v>0.39836588902415587</v>
      </c>
      <c r="F207">
        <f t="shared" si="30"/>
        <v>0.20100000000000015</v>
      </c>
      <c r="G207">
        <f t="shared" ca="1" si="31"/>
        <v>1.3869737266064724E-2</v>
      </c>
      <c r="H207">
        <f t="shared" ca="1" si="33"/>
        <v>1.3869938358592019E-2</v>
      </c>
      <c r="I207">
        <f t="shared" ca="1" si="34"/>
        <v>1.0210299970441377E-2</v>
      </c>
      <c r="J207" s="5">
        <f t="shared" ca="1" si="35"/>
        <v>3.6596383881506416E-3</v>
      </c>
    </row>
    <row r="208" spans="1:10" x14ac:dyDescent="0.2">
      <c r="A208">
        <f t="shared" ca="1" si="27"/>
        <v>0.79708991256758488</v>
      </c>
      <c r="B208">
        <f t="shared" ca="1" si="28"/>
        <v>0.83127167019211157</v>
      </c>
      <c r="C208">
        <f t="shared" ca="1" si="32"/>
        <v>1.4880667578797038</v>
      </c>
      <c r="D208" s="22">
        <f t="shared" ca="1" si="29"/>
        <v>0.28239603098806304</v>
      </c>
      <c r="F208">
        <f t="shared" si="30"/>
        <v>0.20200000000000015</v>
      </c>
      <c r="G208">
        <f t="shared" ca="1" si="31"/>
        <v>1.404839097891558E-2</v>
      </c>
      <c r="H208">
        <f t="shared" ca="1" si="33"/>
        <v>1.4048600984097293E-2</v>
      </c>
      <c r="I208">
        <f t="shared" ca="1" si="34"/>
        <v>1.0213006565237015E-2</v>
      </c>
      <c r="J208" s="5">
        <f t="shared" ca="1" si="35"/>
        <v>3.8355944188602775E-3</v>
      </c>
    </row>
    <row r="209" spans="1:10" x14ac:dyDescent="0.2">
      <c r="A209">
        <f t="shared" ca="1" si="27"/>
        <v>0.84361509849632599</v>
      </c>
      <c r="B209">
        <f t="shared" ca="1" si="28"/>
        <v>1.0094271919805873</v>
      </c>
      <c r="C209">
        <f t="shared" ca="1" si="32"/>
        <v>2.4974939498602913</v>
      </c>
      <c r="D209" s="22">
        <f t="shared" ca="1" si="29"/>
        <v>0.23968968746066086</v>
      </c>
      <c r="F209">
        <f t="shared" si="30"/>
        <v>0.20300000000000015</v>
      </c>
      <c r="G209">
        <f t="shared" ca="1" si="31"/>
        <v>1.6685566112137975E-2</v>
      </c>
      <c r="H209">
        <f t="shared" ca="1" si="33"/>
        <v>1.6685907956178254E-2</v>
      </c>
      <c r="I209">
        <f t="shared" ca="1" si="34"/>
        <v>1.024086176961519E-2</v>
      </c>
      <c r="J209" s="5">
        <f t="shared" ca="1" si="35"/>
        <v>6.4450461865630648E-3</v>
      </c>
    </row>
    <row r="210" spans="1:10" x14ac:dyDescent="0.2">
      <c r="A210">
        <f t="shared" ca="1" si="27"/>
        <v>0.52493817613627913</v>
      </c>
      <c r="B210">
        <f t="shared" ca="1" si="28"/>
        <v>6.2551504273185426E-2</v>
      </c>
      <c r="C210">
        <f t="shared" ca="1" si="32"/>
        <v>2.5600454541334767</v>
      </c>
      <c r="D210" s="22">
        <f t="shared" ca="1" si="29"/>
        <v>0.39816257446459558</v>
      </c>
      <c r="F210">
        <f t="shared" si="30"/>
        <v>0.20400000000000015</v>
      </c>
      <c r="G210">
        <f t="shared" ca="1" si="31"/>
        <v>1.9885826599932144E-2</v>
      </c>
      <c r="H210">
        <f t="shared" ca="1" si="33"/>
        <v>1.9886328424149346E-2</v>
      </c>
      <c r="I210">
        <f t="shared" ca="1" si="34"/>
        <v>1.0274579780983435E-2</v>
      </c>
      <c r="J210" s="5">
        <f t="shared" ca="1" si="35"/>
        <v>9.611748643165911E-3</v>
      </c>
    </row>
    <row r="211" spans="1:10" x14ac:dyDescent="0.2">
      <c r="A211">
        <f t="shared" ca="1" si="27"/>
        <v>0.43987810007251649</v>
      </c>
      <c r="B211">
        <f t="shared" ca="1" si="28"/>
        <v>-0.15127828252477277</v>
      </c>
      <c r="C211">
        <f t="shared" ca="1" si="32"/>
        <v>2.4087671716087038</v>
      </c>
      <c r="D211" s="22">
        <f t="shared" ca="1" si="29"/>
        <v>0.39440337752479049</v>
      </c>
      <c r="F211">
        <f t="shared" si="30"/>
        <v>0.20500000000000015</v>
      </c>
      <c r="G211">
        <f t="shared" ca="1" si="31"/>
        <v>2.0091632951438506E-2</v>
      </c>
      <c r="H211">
        <f t="shared" ca="1" si="33"/>
        <v>2.0092145015879952E-2</v>
      </c>
      <c r="I211">
        <f t="shared" ca="1" si="34"/>
        <v>1.0277588672111622E-2</v>
      </c>
      <c r="J211" s="5">
        <f t="shared" ca="1" si="35"/>
        <v>9.8145563437683301E-3</v>
      </c>
    </row>
    <row r="212" spans="1:10" x14ac:dyDescent="0.2">
      <c r="A212">
        <f t="shared" ca="1" si="27"/>
        <v>0.22021608267244663</v>
      </c>
      <c r="B212">
        <f t="shared" ca="1" si="28"/>
        <v>-0.77146364137187717</v>
      </c>
      <c r="C212">
        <f t="shared" ca="1" si="32"/>
        <v>1.6373035302368266</v>
      </c>
      <c r="D212" s="22">
        <f t="shared" ca="1" si="29"/>
        <v>0.29626036251704663</v>
      </c>
      <c r="F212">
        <f t="shared" si="30"/>
        <v>0.20600000000000016</v>
      </c>
      <c r="G212">
        <f t="shared" ca="1" si="31"/>
        <v>1.9621263373518192E-2</v>
      </c>
      <c r="H212">
        <f t="shared" ca="1" si="33"/>
        <v>1.9621751868081634E-2</v>
      </c>
      <c r="I212">
        <f t="shared" ca="1" si="34"/>
        <v>1.0273649164961828E-2</v>
      </c>
      <c r="J212" s="5">
        <f t="shared" ca="1" si="35"/>
        <v>9.3481027031198059E-3</v>
      </c>
    </row>
    <row r="213" spans="1:10" x14ac:dyDescent="0.2">
      <c r="A213">
        <f t="shared" ca="1" si="27"/>
        <v>0.57498035613092635</v>
      </c>
      <c r="B213">
        <f t="shared" ca="1" si="28"/>
        <v>0.18906829816090098</v>
      </c>
      <c r="C213">
        <f t="shared" ca="1" si="32"/>
        <v>1.8263718283977277</v>
      </c>
      <c r="D213" s="22">
        <f t="shared" ca="1" si="29"/>
        <v>0.39187516603964739</v>
      </c>
      <c r="F213">
        <f t="shared" si="30"/>
        <v>0.20700000000000016</v>
      </c>
      <c r="G213">
        <f t="shared" ca="1" si="31"/>
        <v>1.7189840580587812E-2</v>
      </c>
      <c r="H213">
        <f t="shared" ca="1" si="33"/>
        <v>1.7190207454152388E-2</v>
      </c>
      <c r="I213">
        <f t="shared" ca="1" si="34"/>
        <v>1.024958996501028E-2</v>
      </c>
      <c r="J213" s="5">
        <f t="shared" ca="1" si="35"/>
        <v>6.9406174891421084E-3</v>
      </c>
    </row>
    <row r="214" spans="1:10" x14ac:dyDescent="0.2">
      <c r="A214">
        <f t="shared" ca="1" si="27"/>
        <v>0.95594403952014428</v>
      </c>
      <c r="B214">
        <f t="shared" ca="1" si="28"/>
        <v>1.7054425358070935</v>
      </c>
      <c r="C214">
        <f t="shared" ca="1" si="32"/>
        <v>3.5318143642048212</v>
      </c>
      <c r="D214" s="22">
        <f t="shared" ca="1" si="29"/>
        <v>9.3181539152380796E-2</v>
      </c>
      <c r="F214">
        <f t="shared" si="30"/>
        <v>0.20800000000000016</v>
      </c>
      <c r="G214">
        <f t="shared" ca="1" si="31"/>
        <v>1.7795977744935795E-2</v>
      </c>
      <c r="H214">
        <f t="shared" ca="1" si="33"/>
        <v>1.7796374888927245E-2</v>
      </c>
      <c r="I214">
        <f t="shared" ca="1" si="34"/>
        <v>1.0256694228011252E-2</v>
      </c>
      <c r="J214" s="5">
        <f t="shared" ca="1" si="35"/>
        <v>7.5396806609159921E-3</v>
      </c>
    </row>
    <row r="215" spans="1:10" x14ac:dyDescent="0.2">
      <c r="A215">
        <f t="shared" ca="1" si="27"/>
        <v>7.3434372170997464E-2</v>
      </c>
      <c r="B215">
        <f t="shared" ca="1" si="28"/>
        <v>-1.4506808714585999</v>
      </c>
      <c r="C215">
        <f t="shared" ca="1" si="32"/>
        <v>2.0811334927462211</v>
      </c>
      <c r="D215" s="22">
        <f t="shared" ca="1" si="29"/>
        <v>0.1392929473615587</v>
      </c>
      <c r="F215">
        <f t="shared" si="30"/>
        <v>0.20900000000000016</v>
      </c>
      <c r="G215">
        <f t="shared" ca="1" si="31"/>
        <v>2.319701092493209E-2</v>
      </c>
      <c r="H215">
        <f t="shared" ca="1" si="33"/>
        <v>2.3197678083122036E-2</v>
      </c>
      <c r="I215">
        <f t="shared" ca="1" si="34"/>
        <v>1.0313138559426175E-2</v>
      </c>
      <c r="J215" s="5">
        <f t="shared" ca="1" si="35"/>
        <v>1.2884539523695861E-2</v>
      </c>
    </row>
    <row r="216" spans="1:10" x14ac:dyDescent="0.2">
      <c r="A216">
        <f t="shared" ca="1" si="27"/>
        <v>0.23779549285861423</v>
      </c>
      <c r="B216">
        <f t="shared" ca="1" si="28"/>
        <v>-0.71341178008160455</v>
      </c>
      <c r="C216">
        <f t="shared" ca="1" si="32"/>
        <v>1.3677217126646166</v>
      </c>
      <c r="D216" s="22">
        <f t="shared" ca="1" si="29"/>
        <v>0.30930831474740361</v>
      </c>
      <c r="F216">
        <f t="shared" si="30"/>
        <v>0.21000000000000016</v>
      </c>
      <c r="G216">
        <f t="shared" ca="1" si="31"/>
        <v>1.8617464491219135E-2</v>
      </c>
      <c r="H216">
        <f t="shared" ca="1" si="33"/>
        <v>1.8617902603466598E-2</v>
      </c>
      <c r="I216">
        <f t="shared" ca="1" si="34"/>
        <v>1.0266911156225958E-2</v>
      </c>
      <c r="J216" s="5">
        <f t="shared" ca="1" si="35"/>
        <v>8.3509914472406407E-3</v>
      </c>
    </row>
    <row r="217" spans="1:10" x14ac:dyDescent="0.2">
      <c r="A217">
        <f t="shared" ca="1" si="27"/>
        <v>0.19853942530162438</v>
      </c>
      <c r="B217">
        <f t="shared" ca="1" si="28"/>
        <v>-0.8468497922280257</v>
      </c>
      <c r="C217">
        <f t="shared" ca="1" si="32"/>
        <v>0.52087192043659092</v>
      </c>
      <c r="D217" s="22">
        <f t="shared" ca="1" si="29"/>
        <v>0.27872885418731108</v>
      </c>
      <c r="F217">
        <f t="shared" si="30"/>
        <v>0.21100000000000016</v>
      </c>
      <c r="G217">
        <f t="shared" ca="1" si="31"/>
        <v>1.6369708998824811E-2</v>
      </c>
      <c r="H217">
        <f t="shared" ca="1" si="33"/>
        <v>1.6370034678553236E-2</v>
      </c>
      <c r="I217">
        <f t="shared" ca="1" si="34"/>
        <v>1.024474825394228E-2</v>
      </c>
      <c r="J217" s="5">
        <f t="shared" ca="1" si="35"/>
        <v>6.1252864246109564E-3</v>
      </c>
    </row>
    <row r="218" spans="1:10" x14ac:dyDescent="0.2">
      <c r="A218">
        <f t="shared" ca="1" si="27"/>
        <v>0.28380442121262994</v>
      </c>
      <c r="B218">
        <f t="shared" ca="1" si="28"/>
        <v>-0.57157661426050599</v>
      </c>
      <c r="C218">
        <f t="shared" ca="1" si="32"/>
        <v>-5.070469382391507E-2</v>
      </c>
      <c r="D218" s="22">
        <f t="shared" ca="1" si="29"/>
        <v>0.33881926810890239</v>
      </c>
      <c r="F218">
        <f t="shared" si="30"/>
        <v>0.21200000000000016</v>
      </c>
      <c r="G218">
        <f t="shared" ca="1" si="31"/>
        <v>1.3700231323436597E-2</v>
      </c>
      <c r="H218">
        <f t="shared" ca="1" si="33"/>
        <v>1.3700423495604463E-2</v>
      </c>
      <c r="I218">
        <f t="shared" ca="1" si="34"/>
        <v>1.0218320479549806E-2</v>
      </c>
      <c r="J218" s="5">
        <f t="shared" ca="1" si="35"/>
        <v>3.4821030160546579E-3</v>
      </c>
    </row>
    <row r="219" spans="1:10" x14ac:dyDescent="0.2">
      <c r="A219">
        <f t="shared" ca="1" si="27"/>
        <v>0.4628306223497467</v>
      </c>
      <c r="B219">
        <f t="shared" ca="1" si="28"/>
        <v>-9.33050192453109E-2</v>
      </c>
      <c r="C219">
        <f t="shared" ca="1" si="32"/>
        <v>-0.14400971306922597</v>
      </c>
      <c r="D219" s="22">
        <f t="shared" ca="1" si="29"/>
        <v>0.39720949331191607</v>
      </c>
      <c r="F219">
        <f t="shared" si="30"/>
        <v>0.21300000000000016</v>
      </c>
      <c r="G219">
        <f t="shared" ca="1" si="31"/>
        <v>1.1901467280901606E-2</v>
      </c>
      <c r="H219">
        <f t="shared" ca="1" si="33"/>
        <v>1.1901569494904226E-2</v>
      </c>
      <c r="I219">
        <f t="shared" ca="1" si="34"/>
        <v>1.0200836744228161E-2</v>
      </c>
      <c r="J219" s="5">
        <f t="shared" ca="1" si="35"/>
        <v>1.7007327506760647E-3</v>
      </c>
    </row>
    <row r="220" spans="1:10" x14ac:dyDescent="0.2">
      <c r="A220">
        <f t="shared" ca="1" si="27"/>
        <v>0.20617710926833177</v>
      </c>
      <c r="B220">
        <f t="shared" ca="1" si="28"/>
        <v>-0.81975775432605746</v>
      </c>
      <c r="C220">
        <f t="shared" ca="1" si="32"/>
        <v>-0.96376746739528341</v>
      </c>
      <c r="D220" s="22">
        <f t="shared" ca="1" si="29"/>
        <v>0.28509297578417531</v>
      </c>
      <c r="F220">
        <f t="shared" si="30"/>
        <v>0.21400000000000016</v>
      </c>
      <c r="G220">
        <f t="shared" ca="1" si="31"/>
        <v>1.1615235067958732E-2</v>
      </c>
      <c r="H220">
        <f t="shared" ca="1" si="33"/>
        <v>1.1615322960013708E-2</v>
      </c>
      <c r="I220">
        <f t="shared" ca="1" si="34"/>
        <v>1.0198796205895302E-2</v>
      </c>
      <c r="J220" s="5">
        <f t="shared" ca="1" si="35"/>
        <v>1.4165267541184062E-3</v>
      </c>
    </row>
    <row r="221" spans="1:10" x14ac:dyDescent="0.2">
      <c r="A221">
        <f t="shared" ca="1" si="27"/>
        <v>0.15431775230149158</v>
      </c>
      <c r="B221">
        <f t="shared" ca="1" si="28"/>
        <v>-1.0180893320615452</v>
      </c>
      <c r="C221">
        <f t="shared" ca="1" si="32"/>
        <v>-1.9818567994568286</v>
      </c>
      <c r="D221" s="22">
        <f t="shared" ca="1" si="29"/>
        <v>0.23759411098120875</v>
      </c>
      <c r="F221">
        <f t="shared" si="30"/>
        <v>0.21500000000000016</v>
      </c>
      <c r="G221">
        <f t="shared" ca="1" si="31"/>
        <v>9.0319010789690225E-3</v>
      </c>
      <c r="H221">
        <f t="shared" ca="1" si="33"/>
        <v>9.0318597944626169E-3</v>
      </c>
      <c r="I221">
        <f t="shared" ca="1" si="34"/>
        <v>1.0173358511491187E-2</v>
      </c>
      <c r="J221" s="5">
        <f t="shared" ca="1" si="35"/>
        <v>1.1414987170285697E-3</v>
      </c>
    </row>
    <row r="222" spans="1:10" x14ac:dyDescent="0.2">
      <c r="A222">
        <f t="shared" ca="1" si="27"/>
        <v>4.3592569981547147E-2</v>
      </c>
      <c r="B222">
        <f t="shared" ca="1" si="28"/>
        <v>-1.7104367510046934</v>
      </c>
      <c r="C222">
        <f t="shared" ca="1" si="32"/>
        <v>-3.692293550461522</v>
      </c>
      <c r="D222" s="22">
        <f t="shared" ca="1" si="29"/>
        <v>9.2390097794965154E-2</v>
      </c>
      <c r="F222">
        <f t="shared" si="30"/>
        <v>0.21600000000000016</v>
      </c>
      <c r="G222">
        <f t="shared" ca="1" si="31"/>
        <v>5.8216772505524025E-3</v>
      </c>
      <c r="H222">
        <f t="shared" ca="1" si="33"/>
        <v>5.8214754576491994E-3</v>
      </c>
      <c r="I222">
        <f t="shared" ca="1" si="34"/>
        <v>1.0141621651011477E-2</v>
      </c>
      <c r="J222" s="5">
        <f t="shared" ca="1" si="35"/>
        <v>4.320146193362278E-3</v>
      </c>
    </row>
    <row r="223" spans="1:10" x14ac:dyDescent="0.2">
      <c r="A223">
        <f t="shared" ca="1" si="27"/>
        <v>0.95371025104958507</v>
      </c>
      <c r="B223">
        <f t="shared" ca="1" si="28"/>
        <v>1.6819450393945472</v>
      </c>
      <c r="C223">
        <f t="shared" ca="1" si="32"/>
        <v>-2.010348511066975</v>
      </c>
      <c r="D223" s="22">
        <f t="shared" ca="1" si="29"/>
        <v>9.6964718739588313E-2</v>
      </c>
      <c r="F223">
        <f t="shared" si="30"/>
        <v>0.21700000000000016</v>
      </c>
      <c r="G223">
        <f t="shared" ca="1" si="31"/>
        <v>4.2248911764664488E-4</v>
      </c>
      <c r="H223">
        <f t="shared" ca="1" si="33"/>
        <v>4.2201738327030808E-4</v>
      </c>
      <c r="I223">
        <f t="shared" ca="1" si="34"/>
        <v>1.0087873264465419E-2</v>
      </c>
      <c r="J223" s="5">
        <f t="shared" ca="1" si="35"/>
        <v>9.6658558811951109E-3</v>
      </c>
    </row>
    <row r="224" spans="1:10" x14ac:dyDescent="0.2">
      <c r="A224">
        <f t="shared" ca="1" si="27"/>
        <v>0.90676810082749215</v>
      </c>
      <c r="B224">
        <f t="shared" ca="1" si="28"/>
        <v>1.3211126721535562</v>
      </c>
      <c r="C224">
        <f t="shared" ca="1" si="32"/>
        <v>-0.68923583891341877</v>
      </c>
      <c r="D224" s="22">
        <f t="shared" ca="1" si="29"/>
        <v>0.1666919335418893</v>
      </c>
      <c r="F224">
        <f t="shared" si="30"/>
        <v>0.21800000000000017</v>
      </c>
      <c r="G224">
        <f t="shared" ca="1" si="31"/>
        <v>5.7509576667914399E-3</v>
      </c>
      <c r="H224">
        <f t="shared" ca="1" si="33"/>
        <v>5.7507524052403825E-3</v>
      </c>
      <c r="I224">
        <f t="shared" ca="1" si="34"/>
        <v>1.0142634862776573E-2</v>
      </c>
      <c r="J224" s="5">
        <f t="shared" ca="1" si="35"/>
        <v>4.391882457536191E-3</v>
      </c>
    </row>
    <row r="225" spans="1:10" x14ac:dyDescent="0.2">
      <c r="A225">
        <f t="shared" ca="1" si="27"/>
        <v>0.19871453407202799</v>
      </c>
      <c r="B225">
        <f t="shared" ca="1" si="28"/>
        <v>-0.84622171869117668</v>
      </c>
      <c r="C225">
        <f t="shared" ca="1" si="32"/>
        <v>-1.5354575576045955</v>
      </c>
      <c r="D225" s="22">
        <f t="shared" ca="1" si="29"/>
        <v>0.27887709001767941</v>
      </c>
      <c r="F225">
        <f t="shared" si="30"/>
        <v>0.21900000000000017</v>
      </c>
      <c r="G225">
        <f t="shared" ca="1" si="31"/>
        <v>9.9378983119605274E-3</v>
      </c>
      <c r="H225">
        <f t="shared" ca="1" si="33"/>
        <v>9.9379024197164025E-3</v>
      </c>
      <c r="I225">
        <f t="shared" ca="1" si="34"/>
        <v>1.018606426811427E-2</v>
      </c>
      <c r="J225" s="5">
        <f t="shared" ca="1" si="35"/>
        <v>2.481618483978678E-4</v>
      </c>
    </row>
    <row r="226" spans="1:10" x14ac:dyDescent="0.2">
      <c r="A226">
        <f t="shared" ca="1" si="27"/>
        <v>0.8076036689579329</v>
      </c>
      <c r="B226">
        <f t="shared" ca="1" si="28"/>
        <v>0.86909958794100051</v>
      </c>
      <c r="C226">
        <f t="shared" ca="1" si="32"/>
        <v>-0.66635796966359495</v>
      </c>
      <c r="D226" s="22">
        <f t="shared" ca="1" si="29"/>
        <v>0.27345845222540721</v>
      </c>
      <c r="F226">
        <f t="shared" si="30"/>
        <v>0.22000000000000017</v>
      </c>
      <c r="G226">
        <f t="shared" ca="1" si="31"/>
        <v>7.2710498290945308E-3</v>
      </c>
      <c r="H226">
        <f t="shared" ca="1" si="33"/>
        <v>7.2709205929080319E-3</v>
      </c>
      <c r="I226">
        <f t="shared" ca="1" si="34"/>
        <v>1.015980805615852E-2</v>
      </c>
      <c r="J226" s="5">
        <f t="shared" ca="1" si="35"/>
        <v>2.888887463250488E-3</v>
      </c>
    </row>
    <row r="227" spans="1:10" x14ac:dyDescent="0.2">
      <c r="A227">
        <f t="shared" ca="1" si="27"/>
        <v>0.83578691316766451</v>
      </c>
      <c r="B227">
        <f t="shared" ca="1" si="28"/>
        <v>0.97728884570423369</v>
      </c>
      <c r="C227">
        <f t="shared" ca="1" si="32"/>
        <v>0.31093087604063874</v>
      </c>
      <c r="D227" s="22">
        <f t="shared" ca="1" si="29"/>
        <v>0.24746520884597226</v>
      </c>
      <c r="F227">
        <f t="shared" si="30"/>
        <v>0.22100000000000017</v>
      </c>
      <c r="G227">
        <f t="shared" ca="1" si="31"/>
        <v>1.0028519060904571E-2</v>
      </c>
      <c r="H227">
        <f t="shared" ca="1" si="33"/>
        <v>1.0028527712256111E-2</v>
      </c>
      <c r="I227">
        <f t="shared" ca="1" si="34"/>
        <v>1.0188736893672912E-2</v>
      </c>
      <c r="J227" s="5">
        <f t="shared" ca="1" si="35"/>
        <v>1.6020918141680142E-4</v>
      </c>
    </row>
    <row r="228" spans="1:10" x14ac:dyDescent="0.2">
      <c r="A228">
        <f t="shared" ca="1" si="27"/>
        <v>0.58162096301668786</v>
      </c>
      <c r="B228">
        <f t="shared" ca="1" si="28"/>
        <v>0.20604203825018283</v>
      </c>
      <c r="C228">
        <f t="shared" ca="1" si="32"/>
        <v>0.51697291429082159</v>
      </c>
      <c r="D228" s="22">
        <f t="shared" ca="1" si="29"/>
        <v>0.3905633113260954</v>
      </c>
      <c r="F228">
        <f t="shared" si="30"/>
        <v>0.22200000000000017</v>
      </c>
      <c r="G228">
        <f t="shared" ca="1" si="31"/>
        <v>1.3127819926962271E-2</v>
      </c>
      <c r="H228">
        <f t="shared" ca="1" si="33"/>
        <v>1.3127983543787126E-2</v>
      </c>
      <c r="I228">
        <f t="shared" ca="1" si="34"/>
        <v>1.0221244442331289E-2</v>
      </c>
      <c r="J228" s="5">
        <f t="shared" ca="1" si="35"/>
        <v>2.906739101455837E-3</v>
      </c>
    </row>
    <row r="229" spans="1:10" x14ac:dyDescent="0.2">
      <c r="A229">
        <f t="shared" ca="1" si="27"/>
        <v>0.44808333729715488</v>
      </c>
      <c r="B229">
        <f t="shared" ca="1" si="28"/>
        <v>-0.13050528308411091</v>
      </c>
      <c r="C229">
        <f t="shared" ca="1" si="32"/>
        <v>0.38646763120671068</v>
      </c>
      <c r="D229" s="22">
        <f t="shared" ca="1" si="29"/>
        <v>0.39555938645497135</v>
      </c>
      <c r="F229">
        <f t="shared" si="30"/>
        <v>0.22300000000000017</v>
      </c>
      <c r="G229">
        <f t="shared" ca="1" si="31"/>
        <v>1.3788036268487897E-2</v>
      </c>
      <c r="H229">
        <f t="shared" ca="1" si="33"/>
        <v>1.3788232880046858E-2</v>
      </c>
      <c r="I229">
        <f t="shared" ca="1" si="34"/>
        <v>1.0228878085540499E-2</v>
      </c>
      <c r="J229" s="5">
        <f t="shared" ca="1" si="35"/>
        <v>3.559354794506359E-3</v>
      </c>
    </row>
    <row r="230" spans="1:10" x14ac:dyDescent="0.2">
      <c r="A230">
        <f t="shared" ca="1" si="27"/>
        <v>0.75700593353533585</v>
      </c>
      <c r="B230">
        <f t="shared" ca="1" si="28"/>
        <v>0.69670387552338542</v>
      </c>
      <c r="C230">
        <f t="shared" ca="1" si="32"/>
        <v>1.0831715067300962</v>
      </c>
      <c r="D230" s="22">
        <f t="shared" ca="1" si="29"/>
        <v>0.31297352449757732</v>
      </c>
      <c r="F230">
        <f t="shared" si="30"/>
        <v>0.22400000000000017</v>
      </c>
      <c r="G230">
        <f t="shared" ca="1" si="31"/>
        <v>1.3383983726422084E-2</v>
      </c>
      <c r="H230">
        <f t="shared" ca="1" si="33"/>
        <v>1.3384160115528019E-2</v>
      </c>
      <c r="I230">
        <f t="shared" ca="1" si="34"/>
        <v>1.0225628949089944E-2</v>
      </c>
      <c r="J230" s="5">
        <f t="shared" ca="1" si="35"/>
        <v>3.1585311664380743E-3</v>
      </c>
    </row>
    <row r="231" spans="1:10" x14ac:dyDescent="0.2">
      <c r="A231">
        <f t="shared" ca="1" si="27"/>
        <v>0.62451910276540368</v>
      </c>
      <c r="B231">
        <f t="shared" ca="1" si="28"/>
        <v>0.3173714149748903</v>
      </c>
      <c r="C231">
        <f t="shared" ca="1" si="32"/>
        <v>1.4005429217049865</v>
      </c>
      <c r="D231" s="22">
        <f t="shared" ca="1" si="29"/>
        <v>0.37934817019898981</v>
      </c>
      <c r="F231">
        <f t="shared" si="30"/>
        <v>0.22500000000000017</v>
      </c>
      <c r="G231">
        <f t="shared" ca="1" si="31"/>
        <v>1.5595705842338804E-2</v>
      </c>
      <c r="H231">
        <f t="shared" ca="1" si="33"/>
        <v>1.5595992800836799E-2</v>
      </c>
      <c r="I231">
        <f t="shared" ca="1" si="34"/>
        <v>1.0249156218523804E-2</v>
      </c>
      <c r="J231" s="5">
        <f t="shared" ca="1" si="35"/>
        <v>5.3468365823129953E-3</v>
      </c>
    </row>
    <row r="232" spans="1:10" x14ac:dyDescent="0.2">
      <c r="A232">
        <f t="shared" ca="1" si="27"/>
        <v>0.44530016562928143</v>
      </c>
      <c r="B232">
        <f t="shared" ca="1" si="28"/>
        <v>-0.13754461360573847</v>
      </c>
      <c r="C232">
        <f t="shared" ca="1" si="32"/>
        <v>1.262998308099248</v>
      </c>
      <c r="D232" s="22">
        <f t="shared" ca="1" si="29"/>
        <v>0.3951863735562533</v>
      </c>
      <c r="F232">
        <f t="shared" si="30"/>
        <v>0.22600000000000017</v>
      </c>
      <c r="G232">
        <f t="shared" ca="1" si="31"/>
        <v>1.6607712206562292E-2</v>
      </c>
      <c r="H232">
        <f t="shared" ca="1" si="33"/>
        <v>1.660804973710784E-2</v>
      </c>
      <c r="I232">
        <f t="shared" ca="1" si="34"/>
        <v>1.0260422298438623E-2</v>
      </c>
      <c r="J232" s="5">
        <f t="shared" ca="1" si="35"/>
        <v>6.3476274386692171E-3</v>
      </c>
    </row>
    <row r="233" spans="1:10" x14ac:dyDescent="0.2">
      <c r="A233">
        <f t="shared" ca="1" si="27"/>
        <v>0.20036004621058223</v>
      </c>
      <c r="B233">
        <f t="shared" ca="1" si="28"/>
        <v>-0.84033587448586455</v>
      </c>
      <c r="C233">
        <f t="shared" ca="1" si="32"/>
        <v>0.4226624336133834</v>
      </c>
      <c r="D233" s="22">
        <f t="shared" ca="1" si="29"/>
        <v>0.28026471150767934</v>
      </c>
      <c r="F233">
        <f t="shared" si="30"/>
        <v>0.22700000000000017</v>
      </c>
      <c r="G233">
        <f t="shared" ca="1" si="31"/>
        <v>1.6181118506319005E-2</v>
      </c>
      <c r="H233">
        <f t="shared" ca="1" si="33"/>
        <v>1.6181434673252212E-2</v>
      </c>
      <c r="I233">
        <f t="shared" ca="1" si="34"/>
        <v>1.0256934817006012E-2</v>
      </c>
      <c r="J233" s="5">
        <f t="shared" ca="1" si="35"/>
        <v>5.9244998562462004E-3</v>
      </c>
    </row>
    <row r="234" spans="1:10" x14ac:dyDescent="0.2">
      <c r="A234">
        <f t="shared" ca="1" si="27"/>
        <v>0.11982489823990727</v>
      </c>
      <c r="B234">
        <f t="shared" ca="1" si="28"/>
        <v>-1.1758625742443516</v>
      </c>
      <c r="C234">
        <f t="shared" ca="1" si="32"/>
        <v>-0.75320014063096818</v>
      </c>
      <c r="D234" s="22">
        <f t="shared" ca="1" si="29"/>
        <v>0.1998346648719779</v>
      </c>
      <c r="F234">
        <f t="shared" si="30"/>
        <v>0.22800000000000017</v>
      </c>
      <c r="G234">
        <f t="shared" ca="1" si="31"/>
        <v>1.3532257475695418E-2</v>
      </c>
      <c r="H234">
        <f t="shared" ca="1" si="33"/>
        <v>1.3532441166860181E-2</v>
      </c>
      <c r="I234">
        <f t="shared" ca="1" si="34"/>
        <v>1.0230686343514464E-2</v>
      </c>
      <c r="J234" s="5">
        <f t="shared" ca="1" si="35"/>
        <v>3.3017548233457168E-3</v>
      </c>
    </row>
    <row r="235" spans="1:10" x14ac:dyDescent="0.2">
      <c r="A235">
        <f t="shared" ca="1" si="27"/>
        <v>0.75319453564825367</v>
      </c>
      <c r="B235">
        <f t="shared" ca="1" si="28"/>
        <v>0.68457693044845835</v>
      </c>
      <c r="C235">
        <f t="shared" ca="1" si="32"/>
        <v>-6.8623210182509831E-2</v>
      </c>
      <c r="D235" s="22">
        <f t="shared" ca="1" si="29"/>
        <v>0.31560579761093155</v>
      </c>
      <c r="F235">
        <f t="shared" si="30"/>
        <v>0.22900000000000018</v>
      </c>
      <c r="G235">
        <f t="shared" ca="1" si="31"/>
        <v>9.8226857801137126E-3</v>
      </c>
      <c r="H235">
        <f t="shared" ca="1" si="33"/>
        <v>9.8226839727824991E-3</v>
      </c>
      <c r="I235">
        <f t="shared" ca="1" si="34"/>
        <v>1.0193683512792406E-2</v>
      </c>
      <c r="J235" s="5">
        <f t="shared" ca="1" si="35"/>
        <v>3.7099954000990691E-4</v>
      </c>
    </row>
    <row r="236" spans="1:10" x14ac:dyDescent="0.2">
      <c r="A236">
        <f t="shared" ca="1" si="27"/>
        <v>0.10750186986629995</v>
      </c>
      <c r="B236">
        <f t="shared" ca="1" si="28"/>
        <v>-1.2399233679748725</v>
      </c>
      <c r="C236">
        <f t="shared" ca="1" si="32"/>
        <v>-1.3085465781573822</v>
      </c>
      <c r="D236" s="22">
        <f t="shared" ca="1" si="29"/>
        <v>0.18495485468197581</v>
      </c>
      <c r="F236">
        <f t="shared" si="30"/>
        <v>0.23000000000000018</v>
      </c>
      <c r="G236">
        <f t="shared" ca="1" si="31"/>
        <v>1.199641715788112E-2</v>
      </c>
      <c r="H236">
        <f t="shared" ca="1" si="33"/>
        <v>1.1996524038209022E-2</v>
      </c>
      <c r="I236">
        <f t="shared" ca="1" si="34"/>
        <v>1.021674547461234E-2</v>
      </c>
      <c r="J236" s="5">
        <f t="shared" ca="1" si="35"/>
        <v>1.7797785635966824E-3</v>
      </c>
    </row>
    <row r="237" spans="1:10" x14ac:dyDescent="0.2">
      <c r="A237">
        <f t="shared" ca="1" si="27"/>
        <v>0.74679404056997301</v>
      </c>
      <c r="B237">
        <f t="shared" ca="1" si="28"/>
        <v>0.66443502992196979</v>
      </c>
      <c r="C237">
        <f t="shared" ca="1" si="32"/>
        <v>-0.64411154823541239</v>
      </c>
      <c r="D237" s="22">
        <f t="shared" ca="1" si="29"/>
        <v>0.31992282386478621</v>
      </c>
      <c r="F237">
        <f t="shared" si="30"/>
        <v>0.23100000000000018</v>
      </c>
      <c r="G237">
        <f t="shared" ca="1" si="31"/>
        <v>8.0844311502243967E-3</v>
      </c>
      <c r="H237">
        <f t="shared" ca="1" si="33"/>
        <v>8.0843424189375249E-3</v>
      </c>
      <c r="I237">
        <f t="shared" ca="1" si="34"/>
        <v>1.0177731072457447E-2</v>
      </c>
      <c r="J237" s="5">
        <f t="shared" ca="1" si="35"/>
        <v>2.0933886535199221E-3</v>
      </c>
    </row>
    <row r="238" spans="1:10" x14ac:dyDescent="0.2">
      <c r="A238">
        <f t="shared" ca="1" si="27"/>
        <v>0.94907907483665799</v>
      </c>
      <c r="B238">
        <f t="shared" ca="1" si="28"/>
        <v>1.6359891876261881</v>
      </c>
      <c r="C238">
        <f t="shared" ca="1" si="32"/>
        <v>0.99187763939077567</v>
      </c>
      <c r="D238" s="22">
        <f t="shared" ca="1" si="29"/>
        <v>0.10464633583550305</v>
      </c>
      <c r="F238">
        <f t="shared" si="30"/>
        <v>0.23200000000000018</v>
      </c>
      <c r="G238">
        <f t="shared" ca="1" si="31"/>
        <v>1.0194645247276975E-2</v>
      </c>
      <c r="H238">
        <f t="shared" ca="1" si="33"/>
        <v>1.0194662036451184E-2</v>
      </c>
      <c r="I238">
        <f t="shared" ca="1" si="34"/>
        <v>1.0200107234634307E-2</v>
      </c>
      <c r="J238" s="5">
        <f t="shared" ca="1" si="35"/>
        <v>5.4451981831224461E-6</v>
      </c>
    </row>
    <row r="239" spans="1:10" x14ac:dyDescent="0.2">
      <c r="A239">
        <f t="shared" ca="1" si="27"/>
        <v>0.59161191455372231</v>
      </c>
      <c r="B239">
        <f t="shared" ca="1" si="28"/>
        <v>0.23169338334053602</v>
      </c>
      <c r="C239">
        <f t="shared" ca="1" si="32"/>
        <v>1.2235710227313117</v>
      </c>
      <c r="D239" s="22">
        <f t="shared" ca="1" si="29"/>
        <v>0.38837673453414512</v>
      </c>
      <c r="F239">
        <f t="shared" si="30"/>
        <v>0.23300000000000018</v>
      </c>
      <c r="G239">
        <f t="shared" ca="1" si="31"/>
        <v>1.5376818732222292E-2</v>
      </c>
      <c r="H239">
        <f t="shared" ca="1" si="33"/>
        <v>1.5377094630554849E-2</v>
      </c>
      <c r="I239">
        <f t="shared" ca="1" si="34"/>
        <v>1.0253987819621091E-2</v>
      </c>
      <c r="J239" s="5">
        <f t="shared" ca="1" si="35"/>
        <v>5.1231068109337582E-3</v>
      </c>
    </row>
    <row r="240" spans="1:10" x14ac:dyDescent="0.2">
      <c r="A240">
        <f t="shared" ca="1" si="27"/>
        <v>0.21164575182269574</v>
      </c>
      <c r="B240">
        <f t="shared" ca="1" si="28"/>
        <v>-0.80072389922358767</v>
      </c>
      <c r="C240">
        <f t="shared" ca="1" si="32"/>
        <v>0.42284712350772402</v>
      </c>
      <c r="D240" s="22">
        <f t="shared" ca="1" si="29"/>
        <v>0.2895237594786858</v>
      </c>
      <c r="F240">
        <f t="shared" si="30"/>
        <v>0.23400000000000018</v>
      </c>
      <c r="G240">
        <f t="shared" ca="1" si="31"/>
        <v>1.6117922804979715E-2</v>
      </c>
      <c r="H240">
        <f t="shared" ca="1" si="33"/>
        <v>1.6118235731238398E-2</v>
      </c>
      <c r="I240">
        <f t="shared" ca="1" si="34"/>
        <v>1.0262478341286622E-2</v>
      </c>
      <c r="J240" s="5">
        <f t="shared" ca="1" si="35"/>
        <v>5.8557573899517754E-3</v>
      </c>
    </row>
    <row r="241" spans="1:10" x14ac:dyDescent="0.2">
      <c r="A241">
        <f t="shared" ca="1" si="27"/>
        <v>0.86577993098792505</v>
      </c>
      <c r="B241">
        <f t="shared" ca="1" si="28"/>
        <v>1.1066618902414596</v>
      </c>
      <c r="C241">
        <f t="shared" ca="1" si="32"/>
        <v>1.5295090137491836</v>
      </c>
      <c r="D241" s="22">
        <f t="shared" ca="1" si="29"/>
        <v>0.21625677528547294</v>
      </c>
      <c r="F241">
        <f t="shared" si="30"/>
        <v>0.23500000000000018</v>
      </c>
      <c r="G241">
        <f t="shared" ca="1" si="31"/>
        <v>1.3594325895115066E-2</v>
      </c>
      <c r="H241">
        <f t="shared" ca="1" si="33"/>
        <v>1.3594512609187604E-2</v>
      </c>
      <c r="I241">
        <f t="shared" ca="1" si="34"/>
        <v>1.0237497991681077E-2</v>
      </c>
      <c r="J241" s="5">
        <f t="shared" ca="1" si="35"/>
        <v>3.357014617506527E-3</v>
      </c>
    </row>
    <row r="242" spans="1:10" x14ac:dyDescent="0.2">
      <c r="A242">
        <f t="shared" ca="1" si="27"/>
        <v>0.70116907659197414</v>
      </c>
      <c r="B242">
        <f t="shared" ca="1" si="28"/>
        <v>0.52776587235727979</v>
      </c>
      <c r="C242">
        <f t="shared" ca="1" si="32"/>
        <v>2.0572748861064634</v>
      </c>
      <c r="D242" s="22">
        <f t="shared" ca="1" si="29"/>
        <v>0.34707758323472165</v>
      </c>
      <c r="F242">
        <f t="shared" si="30"/>
        <v>0.23600000000000018</v>
      </c>
      <c r="G242">
        <f t="shared" ca="1" si="31"/>
        <v>1.7102363232063676E-2</v>
      </c>
      <c r="H242">
        <f t="shared" ca="1" si="33"/>
        <v>1.7102725330796965E-2</v>
      </c>
      <c r="I242">
        <f t="shared" ca="1" si="34"/>
        <v>1.0274363635495569E-2</v>
      </c>
      <c r="J242" s="5">
        <f t="shared" ca="1" si="35"/>
        <v>6.8283616953013961E-3</v>
      </c>
    </row>
    <row r="243" spans="1:10" x14ac:dyDescent="0.2">
      <c r="A243">
        <f t="shared" ca="1" si="27"/>
        <v>0.16792666837799375</v>
      </c>
      <c r="B243">
        <f t="shared" ca="1" si="28"/>
        <v>-0.96239079308885389</v>
      </c>
      <c r="C243">
        <f t="shared" ca="1" si="32"/>
        <v>1.0948840930176096</v>
      </c>
      <c r="D243" s="22">
        <f t="shared" ca="1" si="29"/>
        <v>0.25106672148745091</v>
      </c>
      <c r="F243">
        <f t="shared" si="30"/>
        <v>0.23700000000000018</v>
      </c>
      <c r="G243">
        <f t="shared" ca="1" si="31"/>
        <v>1.8779511365586216E-2</v>
      </c>
      <c r="H243">
        <f t="shared" ca="1" si="33"/>
        <v>1.877995728621859E-2</v>
      </c>
      <c r="I243">
        <f t="shared" ca="1" si="34"/>
        <v>1.0292503013081261E-2</v>
      </c>
      <c r="J243" s="5">
        <f t="shared" ca="1" si="35"/>
        <v>8.4874542731373289E-3</v>
      </c>
    </row>
    <row r="244" spans="1:10" x14ac:dyDescent="0.2">
      <c r="A244">
        <f t="shared" ca="1" si="27"/>
        <v>0.71114404644489004</v>
      </c>
      <c r="B244">
        <f t="shared" ca="1" si="28"/>
        <v>0.55673001390604926</v>
      </c>
      <c r="C244">
        <f t="shared" ca="1" si="32"/>
        <v>1.6516141069236587</v>
      </c>
      <c r="D244" s="22">
        <f t="shared" ca="1" si="29"/>
        <v>0.3416690544744036</v>
      </c>
      <c r="F244">
        <f t="shared" si="30"/>
        <v>0.23800000000000018</v>
      </c>
      <c r="G244">
        <f t="shared" ca="1" si="31"/>
        <v>1.5744438264029378E-2</v>
      </c>
      <c r="H244">
        <f t="shared" ca="1" si="33"/>
        <v>1.5744732385153358E-2</v>
      </c>
      <c r="I244">
        <f t="shared" ca="1" si="34"/>
        <v>1.0262201834817099E-2</v>
      </c>
      <c r="J244" s="5">
        <f t="shared" ca="1" si="35"/>
        <v>5.4825305503362586E-3</v>
      </c>
    </row>
    <row r="245" spans="1:10" x14ac:dyDescent="0.2">
      <c r="A245">
        <f t="shared" ca="1" si="27"/>
        <v>0.39985093644580061</v>
      </c>
      <c r="B245">
        <f t="shared" ca="1" si="28"/>
        <v>-0.25373295463000051</v>
      </c>
      <c r="C245">
        <f t="shared" ca="1" si="32"/>
        <v>1.3978811522936583</v>
      </c>
      <c r="D245" s="22">
        <f t="shared" ca="1" si="29"/>
        <v>0.38630473991949227</v>
      </c>
      <c r="F245">
        <f t="shared" si="30"/>
        <v>0.23900000000000018</v>
      </c>
      <c r="G245">
        <f t="shared" ca="1" si="31"/>
        <v>1.7513310261582878E-2</v>
      </c>
      <c r="H245">
        <f t="shared" ca="1" si="33"/>
        <v>1.7513692797635174E-2</v>
      </c>
      <c r="I245">
        <f t="shared" ca="1" si="34"/>
        <v>1.0281261385688162E-2</v>
      </c>
      <c r="J245" s="5">
        <f t="shared" ca="1" si="35"/>
        <v>7.2324314119470122E-3</v>
      </c>
    </row>
    <row r="246" spans="1:10" x14ac:dyDescent="0.2">
      <c r="A246">
        <f t="shared" ca="1" si="27"/>
        <v>0.58463974238369221</v>
      </c>
      <c r="B246">
        <f t="shared" ca="1" si="28"/>
        <v>0.21377757246593271</v>
      </c>
      <c r="C246">
        <f t="shared" ca="1" si="32"/>
        <v>1.611658724759591</v>
      </c>
      <c r="D246" s="22">
        <f t="shared" ca="1" si="29"/>
        <v>0.38992964309657041</v>
      </c>
      <c r="F246">
        <f t="shared" si="30"/>
        <v>0.24000000000000019</v>
      </c>
      <c r="G246">
        <f t="shared" ca="1" si="31"/>
        <v>1.6719224581093216E-2</v>
      </c>
      <c r="H246">
        <f t="shared" ca="1" si="33"/>
        <v>1.6719567374280441E-2</v>
      </c>
      <c r="I246">
        <f t="shared" ca="1" si="34"/>
        <v>1.0273991259793129E-2</v>
      </c>
      <c r="J246" s="5">
        <f t="shared" ca="1" si="35"/>
        <v>6.4455761144873117E-3</v>
      </c>
    </row>
    <row r="247" spans="1:10" x14ac:dyDescent="0.2">
      <c r="A247">
        <f t="shared" ca="1" si="27"/>
        <v>0.49740492249247936</v>
      </c>
      <c r="B247">
        <f t="shared" ca="1" si="28"/>
        <v>-6.5049405302003826E-3</v>
      </c>
      <c r="C247">
        <f t="shared" ca="1" si="32"/>
        <v>1.6051537842293906</v>
      </c>
      <c r="D247" s="22">
        <f t="shared" ca="1" si="29"/>
        <v>0.39893384001876631</v>
      </c>
      <c r="F247">
        <f t="shared" si="30"/>
        <v>0.24100000000000019</v>
      </c>
      <c r="G247">
        <f t="shared" ca="1" si="31"/>
        <v>1.7403542484105396E-2</v>
      </c>
      <c r="H247">
        <f t="shared" ca="1" si="33"/>
        <v>1.7403919459197059E-2</v>
      </c>
      <c r="I247">
        <f t="shared" ca="1" si="34"/>
        <v>1.0281915808674444E-2</v>
      </c>
      <c r="J247" s="5">
        <f t="shared" ca="1" si="35"/>
        <v>7.122003650522615E-3</v>
      </c>
    </row>
    <row r="248" spans="1:10" x14ac:dyDescent="0.2">
      <c r="A248">
        <f t="shared" ca="1" si="27"/>
        <v>0.69068209535804492</v>
      </c>
      <c r="B248">
        <f t="shared" ca="1" si="28"/>
        <v>0.49778468827761807</v>
      </c>
      <c r="C248">
        <f t="shared" ca="1" si="32"/>
        <v>2.1029384725070086</v>
      </c>
      <c r="D248" s="22">
        <f t="shared" ca="1" si="29"/>
        <v>0.35245464518618441</v>
      </c>
      <c r="F248">
        <f t="shared" si="30"/>
        <v>0.24200000000000019</v>
      </c>
      <c r="G248">
        <f t="shared" ca="1" si="31"/>
        <v>1.7391232317247637E-2</v>
      </c>
      <c r="H248">
        <f t="shared" ca="1" si="33"/>
        <v>1.7391608639131761E-2</v>
      </c>
      <c r="I248">
        <f t="shared" ca="1" si="34"/>
        <v>1.0282681115746583E-2</v>
      </c>
      <c r="J248" s="5">
        <f t="shared" ca="1" si="35"/>
        <v>7.1089275233851782E-3</v>
      </c>
    </row>
    <row r="249" spans="1:10" x14ac:dyDescent="0.2">
      <c r="A249">
        <f t="shared" ca="1" si="27"/>
        <v>0.46033445520859151</v>
      </c>
      <c r="B249">
        <f t="shared" ca="1" si="28"/>
        <v>-9.9591162284683038E-2</v>
      </c>
      <c r="C249">
        <f t="shared" ca="1" si="32"/>
        <v>2.0033473102223254</v>
      </c>
      <c r="D249" s="22">
        <f t="shared" ca="1" si="29"/>
        <v>0.39696874354970374</v>
      </c>
      <c r="F249">
        <f t="shared" si="30"/>
        <v>0.24300000000000019</v>
      </c>
      <c r="G249">
        <f t="shared" ca="1" si="31"/>
        <v>1.8973547476909373E-2</v>
      </c>
      <c r="H249">
        <f t="shared" ca="1" si="33"/>
        <v>1.8974002877582039E-2</v>
      </c>
      <c r="I249">
        <f t="shared" ca="1" si="34"/>
        <v>1.0299858614011356E-2</v>
      </c>
      <c r="J249" s="5">
        <f t="shared" ca="1" si="35"/>
        <v>8.6741442635706826E-3</v>
      </c>
    </row>
    <row r="250" spans="1:10" x14ac:dyDescent="0.2">
      <c r="A250">
        <f t="shared" ca="1" si="27"/>
        <v>0.89164376294640502</v>
      </c>
      <c r="B250">
        <f t="shared" ca="1" si="28"/>
        <v>1.2353172020140994</v>
      </c>
      <c r="C250">
        <f t="shared" ca="1" si="32"/>
        <v>3.2386645122364248</v>
      </c>
      <c r="D250" s="22">
        <f t="shared" ca="1" si="29"/>
        <v>0.1860122349742894</v>
      </c>
      <c r="F250">
        <f t="shared" si="30"/>
        <v>0.24400000000000019</v>
      </c>
      <c r="G250">
        <f t="shared" ca="1" si="31"/>
        <v>1.8666730555489165E-2</v>
      </c>
      <c r="H250">
        <f t="shared" ca="1" si="33"/>
        <v>1.8667170569651222E-2</v>
      </c>
      <c r="I250">
        <f t="shared" ca="1" si="34"/>
        <v>1.0297593564649188E-2</v>
      </c>
      <c r="J250" s="5">
        <f t="shared" ca="1" si="35"/>
        <v>8.3695770050020348E-3</v>
      </c>
    </row>
    <row r="251" spans="1:10" x14ac:dyDescent="0.2">
      <c r="A251">
        <f t="shared" ca="1" si="27"/>
        <v>0.97291111967929311</v>
      </c>
      <c r="B251">
        <f t="shared" ca="1" si="28"/>
        <v>1.9254125990002502</v>
      </c>
      <c r="C251">
        <f t="shared" ca="1" si="32"/>
        <v>5.1640771112366748</v>
      </c>
      <c r="D251" s="22">
        <f t="shared" ca="1" si="29"/>
        <v>6.2502709486270042E-2</v>
      </c>
      <c r="F251">
        <f t="shared" si="30"/>
        <v>0.24500000000000019</v>
      </c>
      <c r="G251">
        <f t="shared" ca="1" si="31"/>
        <v>2.2581084154270174E-2</v>
      </c>
      <c r="H251">
        <f t="shared" ca="1" si="33"/>
        <v>2.258171984374515E-2</v>
      </c>
      <c r="I251">
        <f t="shared" ca="1" si="34"/>
        <v>1.0338881069360968E-2</v>
      </c>
      <c r="J251" s="5">
        <f t="shared" ca="1" si="35"/>
        <v>1.2242838774384182E-2</v>
      </c>
    </row>
    <row r="252" spans="1:10" x14ac:dyDescent="0.2">
      <c r="A252">
        <f t="shared" ca="1" si="27"/>
        <v>0.39696748783126579</v>
      </c>
      <c r="B252">
        <f t="shared" ca="1" si="28"/>
        <v>-0.2612042826445764</v>
      </c>
      <c r="C252">
        <f t="shared" ca="1" si="32"/>
        <v>4.9028728285920984</v>
      </c>
      <c r="D252" s="22">
        <f t="shared" ca="1" si="29"/>
        <v>0.38556234584122157</v>
      </c>
      <c r="F252">
        <f t="shared" si="30"/>
        <v>0.24600000000000019</v>
      </c>
      <c r="G252">
        <f t="shared" ca="1" si="31"/>
        <v>2.8677210485420095E-2</v>
      </c>
      <c r="H252">
        <f t="shared" ca="1" si="33"/>
        <v>2.8678150920186007E-2</v>
      </c>
      <c r="I252">
        <f t="shared" ca="1" si="34"/>
        <v>1.0403011574275398E-2</v>
      </c>
      <c r="J252" s="5">
        <f t="shared" ca="1" si="35"/>
        <v>1.8275139345910608E-2</v>
      </c>
    </row>
    <row r="253" spans="1:10" x14ac:dyDescent="0.2">
      <c r="A253">
        <f t="shared" ca="1" si="27"/>
        <v>0.58976832091375198</v>
      </c>
      <c r="B253">
        <f t="shared" ca="1" si="28"/>
        <v>0.22694905313389935</v>
      </c>
      <c r="C253">
        <f t="shared" ca="1" si="32"/>
        <v>5.1298218817259977</v>
      </c>
      <c r="D253" s="22">
        <f t="shared" ca="1" si="29"/>
        <v>0.38879950888058928</v>
      </c>
      <c r="F253">
        <f t="shared" si="30"/>
        <v>0.24700000000000019</v>
      </c>
      <c r="G253">
        <f t="shared" ca="1" si="31"/>
        <v>2.7858383238324871E-2</v>
      </c>
      <c r="H253">
        <f t="shared" ca="1" si="33"/>
        <v>2.7859282637346737E-2</v>
      </c>
      <c r="I253">
        <f t="shared" ca="1" si="34"/>
        <v>1.0395409746756869E-2</v>
      </c>
      <c r="J253" s="5">
        <f t="shared" ca="1" si="35"/>
        <v>1.7463872890589868E-2</v>
      </c>
    </row>
    <row r="254" spans="1:10" x14ac:dyDescent="0.2">
      <c r="A254">
        <f t="shared" ca="1" si="27"/>
        <v>0.40628140676626268</v>
      </c>
      <c r="B254">
        <f t="shared" ca="1" si="28"/>
        <v>-0.23712113884365393</v>
      </c>
      <c r="C254">
        <f t="shared" ca="1" si="32"/>
        <v>4.8927007428823437</v>
      </c>
      <c r="D254" s="22">
        <f t="shared" ca="1" si="29"/>
        <v>0.3878829149671123</v>
      </c>
      <c r="F254">
        <f t="shared" si="30"/>
        <v>0.24800000000000019</v>
      </c>
      <c r="G254">
        <f t="shared" ca="1" si="31"/>
        <v>2.8583237077725733E-2</v>
      </c>
      <c r="H254">
        <f t="shared" ca="1" si="33"/>
        <v>2.8584172629804699E-2</v>
      </c>
      <c r="I254">
        <f t="shared" ca="1" si="34"/>
        <v>1.0403861279657589E-2</v>
      </c>
      <c r="J254" s="5">
        <f t="shared" ca="1" si="35"/>
        <v>1.818031135014711E-2</v>
      </c>
    </row>
    <row r="255" spans="1:10" x14ac:dyDescent="0.2">
      <c r="A255">
        <f t="shared" ca="1" si="27"/>
        <v>0.26338607616985388</v>
      </c>
      <c r="B255">
        <f t="shared" ca="1" si="28"/>
        <v>-0.63294103061718632</v>
      </c>
      <c r="C255">
        <f t="shared" ca="1" si="32"/>
        <v>4.2597597122651578</v>
      </c>
      <c r="D255" s="22">
        <f t="shared" ca="1" si="29"/>
        <v>0.32652599792543618</v>
      </c>
      <c r="F255">
        <f t="shared" si="30"/>
        <v>0.24900000000000019</v>
      </c>
      <c r="G255">
        <f t="shared" ca="1" si="31"/>
        <v>2.784057300740898E-2</v>
      </c>
      <c r="H255">
        <f t="shared" ca="1" si="33"/>
        <v>2.7841471332422749E-2</v>
      </c>
      <c r="I255">
        <f t="shared" ca="1" si="34"/>
        <v>1.0397050615373746E-2</v>
      </c>
      <c r="J255" s="5">
        <f t="shared" ca="1" si="35"/>
        <v>1.7444420717049002E-2</v>
      </c>
    </row>
    <row r="256" spans="1:10" x14ac:dyDescent="0.2">
      <c r="A256">
        <f t="shared" ca="1" si="27"/>
        <v>0.98225355907050427</v>
      </c>
      <c r="B256">
        <f t="shared" ca="1" si="28"/>
        <v>2.1026899418558362</v>
      </c>
      <c r="C256">
        <f t="shared" ca="1" si="32"/>
        <v>6.3624496541209936</v>
      </c>
      <c r="D256" s="22">
        <f t="shared" ca="1" si="29"/>
        <v>4.3735680220765363E-2</v>
      </c>
      <c r="F256">
        <f t="shared" si="30"/>
        <v>0.25000000000000017</v>
      </c>
      <c r="G256">
        <f t="shared" ca="1" si="31"/>
        <v>2.5846353380592834E-2</v>
      </c>
      <c r="H256">
        <f t="shared" ca="1" si="33"/>
        <v>2.5847151903964829E-2</v>
      </c>
      <c r="I256">
        <f t="shared" ca="1" si="34"/>
        <v>1.0377247155549834E-2</v>
      </c>
      <c r="J256" s="5">
        <f t="shared" ca="1" si="35"/>
        <v>1.5469904748414995E-2</v>
      </c>
    </row>
    <row r="257" spans="1:10" x14ac:dyDescent="0.2">
      <c r="A257">
        <f t="shared" ca="1" si="27"/>
        <v>0.20574251676048272</v>
      </c>
      <c r="B257">
        <f t="shared" ca="1" si="28"/>
        <v>-0.82128309686234025</v>
      </c>
      <c r="C257">
        <f t="shared" ca="1" si="32"/>
        <v>5.541166557258653</v>
      </c>
      <c r="D257" s="22">
        <f t="shared" ca="1" si="29"/>
        <v>0.28473638382381433</v>
      </c>
      <c r="F257">
        <f t="shared" si="30"/>
        <v>0.25100000000000017</v>
      </c>
      <c r="G257">
        <f t="shared" ca="1" si="31"/>
        <v>3.2502725353270971E-2</v>
      </c>
      <c r="H257">
        <f t="shared" ca="1" si="33"/>
        <v>3.2503856618165891E-2</v>
      </c>
      <c r="I257">
        <f t="shared" ca="1" si="34"/>
        <v>1.0447470852135037E-2</v>
      </c>
      <c r="J257" s="5">
        <f t="shared" ca="1" si="35"/>
        <v>2.2056385766030855E-2</v>
      </c>
    </row>
    <row r="258" spans="1:10" x14ac:dyDescent="0.2">
      <c r="A258">
        <f t="shared" ca="1" si="27"/>
        <v>2.4103031622803806E-2</v>
      </c>
      <c r="B258">
        <f t="shared" ca="1" si="28"/>
        <v>-1.9755473809541133</v>
      </c>
      <c r="C258">
        <f t="shared" ca="1" si="32"/>
        <v>3.5656191763045397</v>
      </c>
      <c r="D258" s="22">
        <f t="shared" ca="1" si="29"/>
        <v>5.668009090105685E-2</v>
      </c>
      <c r="F258">
        <f t="shared" si="30"/>
        <v>0.25200000000000017</v>
      </c>
      <c r="G258">
        <f t="shared" ca="1" si="31"/>
        <v>2.991247940422789E-2</v>
      </c>
      <c r="H258">
        <f t="shared" ca="1" si="33"/>
        <v>2.9913481042622394E-2</v>
      </c>
      <c r="I258">
        <f t="shared" ca="1" si="34"/>
        <v>1.0421362648763165E-2</v>
      </c>
      <c r="J258" s="5">
        <f t="shared" ca="1" si="35"/>
        <v>1.9492118393859229E-2</v>
      </c>
    </row>
    <row r="259" spans="1:10" x14ac:dyDescent="0.2">
      <c r="A259">
        <f t="shared" ca="1" si="27"/>
        <v>0.26283361186028287</v>
      </c>
      <c r="B259">
        <f t="shared" ca="1" si="28"/>
        <v>-0.6346338838848733</v>
      </c>
      <c r="C259">
        <f t="shared" ca="1" si="32"/>
        <v>2.9309852924196664</v>
      </c>
      <c r="D259" s="22">
        <f t="shared" ca="1" si="29"/>
        <v>0.32617585305907026</v>
      </c>
      <c r="F259">
        <f t="shared" si="30"/>
        <v>0.25300000000000017</v>
      </c>
      <c r="G259">
        <f t="shared" ca="1" si="31"/>
        <v>2.3672570804919177E-2</v>
      </c>
      <c r="H259">
        <f t="shared" ca="1" si="33"/>
        <v>2.367326034512279E-2</v>
      </c>
      <c r="I259">
        <f t="shared" ca="1" si="34"/>
        <v>1.035744485568287E-2</v>
      </c>
      <c r="J259" s="5">
        <f t="shared" ca="1" si="35"/>
        <v>1.3315815489439919E-2</v>
      </c>
    </row>
    <row r="260" spans="1:10" x14ac:dyDescent="0.2">
      <c r="A260">
        <f t="shared" ca="1" si="27"/>
        <v>0.58061130439620512</v>
      </c>
      <c r="B260">
        <f t="shared" ca="1" si="28"/>
        <v>0.20345758928966021</v>
      </c>
      <c r="C260">
        <f t="shared" ca="1" si="32"/>
        <v>3.1344428817093268</v>
      </c>
      <c r="D260" s="22">
        <f t="shared" ca="1" si="29"/>
        <v>0.39077003862554299</v>
      </c>
      <c r="F260">
        <f t="shared" si="30"/>
        <v>0.25400000000000017</v>
      </c>
      <c r="G260">
        <f t="shared" ca="1" si="31"/>
        <v>2.1673414953066069E-2</v>
      </c>
      <c r="H260">
        <f t="shared" ca="1" si="33"/>
        <v>2.1674004465693248E-2</v>
      </c>
      <c r="I260">
        <f t="shared" ca="1" si="34"/>
        <v>1.0337661493239178E-2</v>
      </c>
      <c r="J260" s="5">
        <f t="shared" ca="1" si="35"/>
        <v>1.133634297245407E-2</v>
      </c>
    </row>
    <row r="261" spans="1:10" x14ac:dyDescent="0.2">
      <c r="A261">
        <f t="shared" ca="1" si="27"/>
        <v>0.88141893279029959</v>
      </c>
      <c r="B261">
        <f t="shared" ca="1" si="28"/>
        <v>1.1821098049214367</v>
      </c>
      <c r="C261">
        <f t="shared" ca="1" si="32"/>
        <v>4.3165526866307635</v>
      </c>
      <c r="D261" s="22">
        <f t="shared" ca="1" si="29"/>
        <v>0.19836821003458097</v>
      </c>
      <c r="F261">
        <f t="shared" si="30"/>
        <v>0.25500000000000017</v>
      </c>
      <c r="G261">
        <f t="shared" ca="1" si="31"/>
        <v>2.2324604441224163E-2</v>
      </c>
      <c r="H261">
        <f t="shared" ca="1" si="33"/>
        <v>2.2325226454649086E-2</v>
      </c>
      <c r="I261">
        <f t="shared" ca="1" si="34"/>
        <v>1.0345297531634942E-2</v>
      </c>
      <c r="J261" s="5">
        <f t="shared" ca="1" si="35"/>
        <v>1.1979928923014143E-2</v>
      </c>
    </row>
    <row r="262" spans="1:10" x14ac:dyDescent="0.2">
      <c r="A262">
        <f t="shared" ca="1" si="27"/>
        <v>0.17225306509316207</v>
      </c>
      <c r="B262">
        <f t="shared" ca="1" si="28"/>
        <v>-0.9452992324246533</v>
      </c>
      <c r="C262">
        <f t="shared" ca="1" si="32"/>
        <v>3.3712534542061103</v>
      </c>
      <c r="D262" s="22">
        <f t="shared" ca="1" si="29"/>
        <v>0.25519333296042318</v>
      </c>
      <c r="F262">
        <f t="shared" si="30"/>
        <v>0.25600000000000017</v>
      </c>
      <c r="G262">
        <f t="shared" ca="1" si="31"/>
        <v>2.6070344120201164E-2</v>
      </c>
      <c r="H262">
        <f t="shared" ca="1" si="33"/>
        <v>2.6071153359972683E-2</v>
      </c>
      <c r="I262">
        <f t="shared" ca="1" si="34"/>
        <v>1.0385028805909769E-2</v>
      </c>
      <c r="J262" s="5">
        <f t="shared" ca="1" si="35"/>
        <v>1.5686124554062916E-2</v>
      </c>
    </row>
    <row r="263" spans="1:10" x14ac:dyDescent="0.2">
      <c r="A263">
        <f t="shared" ref="A263:A326" ca="1" si="36">RAND()</f>
        <v>0.32049784091219991</v>
      </c>
      <c r="B263">
        <f t="shared" ref="B263:B326" ca="1" si="37">NORMSINV(A263)</f>
        <v>-0.46630712172809463</v>
      </c>
      <c r="C263">
        <f t="shared" ca="1" si="32"/>
        <v>2.9049463324780156</v>
      </c>
      <c r="D263" s="22">
        <f t="shared" ref="D263:D326" ca="1" si="38">_xlfn.NORM.DIST(B263,0,1,FALSE)</f>
        <v>0.35784344271135943</v>
      </c>
      <c r="F263">
        <f t="shared" ref="F263:F326" si="39">F262+$M$2/$N$2</f>
        <v>0.25700000000000017</v>
      </c>
      <c r="G263">
        <f t="shared" ref="G263:G326" ca="1" si="40">G262*EXP(-$M$4*$O$2) + $O$4*(1-EXP(-$M$4*$O$2)) + $N$4* SQRT((1-EXP(-2*$M$4*$O$2))/(2*$M$4)) *B262</f>
        <v>2.3088587529987197E-2</v>
      </c>
      <c r="H263">
        <f t="shared" ca="1" si="33"/>
        <v>2.308924759976589E-2</v>
      </c>
      <c r="I263">
        <f t="shared" ca="1" si="34"/>
        <v>1.0355014886684876E-2</v>
      </c>
      <c r="J263" s="5">
        <f t="shared" ca="1" si="35"/>
        <v>1.2734232713081014E-2</v>
      </c>
    </row>
    <row r="264" spans="1:10" x14ac:dyDescent="0.2">
      <c r="A264">
        <f t="shared" ca="1" si="36"/>
        <v>0.95512714860824732</v>
      </c>
      <c r="B264">
        <f t="shared" ca="1" si="37"/>
        <v>1.6967406553151809</v>
      </c>
      <c r="C264">
        <f t="shared" ref="C264:C327" ca="1" si="41">B264+C263</f>
        <v>4.6016869877931965</v>
      </c>
      <c r="D264" s="22">
        <f t="shared" ca="1" si="38"/>
        <v>9.4571136648422177E-2</v>
      </c>
      <c r="F264">
        <f t="shared" si="39"/>
        <v>0.25800000000000017</v>
      </c>
      <c r="G264">
        <f t="shared" ca="1" si="40"/>
        <v>2.1621759419429541E-2</v>
      </c>
      <c r="H264">
        <f t="shared" ref="H264:H327" ca="1" si="42">H263+($M$6 + $N$6*H263)*$O$2 + $O$6*H263^$P$6*SQRT($O$2)*B263</f>
        <v>2.1622346081187741E-2</v>
      </c>
      <c r="I264">
        <f t="shared" ref="I264:I327" ca="1" si="43">I263*EXP(($M$8-0.5*($N$8^2))*$O$2 + $N$8*SQRT($O$2)*B263)</f>
        <v>1.0340739034532519E-2</v>
      </c>
      <c r="J264" s="5">
        <f t="shared" ref="J264:J327" ca="1" si="44">ABS(H264-I264)</f>
        <v>1.1281607046655222E-2</v>
      </c>
    </row>
    <row r="265" spans="1:10" x14ac:dyDescent="0.2">
      <c r="A265">
        <f t="shared" ca="1" si="36"/>
        <v>0.84793472602823017</v>
      </c>
      <c r="B265">
        <f t="shared" ca="1" si="37"/>
        <v>1.0276158872192849</v>
      </c>
      <c r="C265">
        <f t="shared" ca="1" si="41"/>
        <v>5.6293028750124812</v>
      </c>
      <c r="D265" s="22">
        <f t="shared" ca="1" si="38"/>
        <v>0.23529017506806973</v>
      </c>
      <c r="F265">
        <f t="shared" si="39"/>
        <v>0.25900000000000017</v>
      </c>
      <c r="G265">
        <f t="shared" ca="1" si="40"/>
        <v>2.6994893653936411E-2</v>
      </c>
      <c r="H265">
        <f t="shared" ca="1" si="42"/>
        <v>2.6995748915982276E-2</v>
      </c>
      <c r="I265">
        <f t="shared" ca="1" si="43"/>
        <v>1.0397359762789837E-2</v>
      </c>
      <c r="J265" s="5">
        <f t="shared" ca="1" si="44"/>
        <v>1.6598389153192439E-2</v>
      </c>
    </row>
    <row r="266" spans="1:10" x14ac:dyDescent="0.2">
      <c r="A266">
        <f t="shared" ca="1" si="36"/>
        <v>0.38391942682337332</v>
      </c>
      <c r="B266">
        <f t="shared" ca="1" si="37"/>
        <v>-0.29520294338071573</v>
      </c>
      <c r="C266">
        <f t="shared" ca="1" si="41"/>
        <v>5.3340999316317657</v>
      </c>
      <c r="D266" s="22">
        <f t="shared" ca="1" si="38"/>
        <v>0.38193267777618095</v>
      </c>
      <c r="F266">
        <f t="shared" si="39"/>
        <v>0.26000000000000018</v>
      </c>
      <c r="G266">
        <f t="shared" ca="1" si="40"/>
        <v>3.0251638089376857E-2</v>
      </c>
      <c r="H266">
        <f t="shared" ca="1" si="42"/>
        <v>3.0252656104478332E-2</v>
      </c>
      <c r="I266">
        <f t="shared" ca="1" si="43"/>
        <v>1.0432193061946232E-2</v>
      </c>
      <c r="J266" s="5">
        <f t="shared" ca="1" si="44"/>
        <v>1.9820463042532099E-2</v>
      </c>
    </row>
    <row r="267" spans="1:10" x14ac:dyDescent="0.2">
      <c r="A267">
        <f t="shared" ca="1" si="36"/>
        <v>0.38978673266881336</v>
      </c>
      <c r="B267">
        <f t="shared" ca="1" si="37"/>
        <v>-0.27987492544943282</v>
      </c>
      <c r="C267">
        <f t="shared" ca="1" si="41"/>
        <v>5.0542250061823326</v>
      </c>
      <c r="D267" s="22">
        <f t="shared" ca="1" si="38"/>
        <v>0.38361972361579944</v>
      </c>
      <c r="F267">
        <f t="shared" si="39"/>
        <v>0.26100000000000018</v>
      </c>
      <c r="G267">
        <f t="shared" ca="1" si="40"/>
        <v>2.9325145577507865E-2</v>
      </c>
      <c r="H267">
        <f t="shared" ca="1" si="42"/>
        <v>2.9326117165799095E-2</v>
      </c>
      <c r="I267">
        <f t="shared" ca="1" si="43"/>
        <v>1.0423449191863329E-2</v>
      </c>
      <c r="J267" s="5">
        <f t="shared" ca="1" si="44"/>
        <v>1.8902667973935767E-2</v>
      </c>
    </row>
    <row r="268" spans="1:10" x14ac:dyDescent="0.2">
      <c r="A268">
        <f t="shared" ca="1" si="36"/>
        <v>4.1697189982238148E-2</v>
      </c>
      <c r="B268">
        <f t="shared" ca="1" si="37"/>
        <v>-1.7313218303891953</v>
      </c>
      <c r="C268">
        <f t="shared" ca="1" si="41"/>
        <v>3.3229031757931375</v>
      </c>
      <c r="D268" s="22">
        <f t="shared" ca="1" si="38"/>
        <v>8.912849616174752E-2</v>
      </c>
      <c r="F268">
        <f t="shared" si="39"/>
        <v>0.26200000000000018</v>
      </c>
      <c r="G268">
        <f t="shared" ca="1" si="40"/>
        <v>2.8447214735465052E-2</v>
      </c>
      <c r="H268">
        <f t="shared" ca="1" si="42"/>
        <v>2.8448142329692481E-2</v>
      </c>
      <c r="I268">
        <f t="shared" ca="1" si="43"/>
        <v>1.0415217479006504E-2</v>
      </c>
      <c r="J268" s="5">
        <f t="shared" ca="1" si="44"/>
        <v>1.8032924850685979E-2</v>
      </c>
    </row>
    <row r="269" spans="1:10" x14ac:dyDescent="0.2">
      <c r="A269">
        <f t="shared" ca="1" si="36"/>
        <v>0.22703012879029483</v>
      </c>
      <c r="B269">
        <f t="shared" ca="1" si="37"/>
        <v>-0.74866315308154807</v>
      </c>
      <c r="C269">
        <f t="shared" ca="1" si="41"/>
        <v>2.5742400227115896</v>
      </c>
      <c r="D269" s="22">
        <f t="shared" ca="1" si="38"/>
        <v>0.30143924519472182</v>
      </c>
      <c r="F269">
        <f t="shared" si="39"/>
        <v>0.26300000000000018</v>
      </c>
      <c r="G269">
        <f t="shared" ca="1" si="40"/>
        <v>2.2979723044049678E-2</v>
      </c>
      <c r="H269">
        <f t="shared" ca="1" si="42"/>
        <v>2.2980377168657931E-2</v>
      </c>
      <c r="I269">
        <f t="shared" ca="1" si="43"/>
        <v>1.0359334895286027E-2</v>
      </c>
      <c r="J269" s="5">
        <f t="shared" ca="1" si="44"/>
        <v>1.2621042273371904E-2</v>
      </c>
    </row>
    <row r="270" spans="1:10" x14ac:dyDescent="0.2">
      <c r="A270">
        <f t="shared" ca="1" si="36"/>
        <v>0.72931220011421105</v>
      </c>
      <c r="B270">
        <f t="shared" ca="1" si="37"/>
        <v>0.61073414124374359</v>
      </c>
      <c r="C270">
        <f t="shared" ca="1" si="41"/>
        <v>3.1849741639553333</v>
      </c>
      <c r="D270" s="22">
        <f t="shared" ca="1" si="38"/>
        <v>0.33106629758421635</v>
      </c>
      <c r="F270">
        <f t="shared" si="39"/>
        <v>0.26400000000000018</v>
      </c>
      <c r="G270">
        <f t="shared" ca="1" si="40"/>
        <v>2.0620062291781888E-2</v>
      </c>
      <c r="H270">
        <f t="shared" ca="1" si="42"/>
        <v>2.0620598366960067E-2</v>
      </c>
      <c r="I270">
        <f t="shared" ca="1" si="43"/>
        <v>1.0335820234435552E-2</v>
      </c>
      <c r="J270" s="5">
        <f t="shared" ca="1" si="44"/>
        <v>1.0284778132524515E-2</v>
      </c>
    </row>
    <row r="271" spans="1:10" x14ac:dyDescent="0.2">
      <c r="A271">
        <f t="shared" ca="1" si="36"/>
        <v>0.88710940666820337</v>
      </c>
      <c r="B271">
        <f t="shared" ca="1" si="37"/>
        <v>1.2112980739362902</v>
      </c>
      <c r="C271">
        <f t="shared" ca="1" si="41"/>
        <v>4.3962722378916235</v>
      </c>
      <c r="D271" s="22">
        <f t="shared" ca="1" si="38"/>
        <v>0.19155888097529505</v>
      </c>
      <c r="F271">
        <f t="shared" si="39"/>
        <v>0.26500000000000018</v>
      </c>
      <c r="G271">
        <f t="shared" ca="1" si="40"/>
        <v>2.2559214258300292E-2</v>
      </c>
      <c r="H271">
        <f t="shared" ca="1" si="42"/>
        <v>2.255984723828058E-2</v>
      </c>
      <c r="I271">
        <f t="shared" ca="1" si="43"/>
        <v>1.0356785053406641E-2</v>
      </c>
      <c r="J271" s="5">
        <f t="shared" ca="1" si="44"/>
        <v>1.220306218487394E-2</v>
      </c>
    </row>
    <row r="272" spans="1:10" x14ac:dyDescent="0.2">
      <c r="A272">
        <f t="shared" ca="1" si="36"/>
        <v>0.9328345583613844</v>
      </c>
      <c r="B272">
        <f t="shared" ca="1" si="37"/>
        <v>1.4972397594942302</v>
      </c>
      <c r="C272">
        <f t="shared" ca="1" si="41"/>
        <v>5.8935119973858541</v>
      </c>
      <c r="D272" s="22">
        <f t="shared" ca="1" si="38"/>
        <v>0.13005446146487651</v>
      </c>
      <c r="F272">
        <f t="shared" si="39"/>
        <v>0.26600000000000018</v>
      </c>
      <c r="G272">
        <f t="shared" ca="1" si="40"/>
        <v>2.6397227273634985E-2</v>
      </c>
      <c r="H272">
        <f t="shared" ca="1" si="42"/>
        <v>2.639805209257047E-2</v>
      </c>
      <c r="I272">
        <f t="shared" ca="1" si="43"/>
        <v>1.0397520107173024E-2</v>
      </c>
      <c r="J272" s="5">
        <f t="shared" ca="1" si="44"/>
        <v>1.6000531985397446E-2</v>
      </c>
    </row>
    <row r="273" spans="1:10" x14ac:dyDescent="0.2">
      <c r="A273">
        <f t="shared" ca="1" si="36"/>
        <v>0.10281589863853025</v>
      </c>
      <c r="B273">
        <f t="shared" ca="1" si="37"/>
        <v>-1.2656684809192884</v>
      </c>
      <c r="C273">
        <f t="shared" ca="1" si="41"/>
        <v>4.6278435164665659</v>
      </c>
      <c r="D273" s="22">
        <f t="shared" ca="1" si="38"/>
        <v>0.17908461326917771</v>
      </c>
      <c r="F273">
        <f t="shared" si="39"/>
        <v>0.26700000000000018</v>
      </c>
      <c r="G273">
        <f t="shared" ca="1" si="40"/>
        <v>3.1139038301741841E-2</v>
      </c>
      <c r="H273">
        <f t="shared" ca="1" si="42"/>
        <v>3.1140100130725695E-2</v>
      </c>
      <c r="I273">
        <f t="shared" ca="1" si="43"/>
        <v>1.0447858344774253E-2</v>
      </c>
      <c r="J273" s="5">
        <f t="shared" ca="1" si="44"/>
        <v>2.0692241785951443E-2</v>
      </c>
    </row>
    <row r="274" spans="1:10" x14ac:dyDescent="0.2">
      <c r="A274">
        <f t="shared" ca="1" si="36"/>
        <v>4.3828425482939415E-2</v>
      </c>
      <c r="B274">
        <f t="shared" ca="1" si="37"/>
        <v>-1.7078894831621707</v>
      </c>
      <c r="C274">
        <f t="shared" ca="1" si="41"/>
        <v>2.9199540333043954</v>
      </c>
      <c r="D274" s="22">
        <f t="shared" ca="1" si="38"/>
        <v>9.2793213100935773E-2</v>
      </c>
      <c r="F274">
        <f t="shared" si="39"/>
        <v>0.26800000000000018</v>
      </c>
      <c r="G274">
        <f t="shared" ca="1" si="40"/>
        <v>2.7143729002648179E-2</v>
      </c>
      <c r="H274">
        <f t="shared" ca="1" si="42"/>
        <v>2.7144590958322307E-2</v>
      </c>
      <c r="I274">
        <f t="shared" ca="1" si="43"/>
        <v>1.0407114087416959E-2</v>
      </c>
      <c r="J274" s="5">
        <f t="shared" ca="1" si="44"/>
        <v>1.6737476870905349E-2</v>
      </c>
    </row>
    <row r="275" spans="1:10" x14ac:dyDescent="0.2">
      <c r="A275">
        <f t="shared" ca="1" si="36"/>
        <v>0.97448662254362406</v>
      </c>
      <c r="B275">
        <f t="shared" ca="1" si="37"/>
        <v>1.9512547000910196</v>
      </c>
      <c r="C275">
        <f t="shared" ca="1" si="41"/>
        <v>4.8712087333954148</v>
      </c>
      <c r="D275" s="22">
        <f t="shared" ca="1" si="38"/>
        <v>5.9449029208868062E-2</v>
      </c>
      <c r="F275">
        <f t="shared" si="39"/>
        <v>0.26900000000000018</v>
      </c>
      <c r="G275">
        <f t="shared" ca="1" si="40"/>
        <v>2.1750463536625166E-2</v>
      </c>
      <c r="H275">
        <f t="shared" ca="1" si="42"/>
        <v>2.1751055740586223E-2</v>
      </c>
      <c r="I275">
        <f t="shared" ca="1" si="43"/>
        <v>1.0352042035869318E-2</v>
      </c>
      <c r="J275" s="5">
        <f t="shared" ca="1" si="44"/>
        <v>1.1399013704716904E-2</v>
      </c>
    </row>
    <row r="276" spans="1:10" x14ac:dyDescent="0.2">
      <c r="A276">
        <f t="shared" ca="1" si="36"/>
        <v>0.41429364682711833</v>
      </c>
      <c r="B276">
        <f t="shared" ca="1" si="37"/>
        <v>-0.21651376890517593</v>
      </c>
      <c r="C276">
        <f t="shared" ca="1" si="41"/>
        <v>4.6546949644902389</v>
      </c>
      <c r="D276" s="22">
        <f t="shared" ca="1" si="38"/>
        <v>0.3897001665461397</v>
      </c>
      <c r="F276">
        <f t="shared" si="39"/>
        <v>0.27000000000000018</v>
      </c>
      <c r="G276">
        <f t="shared" ca="1" si="40"/>
        <v>2.7928388738830332E-2</v>
      </c>
      <c r="H276">
        <f t="shared" ca="1" si="42"/>
        <v>2.7929289782408547E-2</v>
      </c>
      <c r="I276">
        <f t="shared" ca="1" si="43"/>
        <v>1.0417105426275407E-2</v>
      </c>
      <c r="J276" s="5">
        <f t="shared" ca="1" si="44"/>
        <v>1.751218435613314E-2</v>
      </c>
    </row>
    <row r="277" spans="1:10" x14ac:dyDescent="0.2">
      <c r="A277">
        <f t="shared" ca="1" si="36"/>
        <v>0.33730946865481448</v>
      </c>
      <c r="B277">
        <f t="shared" ca="1" si="37"/>
        <v>-0.41981728424208742</v>
      </c>
      <c r="C277">
        <f t="shared" ca="1" si="41"/>
        <v>4.2348776802481511</v>
      </c>
      <c r="D277" s="22">
        <f t="shared" ca="1" si="38"/>
        <v>0.36529069808344333</v>
      </c>
      <c r="F277">
        <f t="shared" si="39"/>
        <v>0.27100000000000019</v>
      </c>
      <c r="G277">
        <f t="shared" ca="1" si="40"/>
        <v>2.7250953117489089E-2</v>
      </c>
      <c r="H277">
        <f t="shared" ca="1" si="42"/>
        <v>2.7251820198902609E-2</v>
      </c>
      <c r="I277">
        <f t="shared" ca="1" si="43"/>
        <v>1.0410964513152274E-2</v>
      </c>
      <c r="J277" s="5">
        <f t="shared" ca="1" si="44"/>
        <v>1.6840855685750333E-2</v>
      </c>
    </row>
    <row r="278" spans="1:10" x14ac:dyDescent="0.2">
      <c r="A278">
        <f t="shared" ca="1" si="36"/>
        <v>0.3842312768643783</v>
      </c>
      <c r="B278">
        <f t="shared" ca="1" si="37"/>
        <v>-0.29438653641563095</v>
      </c>
      <c r="C278">
        <f t="shared" ca="1" si="41"/>
        <v>3.9404911438325203</v>
      </c>
      <c r="D278" s="22">
        <f t="shared" ca="1" si="38"/>
        <v>0.38202460952280004</v>
      </c>
      <c r="F278">
        <f t="shared" si="39"/>
        <v>0.27200000000000019</v>
      </c>
      <c r="G278">
        <f t="shared" ca="1" si="40"/>
        <v>2.5930715215308219E-2</v>
      </c>
      <c r="H278">
        <f t="shared" ca="1" si="42"/>
        <v>2.5931516197571405E-2</v>
      </c>
      <c r="I278">
        <f t="shared" ca="1" si="43"/>
        <v>1.0398140083988266E-2</v>
      </c>
      <c r="J278" s="5">
        <f t="shared" ca="1" si="44"/>
        <v>1.5533376113583139E-2</v>
      </c>
    </row>
    <row r="279" spans="1:10" x14ac:dyDescent="0.2">
      <c r="A279">
        <f t="shared" ca="1" si="36"/>
        <v>0.93559776143833684</v>
      </c>
      <c r="B279">
        <f t="shared" ca="1" si="37"/>
        <v>1.518833238302931</v>
      </c>
      <c r="C279">
        <f t="shared" ca="1" si="41"/>
        <v>5.4593243821354509</v>
      </c>
      <c r="D279" s="22">
        <f t="shared" ca="1" si="38"/>
        <v>0.12588761228116543</v>
      </c>
      <c r="F279">
        <f t="shared" si="39"/>
        <v>0.27300000000000019</v>
      </c>
      <c r="G279">
        <f t="shared" ca="1" si="40"/>
        <v>2.5007236350550136E-2</v>
      </c>
      <c r="H279">
        <f t="shared" ca="1" si="42"/>
        <v>2.5007991078390152E-2</v>
      </c>
      <c r="I279">
        <f t="shared" ca="1" si="43"/>
        <v>1.0389451578294654E-2</v>
      </c>
      <c r="J279" s="5">
        <f t="shared" ca="1" si="44"/>
        <v>1.4618539500095498E-2</v>
      </c>
    </row>
    <row r="280" spans="1:10" x14ac:dyDescent="0.2">
      <c r="A280">
        <f t="shared" ca="1" si="36"/>
        <v>0.429885539593727</v>
      </c>
      <c r="B280">
        <f t="shared" ca="1" si="37"/>
        <v>-0.17666557942173206</v>
      </c>
      <c r="C280">
        <f t="shared" ca="1" si="41"/>
        <v>5.2826588027137191</v>
      </c>
      <c r="D280" s="22">
        <f t="shared" ca="1" si="38"/>
        <v>0.39276496608890105</v>
      </c>
      <c r="F280">
        <f t="shared" si="39"/>
        <v>0.27400000000000019</v>
      </c>
      <c r="G280">
        <f t="shared" ca="1" si="40"/>
        <v>2.9817467532355122E-2</v>
      </c>
      <c r="H280">
        <f t="shared" ca="1" si="42"/>
        <v>2.9818462698288868E-2</v>
      </c>
      <c r="I280">
        <f t="shared" ca="1" si="43"/>
        <v>1.0440463651455269E-2</v>
      </c>
      <c r="J280" s="5">
        <f t="shared" ca="1" si="44"/>
        <v>1.9377999046833599E-2</v>
      </c>
    </row>
    <row r="281" spans="1:10" x14ac:dyDescent="0.2">
      <c r="A281">
        <f t="shared" ca="1" si="36"/>
        <v>0.31362185975180368</v>
      </c>
      <c r="B281">
        <f t="shared" ca="1" si="37"/>
        <v>-0.48560997957200353</v>
      </c>
      <c r="C281">
        <f t="shared" ca="1" si="41"/>
        <v>4.7970488231417159</v>
      </c>
      <c r="D281" s="22">
        <f t="shared" ca="1" si="38"/>
        <v>0.35457086229941964</v>
      </c>
      <c r="F281">
        <f t="shared" si="39"/>
        <v>0.27500000000000019</v>
      </c>
      <c r="G281">
        <f t="shared" ca="1" si="40"/>
        <v>2.9265847751691797E-2</v>
      </c>
      <c r="H281">
        <f t="shared" ca="1" si="42"/>
        <v>2.9266815236892993E-2</v>
      </c>
      <c r="I281">
        <f t="shared" ca="1" si="43"/>
        <v>1.0435623889556411E-2</v>
      </c>
      <c r="J281" s="5">
        <f t="shared" ca="1" si="44"/>
        <v>1.883119134733658E-2</v>
      </c>
    </row>
    <row r="282" spans="1:10" x14ac:dyDescent="0.2">
      <c r="A282">
        <f t="shared" ca="1" si="36"/>
        <v>0.5427111249139287</v>
      </c>
      <c r="B282">
        <f t="shared" ca="1" si="37"/>
        <v>0.10726626065239081</v>
      </c>
      <c r="C282">
        <f t="shared" ca="1" si="41"/>
        <v>4.9043150837941063</v>
      </c>
      <c r="D282" s="22">
        <f t="shared" ca="1" si="38"/>
        <v>0.39665374466826858</v>
      </c>
      <c r="F282">
        <f t="shared" si="39"/>
        <v>0.27600000000000019</v>
      </c>
      <c r="G282">
        <f t="shared" ca="1" si="40"/>
        <v>2.7737364001782689E-2</v>
      </c>
      <c r="H282">
        <f t="shared" ca="1" si="42"/>
        <v>2.7738254965413933E-2</v>
      </c>
      <c r="I282">
        <f t="shared" ca="1" si="43"/>
        <v>1.0420600803228644E-2</v>
      </c>
      <c r="J282" s="5">
        <f t="shared" ca="1" si="44"/>
        <v>1.7317654162185288E-2</v>
      </c>
    </row>
    <row r="283" spans="1:10" x14ac:dyDescent="0.2">
      <c r="A283">
        <f t="shared" ca="1" si="36"/>
        <v>0.6492406542324809</v>
      </c>
      <c r="B283">
        <f t="shared" ca="1" si="37"/>
        <v>0.38327119918416169</v>
      </c>
      <c r="C283">
        <f t="shared" ca="1" si="41"/>
        <v>5.2875862829782676</v>
      </c>
      <c r="D283" s="22">
        <f t="shared" ca="1" si="38"/>
        <v>0.37069081771115192</v>
      </c>
      <c r="F283">
        <f t="shared" si="39"/>
        <v>0.27700000000000019</v>
      </c>
      <c r="G283">
        <f t="shared" ca="1" si="40"/>
        <v>2.808377864425389E-2</v>
      </c>
      <c r="H283">
        <f t="shared" ca="1" si="42"/>
        <v>2.8084686839668246E-2</v>
      </c>
      <c r="I283">
        <f t="shared" ca="1" si="43"/>
        <v>1.0425126469956275E-2</v>
      </c>
      <c r="J283" s="5">
        <f t="shared" ca="1" si="44"/>
        <v>1.7659560369711971E-2</v>
      </c>
    </row>
    <row r="284" spans="1:10" x14ac:dyDescent="0.2">
      <c r="A284">
        <f t="shared" ca="1" si="36"/>
        <v>0.10114999101338529</v>
      </c>
      <c r="B284">
        <f t="shared" ca="1" si="37"/>
        <v>-1.2750261623338082</v>
      </c>
      <c r="C284">
        <f t="shared" ca="1" si="41"/>
        <v>4.0125601206444594</v>
      </c>
      <c r="D284" s="22">
        <f t="shared" ca="1" si="38"/>
        <v>0.17696834742230885</v>
      </c>
      <c r="F284">
        <f t="shared" si="39"/>
        <v>0.27800000000000019</v>
      </c>
      <c r="G284">
        <f t="shared" ca="1" si="40"/>
        <v>2.9302919259813726E-2</v>
      </c>
      <c r="H284">
        <f t="shared" ca="1" si="42"/>
        <v>2.93038883219503E-2</v>
      </c>
      <c r="I284">
        <f t="shared" ca="1" si="43"/>
        <v>1.0438761122364797E-2</v>
      </c>
      <c r="J284" s="5">
        <f t="shared" ca="1" si="44"/>
        <v>1.8865127199585503E-2</v>
      </c>
    </row>
    <row r="285" spans="1:10" x14ac:dyDescent="0.2">
      <c r="A285">
        <f t="shared" ca="1" si="36"/>
        <v>0.77936868967449657</v>
      </c>
      <c r="B285">
        <f t="shared" ca="1" si="37"/>
        <v>0.7700628347861167</v>
      </c>
      <c r="C285">
        <f t="shared" ca="1" si="41"/>
        <v>4.7826229554305764</v>
      </c>
      <c r="D285" s="22">
        <f t="shared" ca="1" si="38"/>
        <v>0.29658040467512276</v>
      </c>
      <c r="F285">
        <f t="shared" si="39"/>
        <v>0.27900000000000019</v>
      </c>
      <c r="G285">
        <f t="shared" ca="1" si="40"/>
        <v>2.527820345607356E-2</v>
      </c>
      <c r="H285">
        <f t="shared" ca="1" si="42"/>
        <v>2.5278971183839684E-2</v>
      </c>
      <c r="I285">
        <f t="shared" ca="1" si="43"/>
        <v>1.0397744651776899E-2</v>
      </c>
      <c r="J285" s="5">
        <f t="shared" ca="1" si="44"/>
        <v>1.4881226532062785E-2</v>
      </c>
    </row>
    <row r="286" spans="1:10" x14ac:dyDescent="0.2">
      <c r="A286">
        <f t="shared" ca="1" si="36"/>
        <v>0.55234618688871473</v>
      </c>
      <c r="B286">
        <f t="shared" ca="1" si="37"/>
        <v>0.13159122547877342</v>
      </c>
      <c r="C286">
        <f t="shared" ca="1" si="41"/>
        <v>4.91421418090935</v>
      </c>
      <c r="D286" s="22">
        <f t="shared" ca="1" si="38"/>
        <v>0.39550309806577305</v>
      </c>
      <c r="F286">
        <f t="shared" si="39"/>
        <v>0.28000000000000019</v>
      </c>
      <c r="G286">
        <f t="shared" ca="1" si="40"/>
        <v>2.772070600894954E-2</v>
      </c>
      <c r="H286">
        <f t="shared" ca="1" si="42"/>
        <v>2.7721595786091367E-2</v>
      </c>
      <c r="I286">
        <f t="shared" ca="1" si="43"/>
        <v>1.0424085840955921E-2</v>
      </c>
      <c r="J286" s="5">
        <f t="shared" ca="1" si="44"/>
        <v>1.7297509945135445E-2</v>
      </c>
    </row>
    <row r="287" spans="1:10" x14ac:dyDescent="0.2">
      <c r="A287">
        <f t="shared" ca="1" si="36"/>
        <v>0.63526410727781435</v>
      </c>
      <c r="B287">
        <f t="shared" ca="1" si="37"/>
        <v>0.34582826029011432</v>
      </c>
      <c r="C287">
        <f t="shared" ca="1" si="41"/>
        <v>5.260042441199464</v>
      </c>
      <c r="D287" s="22">
        <f t="shared" ca="1" si="38"/>
        <v>0.37578536888403918</v>
      </c>
      <c r="F287">
        <f t="shared" si="39"/>
        <v>0.28100000000000019</v>
      </c>
      <c r="G287">
        <f t="shared" ca="1" si="40"/>
        <v>2.8144040764037193E-2</v>
      </c>
      <c r="H287">
        <f t="shared" ca="1" si="42"/>
        <v>2.8144951619118463E-2</v>
      </c>
      <c r="I287">
        <f t="shared" ca="1" si="43"/>
        <v>1.0429415244914305E-2</v>
      </c>
      <c r="J287" s="5">
        <f t="shared" ca="1" si="44"/>
        <v>1.7715536374204158E-2</v>
      </c>
    </row>
    <row r="288" spans="1:10" x14ac:dyDescent="0.2">
      <c r="A288">
        <f t="shared" ca="1" si="36"/>
        <v>0.79612781375274411</v>
      </c>
      <c r="B288">
        <f t="shared" ca="1" si="37"/>
        <v>0.82786956547988799</v>
      </c>
      <c r="C288">
        <f t="shared" ca="1" si="41"/>
        <v>6.0879120066793515</v>
      </c>
      <c r="D288" s="22">
        <f t="shared" ca="1" si="38"/>
        <v>0.28319415912649393</v>
      </c>
      <c r="F288">
        <f t="shared" si="39"/>
        <v>0.28200000000000019</v>
      </c>
      <c r="G288">
        <f t="shared" ca="1" si="40"/>
        <v>2.9244776304492452E-2</v>
      </c>
      <c r="H288">
        <f t="shared" ca="1" si="42"/>
        <v>2.9245742105726873E-2</v>
      </c>
      <c r="I288">
        <f t="shared" ca="1" si="43"/>
        <v>1.0441819069995178E-2</v>
      </c>
      <c r="J288" s="5">
        <f t="shared" ca="1" si="44"/>
        <v>1.8803923035731696E-2</v>
      </c>
    </row>
    <row r="289" spans="1:10" x14ac:dyDescent="0.2">
      <c r="A289">
        <f t="shared" ca="1" si="36"/>
        <v>0.42775776486100014</v>
      </c>
      <c r="B289">
        <f t="shared" ca="1" si="37"/>
        <v>-0.18208562502004086</v>
      </c>
      <c r="C289">
        <f t="shared" ca="1" si="41"/>
        <v>5.9058263816593106</v>
      </c>
      <c r="D289" s="22">
        <f t="shared" ca="1" si="38"/>
        <v>0.3923832961491856</v>
      </c>
      <c r="F289">
        <f t="shared" si="39"/>
        <v>0.2830000000000002</v>
      </c>
      <c r="G289">
        <f t="shared" ca="1" si="40"/>
        <v>3.186967401333024E-2</v>
      </c>
      <c r="H289">
        <f t="shared" ca="1" si="42"/>
        <v>3.1870770963966656E-2</v>
      </c>
      <c r="I289">
        <f t="shared" ca="1" si="43"/>
        <v>1.0470185700157007E-2</v>
      </c>
      <c r="J289" s="5">
        <f t="shared" ca="1" si="44"/>
        <v>2.1400585263809647E-2</v>
      </c>
    </row>
    <row r="290" spans="1:10" x14ac:dyDescent="0.2">
      <c r="A290">
        <f t="shared" ca="1" si="36"/>
        <v>0.75281981499051454</v>
      </c>
      <c r="B290">
        <f t="shared" ca="1" si="37"/>
        <v>0.68339010642921338</v>
      </c>
      <c r="C290">
        <f t="shared" ca="1" si="41"/>
        <v>6.5892164880885238</v>
      </c>
      <c r="D290" s="22">
        <f t="shared" ca="1" si="38"/>
        <v>0.31586210033475898</v>
      </c>
      <c r="F290">
        <f t="shared" si="39"/>
        <v>0.2840000000000002</v>
      </c>
      <c r="G290">
        <f t="shared" ca="1" si="40"/>
        <v>3.1300710190115627E-2</v>
      </c>
      <c r="H290">
        <f t="shared" ca="1" si="42"/>
        <v>3.1301778582631584E-2</v>
      </c>
      <c r="I290">
        <f t="shared" ca="1" si="43"/>
        <v>1.0465152789358067E-2</v>
      </c>
      <c r="J290" s="5">
        <f t="shared" ca="1" si="44"/>
        <v>2.0836625793273517E-2</v>
      </c>
    </row>
    <row r="291" spans="1:10" x14ac:dyDescent="0.2">
      <c r="A291">
        <f t="shared" ca="1" si="36"/>
        <v>0.1017790217978165</v>
      </c>
      <c r="B291">
        <f t="shared" ca="1" si="37"/>
        <v>-1.2714797033315326</v>
      </c>
      <c r="C291">
        <f t="shared" ca="1" si="41"/>
        <v>5.317736784756991</v>
      </c>
      <c r="D291" s="22">
        <f t="shared" ca="1" si="38"/>
        <v>0.17776926187397787</v>
      </c>
      <c r="F291">
        <f t="shared" si="39"/>
        <v>0.2850000000000002</v>
      </c>
      <c r="G291">
        <f t="shared" ca="1" si="40"/>
        <v>3.3468540993391499E-2</v>
      </c>
      <c r="H291">
        <f t="shared" ca="1" si="42"/>
        <v>3.3469717671514514E-2</v>
      </c>
      <c r="I291">
        <f t="shared" ca="1" si="43"/>
        <v>1.0488789551999141E-2</v>
      </c>
      <c r="J291" s="5">
        <f t="shared" ca="1" si="44"/>
        <v>2.2980928119515374E-2</v>
      </c>
    </row>
    <row r="292" spans="1:10" x14ac:dyDescent="0.2">
      <c r="A292">
        <f t="shared" ca="1" si="36"/>
        <v>0.84410254861110334</v>
      </c>
      <c r="B292">
        <f t="shared" ca="1" si="37"/>
        <v>1.011462955272409</v>
      </c>
      <c r="C292">
        <f t="shared" ca="1" si="41"/>
        <v>6.3291997400294004</v>
      </c>
      <c r="D292" s="22">
        <f t="shared" ca="1" si="38"/>
        <v>0.23919714606364972</v>
      </c>
      <c r="F292">
        <f t="shared" si="39"/>
        <v>0.2860000000000002</v>
      </c>
      <c r="G292">
        <f t="shared" ca="1" si="40"/>
        <v>2.9454622975659945E-2</v>
      </c>
      <c r="H292">
        <f t="shared" ca="1" si="42"/>
        <v>2.9455598838544539E-2</v>
      </c>
      <c r="I292">
        <f t="shared" ca="1" si="43"/>
        <v>1.0447693676413527E-2</v>
      </c>
      <c r="J292" s="5">
        <f t="shared" ca="1" si="44"/>
        <v>1.9007905162131012E-2</v>
      </c>
    </row>
    <row r="293" spans="1:10" x14ac:dyDescent="0.2">
      <c r="A293">
        <f t="shared" ca="1" si="36"/>
        <v>0.41818896173371345</v>
      </c>
      <c r="B293">
        <f t="shared" ca="1" si="37"/>
        <v>-0.20652873216655004</v>
      </c>
      <c r="C293">
        <f t="shared" ca="1" si="41"/>
        <v>6.1226710078628503</v>
      </c>
      <c r="D293" s="22">
        <f t="shared" ca="1" si="38"/>
        <v>0.39052410158078738</v>
      </c>
      <c r="F293">
        <f t="shared" si="39"/>
        <v>0.2870000000000002</v>
      </c>
      <c r="G293">
        <f t="shared" ca="1" si="40"/>
        <v>3.2660043948521011E-2</v>
      </c>
      <c r="H293">
        <f t="shared" ca="1" si="42"/>
        <v>3.2661179986206511E-2</v>
      </c>
      <c r="I293">
        <f t="shared" ca="1" si="43"/>
        <v>1.0482160161557985E-2</v>
      </c>
      <c r="J293" s="5">
        <f t="shared" ca="1" si="44"/>
        <v>2.2179019824648524E-2</v>
      </c>
    </row>
    <row r="294" spans="1:10" x14ac:dyDescent="0.2">
      <c r="A294">
        <f t="shared" ca="1" si="36"/>
        <v>0.10155484766196332</v>
      </c>
      <c r="B294">
        <f t="shared" ca="1" si="37"/>
        <v>-1.2727417556363969</v>
      </c>
      <c r="C294">
        <f t="shared" ca="1" si="41"/>
        <v>4.8499292522264534</v>
      </c>
      <c r="D294" s="22">
        <f t="shared" ca="1" si="38"/>
        <v>0.17748408758833756</v>
      </c>
      <c r="F294">
        <f t="shared" si="39"/>
        <v>0.2880000000000002</v>
      </c>
      <c r="G294">
        <f t="shared" ca="1" si="40"/>
        <v>3.2013709065223647E-2</v>
      </c>
      <c r="H294">
        <f t="shared" ca="1" si="42"/>
        <v>3.201481267229471E-2</v>
      </c>
      <c r="I294">
        <f t="shared" ca="1" si="43"/>
        <v>1.0476311687608025E-2</v>
      </c>
      <c r="J294" s="5">
        <f t="shared" ca="1" si="44"/>
        <v>2.1538500984686685E-2</v>
      </c>
    </row>
    <row r="295" spans="1:10" x14ac:dyDescent="0.2">
      <c r="A295">
        <f t="shared" ca="1" si="36"/>
        <v>0.15853705252327577</v>
      </c>
      <c r="B295">
        <f t="shared" ca="1" si="37"/>
        <v>-1.0004886140375271</v>
      </c>
      <c r="C295">
        <f t="shared" ca="1" si="41"/>
        <v>3.8494406381889261</v>
      </c>
      <c r="D295" s="22">
        <f t="shared" ca="1" si="38"/>
        <v>0.24185249423588046</v>
      </c>
      <c r="F295">
        <f t="shared" si="39"/>
        <v>0.2890000000000002</v>
      </c>
      <c r="G295">
        <f t="shared" ca="1" si="40"/>
        <v>2.7995945763141034E-2</v>
      </c>
      <c r="H295">
        <f t="shared" ca="1" si="42"/>
        <v>2.7996848370015016E-2</v>
      </c>
      <c r="I295">
        <f t="shared" ca="1" si="43"/>
        <v>1.043522305460565E-2</v>
      </c>
      <c r="J295" s="5">
        <f t="shared" ca="1" si="44"/>
        <v>1.7561625315409366E-2</v>
      </c>
    </row>
    <row r="296" spans="1:10" x14ac:dyDescent="0.2">
      <c r="A296">
        <f t="shared" ca="1" si="36"/>
        <v>0.18673394773428942</v>
      </c>
      <c r="B296">
        <f t="shared" ca="1" si="37"/>
        <v>-0.88999625780256664</v>
      </c>
      <c r="C296">
        <f t="shared" ca="1" si="41"/>
        <v>2.9594443803863593</v>
      </c>
      <c r="D296" s="22">
        <f t="shared" ca="1" si="38"/>
        <v>0.26847829597555667</v>
      </c>
      <c r="F296">
        <f t="shared" si="39"/>
        <v>0.2900000000000002</v>
      </c>
      <c r="G296">
        <f t="shared" ca="1" si="40"/>
        <v>2.4839481199681417E-2</v>
      </c>
      <c r="H296">
        <f t="shared" ca="1" si="42"/>
        <v>2.484022589175432E-2</v>
      </c>
      <c r="I296">
        <f t="shared" ca="1" si="43"/>
        <v>1.0403248291775694E-2</v>
      </c>
      <c r="J296" s="5">
        <f t="shared" ca="1" si="44"/>
        <v>1.4436977599978626E-2</v>
      </c>
    </row>
    <row r="297" spans="1:10" x14ac:dyDescent="0.2">
      <c r="A297">
        <f t="shared" ca="1" si="36"/>
        <v>0.47986398915619133</v>
      </c>
      <c r="B297">
        <f t="shared" ca="1" si="37"/>
        <v>-5.0494944072824205E-2</v>
      </c>
      <c r="C297">
        <f t="shared" ca="1" si="41"/>
        <v>2.9089494363135349</v>
      </c>
      <c r="D297" s="22">
        <f t="shared" ca="1" si="38"/>
        <v>0.39843400504197024</v>
      </c>
      <c r="F297">
        <f t="shared" si="39"/>
        <v>0.2910000000000002</v>
      </c>
      <c r="G297">
        <f t="shared" ca="1" si="40"/>
        <v>2.2032722306989942E-2</v>
      </c>
      <c r="H297">
        <f t="shared" ca="1" si="42"/>
        <v>2.203332658548263E-2</v>
      </c>
      <c r="I297">
        <f t="shared" ca="1" si="43"/>
        <v>1.0374995971677639E-2</v>
      </c>
      <c r="J297" s="5">
        <f t="shared" ca="1" si="44"/>
        <v>1.1658330613804991E-2</v>
      </c>
    </row>
    <row r="298" spans="1:10" x14ac:dyDescent="0.2">
      <c r="A298">
        <f t="shared" ca="1" si="36"/>
        <v>0.17311130650574447</v>
      </c>
      <c r="B298">
        <f t="shared" ca="1" si="37"/>
        <v>-0.94194145790172312</v>
      </c>
      <c r="C298">
        <f t="shared" ca="1" si="41"/>
        <v>1.9670079784118117</v>
      </c>
      <c r="D298" s="22">
        <f t="shared" ca="1" si="38"/>
        <v>0.2560031862574963</v>
      </c>
      <c r="F298">
        <f t="shared" si="39"/>
        <v>0.2920000000000002</v>
      </c>
      <c r="G298">
        <f t="shared" ca="1" si="40"/>
        <v>2.1880847594961936E-2</v>
      </c>
      <c r="H298">
        <f t="shared" ca="1" si="42"/>
        <v>2.1881444219231137E-2</v>
      </c>
      <c r="I298">
        <f t="shared" ca="1" si="43"/>
        <v>1.0374324948665454E-2</v>
      </c>
      <c r="J298" s="5">
        <f t="shared" ca="1" si="44"/>
        <v>1.1507119270565682E-2</v>
      </c>
    </row>
    <row r="299" spans="1:10" x14ac:dyDescent="0.2">
      <c r="A299">
        <f t="shared" ca="1" si="36"/>
        <v>0.36793400635188156</v>
      </c>
      <c r="B299">
        <f t="shared" ca="1" si="37"/>
        <v>-0.33733017806106552</v>
      </c>
      <c r="C299">
        <f t="shared" ca="1" si="41"/>
        <v>1.6296778003507462</v>
      </c>
      <c r="D299" s="22">
        <f t="shared" ca="1" si="38"/>
        <v>0.37687777146627638</v>
      </c>
      <c r="F299">
        <f t="shared" si="39"/>
        <v>0.2930000000000002</v>
      </c>
      <c r="G299">
        <f t="shared" ca="1" si="40"/>
        <v>1.8910127617926806E-2</v>
      </c>
      <c r="H299">
        <f t="shared" ca="1" si="42"/>
        <v>1.8910575645300159E-2</v>
      </c>
      <c r="I299">
        <f t="shared" ca="1" si="43"/>
        <v>1.0344451803844287E-2</v>
      </c>
      <c r="J299" s="5">
        <f t="shared" ca="1" si="44"/>
        <v>8.5661238414558721E-3</v>
      </c>
    </row>
    <row r="300" spans="1:10" x14ac:dyDescent="0.2">
      <c r="A300">
        <f t="shared" ca="1" si="36"/>
        <v>0.99237378494793327</v>
      </c>
      <c r="B300">
        <f t="shared" ca="1" si="37"/>
        <v>2.4263291469166739</v>
      </c>
      <c r="C300">
        <f t="shared" ca="1" si="41"/>
        <v>4.0560069472674201</v>
      </c>
      <c r="D300" s="22">
        <f t="shared" ca="1" si="38"/>
        <v>2.1015918643134464E-2</v>
      </c>
      <c r="F300">
        <f t="shared" si="39"/>
        <v>0.29400000000000021</v>
      </c>
      <c r="G300">
        <f t="shared" ca="1" si="40"/>
        <v>1.7851557847908085E-2</v>
      </c>
      <c r="H300">
        <f t="shared" ca="1" si="42"/>
        <v>1.78519529015525E-2</v>
      </c>
      <c r="I300">
        <f t="shared" ca="1" si="43"/>
        <v>1.0334404654607528E-2</v>
      </c>
      <c r="J300" s="5">
        <f t="shared" ca="1" si="44"/>
        <v>7.517548246944972E-3</v>
      </c>
    </row>
    <row r="301" spans="1:10" x14ac:dyDescent="0.2">
      <c r="A301">
        <f t="shared" ca="1" si="36"/>
        <v>0.2243153503190809</v>
      </c>
      <c r="B301">
        <f t="shared" ca="1" si="37"/>
        <v>-0.7576998302857062</v>
      </c>
      <c r="C301">
        <f t="shared" ca="1" si="41"/>
        <v>3.298307116981714</v>
      </c>
      <c r="D301" s="22">
        <f t="shared" ca="1" si="38"/>
        <v>0.29939453821072087</v>
      </c>
      <c r="F301">
        <f t="shared" si="39"/>
        <v>0.29500000000000021</v>
      </c>
      <c r="G301">
        <f t="shared" ca="1" si="40"/>
        <v>2.5532115118566047E-2</v>
      </c>
      <c r="H301">
        <f t="shared" ca="1" si="42"/>
        <v>2.5532894163772343E-2</v>
      </c>
      <c r="I301">
        <f t="shared" ca="1" si="43"/>
        <v>1.0414992068355011E-2</v>
      </c>
      <c r="J301" s="5">
        <f t="shared" ca="1" si="44"/>
        <v>1.5117902095417333E-2</v>
      </c>
    </row>
    <row r="302" spans="1:10" x14ac:dyDescent="0.2">
      <c r="A302">
        <f t="shared" ca="1" si="36"/>
        <v>0.75969995962608605</v>
      </c>
      <c r="B302">
        <f t="shared" ca="1" si="37"/>
        <v>0.70533773793407517</v>
      </c>
      <c r="C302">
        <f t="shared" ca="1" si="41"/>
        <v>4.0036448549157893</v>
      </c>
      <c r="D302" s="22">
        <f t="shared" ca="1" si="38"/>
        <v>0.31108496788577555</v>
      </c>
      <c r="F302">
        <f t="shared" si="39"/>
        <v>0.29600000000000021</v>
      </c>
      <c r="G302">
        <f t="shared" ca="1" si="40"/>
        <v>2.3143624086172071E-2</v>
      </c>
      <c r="H302">
        <f t="shared" ca="1" si="42"/>
        <v>2.3144283627930105E-2</v>
      </c>
      <c r="I302">
        <f t="shared" ca="1" si="43"/>
        <v>1.0391054127233441E-2</v>
      </c>
      <c r="J302" s="5">
        <f t="shared" ca="1" si="44"/>
        <v>1.2753229500696664E-2</v>
      </c>
    </row>
    <row r="303" spans="1:10" x14ac:dyDescent="0.2">
      <c r="A303">
        <f t="shared" ca="1" si="36"/>
        <v>7.485947909775148E-2</v>
      </c>
      <c r="B303">
        <f t="shared" ca="1" si="37"/>
        <v>-1.4405248728283542</v>
      </c>
      <c r="C303">
        <f t="shared" ca="1" si="41"/>
        <v>2.5631199820874349</v>
      </c>
      <c r="D303" s="22">
        <f t="shared" ca="1" si="38"/>
        <v>0.14135306832047884</v>
      </c>
      <c r="F303">
        <f t="shared" si="39"/>
        <v>0.29700000000000021</v>
      </c>
      <c r="G303">
        <f t="shared" ca="1" si="40"/>
        <v>2.5381671591995048E-2</v>
      </c>
      <c r="H303">
        <f t="shared" ca="1" si="42"/>
        <v>2.5382442971109937E-2</v>
      </c>
      <c r="I303">
        <f t="shared" ca="1" si="43"/>
        <v>1.0415246369374999E-2</v>
      </c>
      <c r="J303" s="5">
        <f t="shared" ca="1" si="44"/>
        <v>1.4967196601734938E-2</v>
      </c>
    </row>
    <row r="304" spans="1:10" x14ac:dyDescent="0.2">
      <c r="A304">
        <f t="shared" ca="1" si="36"/>
        <v>0.57284872437860257</v>
      </c>
      <c r="B304">
        <f t="shared" ca="1" si="37"/>
        <v>0.18363149827413477</v>
      </c>
      <c r="C304">
        <f t="shared" ca="1" si="41"/>
        <v>2.7467514803615698</v>
      </c>
      <c r="D304" s="22">
        <f t="shared" ca="1" si="38"/>
        <v>0.39227239442126277</v>
      </c>
      <c r="F304">
        <f t="shared" si="39"/>
        <v>0.29800000000000021</v>
      </c>
      <c r="G304">
        <f t="shared" ca="1" si="40"/>
        <v>2.0834021184985979E-2</v>
      </c>
      <c r="H304">
        <f t="shared" ca="1" si="42"/>
        <v>2.0834565102550828E-2</v>
      </c>
      <c r="I304">
        <f t="shared" ca="1" si="43"/>
        <v>1.0368894283167056E-2</v>
      </c>
      <c r="J304" s="5">
        <f t="shared" ca="1" si="44"/>
        <v>1.0465670819383772E-2</v>
      </c>
    </row>
    <row r="305" spans="1:10" x14ac:dyDescent="0.2">
      <c r="A305">
        <f t="shared" ca="1" si="36"/>
        <v>0.46747137105085135</v>
      </c>
      <c r="B305">
        <f t="shared" ca="1" si="37"/>
        <v>-8.1627739329993981E-2</v>
      </c>
      <c r="C305">
        <f t="shared" ca="1" si="41"/>
        <v>2.665123741031576</v>
      </c>
      <c r="D305" s="22">
        <f t="shared" ca="1" si="38"/>
        <v>0.39761539818556019</v>
      </c>
      <c r="F305">
        <f t="shared" si="39"/>
        <v>0.29900000000000021</v>
      </c>
      <c r="G305">
        <f t="shared" ca="1" si="40"/>
        <v>2.1422602138266817E-2</v>
      </c>
      <c r="H305">
        <f t="shared" ca="1" si="42"/>
        <v>2.142317543073612E-2</v>
      </c>
      <c r="I305">
        <f t="shared" ca="1" si="43"/>
        <v>1.03759028481436E-2</v>
      </c>
      <c r="J305" s="5">
        <f t="shared" ca="1" si="44"/>
        <v>1.104727258259252E-2</v>
      </c>
    </row>
    <row r="306" spans="1:10" x14ac:dyDescent="0.2">
      <c r="A306">
        <f t="shared" ca="1" si="36"/>
        <v>0.55548340902760174</v>
      </c>
      <c r="B306">
        <f t="shared" ca="1" si="37"/>
        <v>0.13952768309373287</v>
      </c>
      <c r="C306">
        <f t="shared" ca="1" si="41"/>
        <v>2.8046514241253089</v>
      </c>
      <c r="D306" s="22">
        <f t="shared" ca="1" si="38"/>
        <v>0.39507782017691873</v>
      </c>
      <c r="F306">
        <f t="shared" si="39"/>
        <v>0.30000000000000021</v>
      </c>
      <c r="G306">
        <f t="shared" ca="1" si="40"/>
        <v>2.1172342814586891E-2</v>
      </c>
      <c r="H306">
        <f t="shared" ca="1" si="42"/>
        <v>2.1172903536659758E-2</v>
      </c>
      <c r="I306">
        <f t="shared" ca="1" si="43"/>
        <v>1.0374210369556243E-2</v>
      </c>
      <c r="J306" s="5">
        <f t="shared" ca="1" si="44"/>
        <v>1.0798693167103515E-2</v>
      </c>
    </row>
    <row r="307" spans="1:10" x14ac:dyDescent="0.2">
      <c r="A307">
        <f t="shared" ca="1" si="36"/>
        <v>0.33187282808066731</v>
      </c>
      <c r="B307">
        <f t="shared" ca="1" si="37"/>
        <v>-0.43474758256920776</v>
      </c>
      <c r="C307">
        <f t="shared" ca="1" si="41"/>
        <v>2.3699038415561011</v>
      </c>
      <c r="D307" s="22">
        <f t="shared" ca="1" si="38"/>
        <v>0.36296776022106531</v>
      </c>
      <c r="F307">
        <f t="shared" si="39"/>
        <v>0.30100000000000021</v>
      </c>
      <c r="G307">
        <f t="shared" ca="1" si="40"/>
        <v>2.1621428401058067E-2</v>
      </c>
      <c r="H307">
        <f t="shared" ca="1" si="42"/>
        <v>2.1622011521528459E-2</v>
      </c>
      <c r="I307">
        <f t="shared" ca="1" si="43"/>
        <v>1.0379774775120995E-2</v>
      </c>
      <c r="J307" s="5">
        <f t="shared" ca="1" si="44"/>
        <v>1.1242236746407465E-2</v>
      </c>
    </row>
    <row r="308" spans="1:10" x14ac:dyDescent="0.2">
      <c r="A308">
        <f t="shared" ca="1" si="36"/>
        <v>0.91473354793508665</v>
      </c>
      <c r="B308">
        <f t="shared" ca="1" si="37"/>
        <v>1.3704934965556643</v>
      </c>
      <c r="C308">
        <f t="shared" ca="1" si="41"/>
        <v>3.7403973381117654</v>
      </c>
      <c r="D308" s="22">
        <f t="shared" ca="1" si="38"/>
        <v>0.15597418826608792</v>
      </c>
      <c r="F308">
        <f t="shared" si="39"/>
        <v>0.30200000000000021</v>
      </c>
      <c r="G308">
        <f t="shared" ca="1" si="40"/>
        <v>2.0254542034931735E-2</v>
      </c>
      <c r="H308">
        <f t="shared" ca="1" si="42"/>
        <v>2.0255056752205493E-2</v>
      </c>
      <c r="I308">
        <f t="shared" ca="1" si="43"/>
        <v>1.0366499313235194E-2</v>
      </c>
      <c r="J308" s="5">
        <f t="shared" ca="1" si="44"/>
        <v>9.8885574389702986E-3</v>
      </c>
    </row>
    <row r="309" spans="1:10" x14ac:dyDescent="0.2">
      <c r="A309">
        <f t="shared" ca="1" si="36"/>
        <v>6.7500960717557512E-2</v>
      </c>
      <c r="B309">
        <f t="shared" ca="1" si="37"/>
        <v>-1.4946648911250437</v>
      </c>
      <c r="C309">
        <f t="shared" ca="1" si="41"/>
        <v>2.2457324469867217</v>
      </c>
      <c r="D309" s="22">
        <f t="shared" ca="1" si="38"/>
        <v>0.13055638173389669</v>
      </c>
      <c r="F309">
        <f t="shared" si="39"/>
        <v>0.30300000000000021</v>
      </c>
      <c r="G309">
        <f t="shared" ca="1" si="40"/>
        <v>2.4596180464558415E-2</v>
      </c>
      <c r="H309">
        <f t="shared" ca="1" si="42"/>
        <v>2.45969122140943E-2</v>
      </c>
      <c r="I309">
        <f t="shared" ca="1" si="43"/>
        <v>1.0412513124376721E-2</v>
      </c>
      <c r="J309" s="5">
        <f t="shared" ca="1" si="44"/>
        <v>1.4184399089717579E-2</v>
      </c>
    </row>
    <row r="310" spans="1:10" x14ac:dyDescent="0.2">
      <c r="A310">
        <f t="shared" ca="1" si="36"/>
        <v>0.86394391233040857</v>
      </c>
      <c r="B310">
        <f t="shared" ca="1" si="37"/>
        <v>1.0982114322285186</v>
      </c>
      <c r="C310">
        <f t="shared" ca="1" si="41"/>
        <v>3.3439438792152405</v>
      </c>
      <c r="D310" s="22">
        <f t="shared" ca="1" si="38"/>
        <v>0.21828085751918849</v>
      </c>
      <c r="F310">
        <f t="shared" si="39"/>
        <v>0.30400000000000021</v>
      </c>
      <c r="G310">
        <f t="shared" ca="1" si="40"/>
        <v>1.9877411392285892E-2</v>
      </c>
      <c r="H310">
        <f t="shared" ca="1" si="42"/>
        <v>1.9877907128230163E-2</v>
      </c>
      <c r="I310">
        <f t="shared" ca="1" si="43"/>
        <v>1.0364398605467626E-2</v>
      </c>
      <c r="J310" s="5">
        <f t="shared" ca="1" si="44"/>
        <v>9.5135085227625368E-3</v>
      </c>
    </row>
    <row r="311" spans="1:10" x14ac:dyDescent="0.2">
      <c r="A311">
        <f t="shared" ca="1" si="36"/>
        <v>0.50842225869234359</v>
      </c>
      <c r="B311">
        <f t="shared" ca="1" si="37"/>
        <v>2.1113040229391731E-2</v>
      </c>
      <c r="C311">
        <f t="shared" ca="1" si="41"/>
        <v>3.365056919444632</v>
      </c>
      <c r="D311" s="22">
        <f t="shared" ca="1" si="38"/>
        <v>0.39885337396079079</v>
      </c>
      <c r="F311">
        <f t="shared" si="39"/>
        <v>0.30500000000000022</v>
      </c>
      <c r="G311">
        <f t="shared" ca="1" si="40"/>
        <v>2.3358099093585712E-2</v>
      </c>
      <c r="H311">
        <f t="shared" ca="1" si="42"/>
        <v>2.3358768815795104E-2</v>
      </c>
      <c r="I311">
        <f t="shared" ca="1" si="43"/>
        <v>1.0401443265212968E-2</v>
      </c>
      <c r="J311" s="5">
        <f t="shared" ca="1" si="44"/>
        <v>1.2957325550582136E-2</v>
      </c>
    </row>
    <row r="312" spans="1:10" x14ac:dyDescent="0.2">
      <c r="A312">
        <f t="shared" ca="1" si="36"/>
        <v>0.37820945272964779</v>
      </c>
      <c r="B312">
        <f t="shared" ca="1" si="37"/>
        <v>-0.310186803214413</v>
      </c>
      <c r="C312">
        <f t="shared" ca="1" si="41"/>
        <v>3.054870116230219</v>
      </c>
      <c r="D312" s="22">
        <f t="shared" ca="1" si="38"/>
        <v>0.38020433022851474</v>
      </c>
      <c r="F312">
        <f t="shared" si="39"/>
        <v>0.30600000000000022</v>
      </c>
      <c r="G312">
        <f t="shared" ca="1" si="40"/>
        <v>2.343252485780958E-2</v>
      </c>
      <c r="H312">
        <f t="shared" ca="1" si="42"/>
        <v>2.3433198234369165E-2</v>
      </c>
      <c r="I312">
        <f t="shared" ca="1" si="43"/>
        <v>1.0403125993855809E-2</v>
      </c>
      <c r="J312" s="5">
        <f t="shared" ca="1" si="44"/>
        <v>1.3030072240513356E-2</v>
      </c>
    </row>
    <row r="313" spans="1:10" x14ac:dyDescent="0.2">
      <c r="A313">
        <f t="shared" ca="1" si="36"/>
        <v>0.72811992571715767</v>
      </c>
      <c r="B313">
        <f t="shared" ca="1" si="37"/>
        <v>0.60713677201449423</v>
      </c>
      <c r="C313">
        <f t="shared" ca="1" si="41"/>
        <v>3.6620068882447132</v>
      </c>
      <c r="D313" s="22">
        <f t="shared" ca="1" si="38"/>
        <v>0.33179231495565964</v>
      </c>
      <c r="F313">
        <f t="shared" si="39"/>
        <v>0.30700000000000022</v>
      </c>
      <c r="G313">
        <f t="shared" ca="1" si="40"/>
        <v>2.245933346701167E-2</v>
      </c>
      <c r="H313">
        <f t="shared" ca="1" si="42"/>
        <v>2.2459958116261745E-2</v>
      </c>
      <c r="I313">
        <f t="shared" ca="1" si="43"/>
        <v>1.0393913978895462E-2</v>
      </c>
      <c r="J313" s="5">
        <f t="shared" ca="1" si="44"/>
        <v>1.2066044137366283E-2</v>
      </c>
    </row>
    <row r="314" spans="1:10" x14ac:dyDescent="0.2">
      <c r="A314">
        <f t="shared" ca="1" si="36"/>
        <v>0.18407694582027778</v>
      </c>
      <c r="B314">
        <f t="shared" ca="1" si="37"/>
        <v>-0.89993678719482184</v>
      </c>
      <c r="C314">
        <f t="shared" ca="1" si="41"/>
        <v>2.7620701010498916</v>
      </c>
      <c r="D314" s="22">
        <f t="shared" ca="1" si="38"/>
        <v>0.26610038779328143</v>
      </c>
      <c r="F314">
        <f t="shared" si="39"/>
        <v>0.30800000000000022</v>
      </c>
      <c r="G314">
        <f t="shared" ca="1" si="40"/>
        <v>2.4386926204029886E-2</v>
      </c>
      <c r="H314">
        <f t="shared" ca="1" si="42"/>
        <v>2.4387647171258298E-2</v>
      </c>
      <c r="I314">
        <f t="shared" ca="1" si="43"/>
        <v>1.0414878154119544E-2</v>
      </c>
      <c r="J314" s="5">
        <f t="shared" ca="1" si="44"/>
        <v>1.3972769017138753E-2</v>
      </c>
    </row>
    <row r="315" spans="1:10" x14ac:dyDescent="0.2">
      <c r="A315">
        <f t="shared" ca="1" si="36"/>
        <v>0.61213030567572013</v>
      </c>
      <c r="B315">
        <f t="shared" ca="1" si="37"/>
        <v>0.28487568026504373</v>
      </c>
      <c r="C315">
        <f t="shared" ca="1" si="41"/>
        <v>3.0469457813149354</v>
      </c>
      <c r="D315" s="22">
        <f t="shared" ca="1" si="38"/>
        <v>0.38307840046077135</v>
      </c>
      <c r="F315">
        <f t="shared" si="39"/>
        <v>0.30900000000000022</v>
      </c>
      <c r="G315">
        <f t="shared" ca="1" si="40"/>
        <v>2.1548779422218119E-2</v>
      </c>
      <c r="H315">
        <f t="shared" ca="1" si="42"/>
        <v>2.1549358408831279E-2</v>
      </c>
      <c r="I315">
        <f t="shared" ca="1" si="43"/>
        <v>1.0386267756071495E-2</v>
      </c>
      <c r="J315" s="5">
        <f t="shared" ca="1" si="44"/>
        <v>1.1163090652759784E-2</v>
      </c>
    </row>
    <row r="316" spans="1:10" x14ac:dyDescent="0.2">
      <c r="A316">
        <f t="shared" ca="1" si="36"/>
        <v>0.11637500022353109</v>
      </c>
      <c r="B316">
        <f t="shared" ca="1" si="37"/>
        <v>-1.1933048584047095</v>
      </c>
      <c r="C316">
        <f t="shared" ca="1" si="41"/>
        <v>1.853640922910226</v>
      </c>
      <c r="D316" s="22">
        <f t="shared" ca="1" si="38"/>
        <v>0.19574807546601095</v>
      </c>
      <c r="F316">
        <f t="shared" si="39"/>
        <v>0.31000000000000022</v>
      </c>
      <c r="G316">
        <f t="shared" ca="1" si="40"/>
        <v>2.2457435110737008E-2</v>
      </c>
      <c r="H316">
        <f t="shared" ca="1" si="42"/>
        <v>2.2458059472617815E-2</v>
      </c>
      <c r="I316">
        <f t="shared" ca="1" si="43"/>
        <v>1.0396616135022515E-2</v>
      </c>
      <c r="J316" s="5">
        <f t="shared" ca="1" si="44"/>
        <v>1.20614433375953E-2</v>
      </c>
    </row>
    <row r="317" spans="1:10" x14ac:dyDescent="0.2">
      <c r="A317">
        <f t="shared" ca="1" si="36"/>
        <v>0.76306857446470355</v>
      </c>
      <c r="B317">
        <f t="shared" ca="1" si="37"/>
        <v>0.71620811815841723</v>
      </c>
      <c r="C317">
        <f t="shared" ca="1" si="41"/>
        <v>2.5698490410686432</v>
      </c>
      <c r="D317" s="22">
        <f t="shared" ca="1" si="38"/>
        <v>0.30869067123045901</v>
      </c>
      <c r="F317">
        <f t="shared" si="39"/>
        <v>0.31100000000000022</v>
      </c>
      <c r="G317">
        <f t="shared" ca="1" si="40"/>
        <v>1.8691816354225961E-2</v>
      </c>
      <c r="H317">
        <f t="shared" ca="1" si="42"/>
        <v>1.8692252371166951E-2</v>
      </c>
      <c r="I317">
        <f t="shared" ca="1" si="43"/>
        <v>1.035844180166392E-2</v>
      </c>
      <c r="J317" s="5">
        <f t="shared" ca="1" si="44"/>
        <v>8.3338105695030303E-3</v>
      </c>
    </row>
    <row r="318" spans="1:10" x14ac:dyDescent="0.2">
      <c r="A318">
        <f t="shared" ca="1" si="36"/>
        <v>0.4600807370544906</v>
      </c>
      <c r="B318">
        <f t="shared" ca="1" si="37"/>
        <v>-0.10023032154029224</v>
      </c>
      <c r="C318">
        <f t="shared" ca="1" si="41"/>
        <v>2.4696187195283508</v>
      </c>
      <c r="D318" s="22">
        <f t="shared" ca="1" si="38"/>
        <v>0.39694339438155385</v>
      </c>
      <c r="F318">
        <f t="shared" si="39"/>
        <v>0.31200000000000022</v>
      </c>
      <c r="G318">
        <f t="shared" ca="1" si="40"/>
        <v>2.0964682460418396E-2</v>
      </c>
      <c r="H318">
        <f t="shared" ca="1" si="42"/>
        <v>2.0965232078013433E-2</v>
      </c>
      <c r="I318">
        <f t="shared" ca="1" si="43"/>
        <v>1.0382915024684849E-2</v>
      </c>
      <c r="J318" s="5">
        <f t="shared" ca="1" si="44"/>
        <v>1.0582317053328584E-2</v>
      </c>
    </row>
    <row r="319" spans="1:10" x14ac:dyDescent="0.2">
      <c r="A319">
        <f t="shared" ca="1" si="36"/>
        <v>0.50310532636643157</v>
      </c>
      <c r="B319">
        <f t="shared" ca="1" si="37"/>
        <v>7.7839774769354947E-3</v>
      </c>
      <c r="C319">
        <f t="shared" ca="1" si="41"/>
        <v>2.4774026970052865</v>
      </c>
      <c r="D319" s="22">
        <f t="shared" ca="1" si="38"/>
        <v>0.39893019456720918</v>
      </c>
      <c r="F319">
        <f t="shared" si="39"/>
        <v>0.31300000000000022</v>
      </c>
      <c r="G319">
        <f t="shared" ca="1" si="40"/>
        <v>2.0655645337475617E-2</v>
      </c>
      <c r="H319">
        <f t="shared" ca="1" si="42"/>
        <v>2.0656179448127272E-2</v>
      </c>
      <c r="I319">
        <f t="shared" ca="1" si="43"/>
        <v>1.0380610729025705E-2</v>
      </c>
      <c r="J319" s="5">
        <f t="shared" ca="1" si="44"/>
        <v>1.0275568719101567E-2</v>
      </c>
    </row>
    <row r="320" spans="1:10" x14ac:dyDescent="0.2">
      <c r="A320">
        <f t="shared" ca="1" si="36"/>
        <v>0.17683067172133604</v>
      </c>
      <c r="B320">
        <f t="shared" ca="1" si="37"/>
        <v>-0.92751088391891456</v>
      </c>
      <c r="C320">
        <f t="shared" ca="1" si="41"/>
        <v>1.5498918130863719</v>
      </c>
      <c r="D320" s="22">
        <f t="shared" ca="1" si="38"/>
        <v>0.25947971393347014</v>
      </c>
      <c r="F320">
        <f t="shared" si="39"/>
        <v>0.31400000000000022</v>
      </c>
      <c r="G320">
        <f t="shared" ca="1" si="40"/>
        <v>2.0688193243612263E-2</v>
      </c>
      <c r="H320">
        <f t="shared" ca="1" si="42"/>
        <v>2.0688728928265027E-2</v>
      </c>
      <c r="I320">
        <f t="shared" ca="1" si="43"/>
        <v>1.0381852481060879E-2</v>
      </c>
      <c r="J320" s="5">
        <f t="shared" ca="1" si="44"/>
        <v>1.0306876447204148E-2</v>
      </c>
    </row>
    <row r="321" spans="1:10" x14ac:dyDescent="0.2">
      <c r="A321">
        <f t="shared" ca="1" si="36"/>
        <v>0.52861519957139536</v>
      </c>
      <c r="B321">
        <f t="shared" ca="1" si="37"/>
        <v>7.1789284111171831E-2</v>
      </c>
      <c r="C321">
        <f t="shared" ca="1" si="41"/>
        <v>1.6216810971975437</v>
      </c>
      <c r="D321" s="22">
        <f t="shared" ca="1" si="38"/>
        <v>0.39791558910741948</v>
      </c>
      <c r="F321">
        <f t="shared" si="39"/>
        <v>0.31500000000000022</v>
      </c>
      <c r="G321">
        <f t="shared" ca="1" si="40"/>
        <v>1.7763223726199418E-2</v>
      </c>
      <c r="H321">
        <f t="shared" ca="1" si="42"/>
        <v>1.7763613107592391E-2</v>
      </c>
      <c r="I321">
        <f t="shared" ca="1" si="43"/>
        <v>1.0352430067159281E-2</v>
      </c>
      <c r="J321" s="5">
        <f t="shared" ca="1" si="44"/>
        <v>7.41118304043311E-3</v>
      </c>
    </row>
    <row r="322" spans="1:10" x14ac:dyDescent="0.2">
      <c r="A322">
        <f t="shared" ca="1" si="36"/>
        <v>0.90032650991142893</v>
      </c>
      <c r="B322">
        <f t="shared" ca="1" si="37"/>
        <v>1.2834142611287154</v>
      </c>
      <c r="C322">
        <f t="shared" ca="1" si="41"/>
        <v>2.9050953583262591</v>
      </c>
      <c r="D322" s="22">
        <f t="shared" ca="1" si="38"/>
        <v>0.17507958867111797</v>
      </c>
      <c r="F322">
        <f t="shared" si="39"/>
        <v>0.31600000000000023</v>
      </c>
      <c r="G322">
        <f t="shared" ca="1" si="40"/>
        <v>1.7998453291631328E-2</v>
      </c>
      <c r="H322">
        <f t="shared" ca="1" si="42"/>
        <v>1.7998854395665873E-2</v>
      </c>
      <c r="I322">
        <f t="shared" ca="1" si="43"/>
        <v>1.0355764269162055E-2</v>
      </c>
      <c r="J322" s="5">
        <f t="shared" ca="1" si="44"/>
        <v>7.6430901265038178E-3</v>
      </c>
    </row>
    <row r="323" spans="1:10" x14ac:dyDescent="0.2">
      <c r="A323">
        <f t="shared" ca="1" si="36"/>
        <v>7.9368016740980596E-2</v>
      </c>
      <c r="B323">
        <f t="shared" ca="1" si="37"/>
        <v>-1.409335340742049</v>
      </c>
      <c r="C323">
        <f t="shared" ca="1" si="41"/>
        <v>1.4957600175842101</v>
      </c>
      <c r="D323" s="22">
        <f t="shared" ca="1" si="38"/>
        <v>0.14777689858620299</v>
      </c>
      <c r="F323">
        <f t="shared" si="39"/>
        <v>0.31700000000000023</v>
      </c>
      <c r="G323">
        <f t="shared" ca="1" si="40"/>
        <v>2.2064962365859472E-2</v>
      </c>
      <c r="H323">
        <f t="shared" ca="1" si="42"/>
        <v>2.2065566756935152E-2</v>
      </c>
      <c r="I323">
        <f t="shared" ca="1" si="43"/>
        <v>1.039886651376302E-2</v>
      </c>
      <c r="J323" s="5">
        <f t="shared" ca="1" si="44"/>
        <v>1.1666700243172132E-2</v>
      </c>
    </row>
    <row r="324" spans="1:10" x14ac:dyDescent="0.2">
      <c r="A324">
        <f t="shared" ca="1" si="36"/>
        <v>2.3961144088111896E-2</v>
      </c>
      <c r="B324">
        <f t="shared" ca="1" si="37"/>
        <v>-1.9780568986352105</v>
      </c>
      <c r="C324">
        <f t="shared" ca="1" si="41"/>
        <v>-0.48229688105100044</v>
      </c>
      <c r="D324" s="22">
        <f t="shared" ca="1" si="38"/>
        <v>5.6399607466067238E-2</v>
      </c>
      <c r="F324">
        <f t="shared" si="39"/>
        <v>0.31800000000000023</v>
      </c>
      <c r="G324">
        <f t="shared" ca="1" si="40"/>
        <v>1.7616268642445095E-2</v>
      </c>
      <c r="H324">
        <f t="shared" ca="1" si="42"/>
        <v>1.7616650536545087E-2</v>
      </c>
      <c r="I324">
        <f t="shared" ca="1" si="43"/>
        <v>1.0353608450215853E-2</v>
      </c>
      <c r="J324" s="5">
        <f t="shared" ca="1" si="44"/>
        <v>7.2630420863292345E-3</v>
      </c>
    </row>
    <row r="325" spans="1:10" x14ac:dyDescent="0.2">
      <c r="A325">
        <f t="shared" ca="1" si="36"/>
        <v>3.6658935600691667E-2</v>
      </c>
      <c r="B325">
        <f t="shared" ca="1" si="37"/>
        <v>-1.7908468721411928</v>
      </c>
      <c r="C325">
        <f t="shared" ca="1" si="41"/>
        <v>-2.2731437531921932</v>
      </c>
      <c r="D325" s="22">
        <f t="shared" ca="1" si="38"/>
        <v>8.0258324285787788E-2</v>
      </c>
      <c r="F325">
        <f t="shared" si="39"/>
        <v>0.31900000000000023</v>
      </c>
      <c r="G325">
        <f t="shared" ca="1" si="40"/>
        <v>1.1369654207805878E-2</v>
      </c>
      <c r="H325">
        <f t="shared" ca="1" si="42"/>
        <v>1.1369723730395357E-2</v>
      </c>
      <c r="I325">
        <f t="shared" ca="1" si="43"/>
        <v>1.0290024557068726E-2</v>
      </c>
      <c r="J325" s="5">
        <f t="shared" ca="1" si="44"/>
        <v>1.0796991733266308E-3</v>
      </c>
    </row>
    <row r="326" spans="1:10" x14ac:dyDescent="0.2">
      <c r="A326">
        <f t="shared" ca="1" si="36"/>
        <v>0.23760329998073526</v>
      </c>
      <c r="B326">
        <f t="shared" ca="1" si="37"/>
        <v>-0.71403328132189259</v>
      </c>
      <c r="C326">
        <f t="shared" ca="1" si="41"/>
        <v>-2.9871770345140858</v>
      </c>
      <c r="D326" s="22">
        <f t="shared" ca="1" si="38"/>
        <v>0.30917114236463644</v>
      </c>
      <c r="F326">
        <f t="shared" si="39"/>
        <v>0.32000000000000023</v>
      </c>
      <c r="G326">
        <f t="shared" ca="1" si="40"/>
        <v>5.7156448886487325E-3</v>
      </c>
      <c r="H326">
        <f t="shared" ca="1" si="42"/>
        <v>5.7154317014678066E-3</v>
      </c>
      <c r="I326">
        <f t="shared" ca="1" si="43"/>
        <v>1.0232887326902897E-2</v>
      </c>
      <c r="J326" s="5">
        <f t="shared" ca="1" si="44"/>
        <v>4.5174556254350901E-3</v>
      </c>
    </row>
    <row r="327" spans="1:10" x14ac:dyDescent="0.2">
      <c r="A327">
        <f t="shared" ref="A327:A390" ca="1" si="45">RAND()</f>
        <v>0.7838203581384775</v>
      </c>
      <c r="B327">
        <f t="shared" ref="B327:B390" ca="1" si="46">NORMSINV(A327)</f>
        <v>0.78516082032242274</v>
      </c>
      <c r="C327">
        <f t="shared" ca="1" si="41"/>
        <v>-2.202016214191663</v>
      </c>
      <c r="D327" s="22">
        <f t="shared" ref="D327:D390" ca="1" si="47">_xlfn.NORM.DIST(B327,0,1,FALSE)</f>
        <v>0.29311880038159727</v>
      </c>
      <c r="F327">
        <f t="shared" ref="F327:F390" si="48">F326+$M$2/$N$2</f>
        <v>0.32100000000000023</v>
      </c>
      <c r="G327">
        <f t="shared" ref="G327:G390" ca="1" si="49">G326*EXP(-$M$4*$O$2) + $O$4*(1-EXP(-$M$4*$O$2)) + $N$4* SQRT((1-EXP(-2*$M$4*$O$2))/(2*$M$4)) *B326</f>
        <v>3.4672142524836656E-3</v>
      </c>
      <c r="H327">
        <f t="shared" ca="1" si="42"/>
        <v>3.4668886641567149E-3</v>
      </c>
      <c r="I327">
        <f t="shared" ca="1" si="43"/>
        <v>1.0210777803066803E-2</v>
      </c>
      <c r="J327" s="5">
        <f t="shared" ca="1" si="44"/>
        <v>6.7438891389100877E-3</v>
      </c>
    </row>
    <row r="328" spans="1:10" x14ac:dyDescent="0.2">
      <c r="A328">
        <f t="shared" ca="1" si="45"/>
        <v>1.380205294031922E-2</v>
      </c>
      <c r="B328">
        <f t="shared" ca="1" si="46"/>
        <v>-2.2028672589966951</v>
      </c>
      <c r="C328">
        <f t="shared" ref="C328:C391" ca="1" si="50">B328+C327</f>
        <v>-4.4048834731883577</v>
      </c>
      <c r="D328" s="22">
        <f t="shared" ca="1" si="47"/>
        <v>3.5251379575908626E-2</v>
      </c>
      <c r="F328">
        <f t="shared" si="48"/>
        <v>0.32200000000000023</v>
      </c>
      <c r="G328">
        <f t="shared" ca="1" si="49"/>
        <v>5.9596394305020412E-3</v>
      </c>
      <c r="H328">
        <f t="shared" ref="H328:H391" ca="1" si="51">H327+($M$6 + $N$6*H327)*$O$2 + $O$6*H327^$P$6*SQRT($O$2)*B327</f>
        <v>5.9594384970353756E-3</v>
      </c>
      <c r="I328">
        <f t="shared" ref="I328:I391" ca="1" si="52">I327*EXP(($M$8-0.5*($N$8^2))*$O$2 + $N$8*SQRT($O$2)*B327)</f>
        <v>1.0237134088942484E-2</v>
      </c>
      <c r="J328" s="5">
        <f t="shared" ref="J328:J391" ca="1" si="53">ABS(H328-I328)</f>
        <v>4.2776955919071082E-3</v>
      </c>
    </row>
    <row r="329" spans="1:10" x14ac:dyDescent="0.2">
      <c r="A329">
        <f t="shared" ca="1" si="45"/>
        <v>0.40334727381055258</v>
      </c>
      <c r="B329">
        <f t="shared" ca="1" si="46"/>
        <v>-0.2446924845750674</v>
      </c>
      <c r="C329">
        <f t="shared" ca="1" si="50"/>
        <v>-4.6495759577634255</v>
      </c>
      <c r="D329" s="22">
        <f t="shared" ca="1" si="47"/>
        <v>0.3871760657283243</v>
      </c>
      <c r="F329">
        <f t="shared" si="48"/>
        <v>0.32300000000000023</v>
      </c>
      <c r="G329">
        <f t="shared" ca="1" si="49"/>
        <v>-9.9668663568469595E-4</v>
      </c>
      <c r="H329">
        <f t="shared" ca="1" si="51"/>
        <v>-9.9723536825592832E-4</v>
      </c>
      <c r="I329">
        <f t="shared" ca="1" si="52"/>
        <v>1.0167035046706921E-2</v>
      </c>
      <c r="J329" s="5">
        <f t="shared" ca="1" si="53"/>
        <v>1.1164270414962849E-2</v>
      </c>
    </row>
    <row r="330" spans="1:10" x14ac:dyDescent="0.2">
      <c r="A330">
        <f t="shared" ca="1" si="45"/>
        <v>0.80303557049535379</v>
      </c>
      <c r="B330">
        <f t="shared" ca="1" si="46"/>
        <v>0.8525140234624341</v>
      </c>
      <c r="C330">
        <f t="shared" ca="1" si="50"/>
        <v>-3.7970619343009915</v>
      </c>
      <c r="D330" s="22">
        <f t="shared" ca="1" si="47"/>
        <v>0.27739061233164941</v>
      </c>
      <c r="F330">
        <f t="shared" si="48"/>
        <v>0.32400000000000023</v>
      </c>
      <c r="G330">
        <f t="shared" ca="1" si="49"/>
        <v>-1.7603343619036634E-3</v>
      </c>
      <c r="H330">
        <f t="shared" ca="1" si="51"/>
        <v>-1.7609212223019342E-3</v>
      </c>
      <c r="I330">
        <f t="shared" ca="1" si="52"/>
        <v>1.0160136151650559E-2</v>
      </c>
      <c r="J330" s="5">
        <f t="shared" ca="1" si="53"/>
        <v>1.1921057373952493E-2</v>
      </c>
    </row>
    <row r="331" spans="1:10" x14ac:dyDescent="0.2">
      <c r="A331">
        <f t="shared" ca="1" si="45"/>
        <v>7.6973443590134139E-2</v>
      </c>
      <c r="B331">
        <f t="shared" ca="1" si="46"/>
        <v>-1.4257279437990871</v>
      </c>
      <c r="C331">
        <f t="shared" ca="1" si="50"/>
        <v>-5.2227898781000786</v>
      </c>
      <c r="D331" s="22">
        <f t="shared" ca="1" si="47"/>
        <v>0.14438259138461138</v>
      </c>
      <c r="F331">
        <f t="shared" si="48"/>
        <v>0.32500000000000023</v>
      </c>
      <c r="G331">
        <f t="shared" ca="1" si="49"/>
        <v>9.4559242543694726E-4</v>
      </c>
      <c r="H331">
        <f t="shared" ca="1" si="51"/>
        <v>9.451409211958129E-4</v>
      </c>
      <c r="I331">
        <f t="shared" ca="1" si="52"/>
        <v>1.0188531539631319E-2</v>
      </c>
      <c r="J331" s="5">
        <f t="shared" ca="1" si="53"/>
        <v>9.2433906184355066E-3</v>
      </c>
    </row>
    <row r="332" spans="1:10" x14ac:dyDescent="0.2">
      <c r="A332">
        <f t="shared" ca="1" si="45"/>
        <v>0.10392955645758728</v>
      </c>
      <c r="B332">
        <f t="shared" ca="1" si="46"/>
        <v>-1.2594741736260893</v>
      </c>
      <c r="C332">
        <f t="shared" ca="1" si="50"/>
        <v>-6.482264051726168</v>
      </c>
      <c r="D332" s="22">
        <f t="shared" ca="1" si="47"/>
        <v>0.180490681204071</v>
      </c>
      <c r="F332">
        <f t="shared" si="48"/>
        <v>0.32600000000000023</v>
      </c>
      <c r="G332">
        <f t="shared" ca="1" si="49"/>
        <v>-3.5528248372258672E-3</v>
      </c>
      <c r="H332">
        <f t="shared" ca="1" si="51"/>
        <v>-3.553501219049958E-3</v>
      </c>
      <c r="I332">
        <f t="shared" ca="1" si="52"/>
        <v>1.0143663057865427E-2</v>
      </c>
      <c r="J332" s="5">
        <f t="shared" ca="1" si="53"/>
        <v>1.3697164276915384E-2</v>
      </c>
    </row>
    <row r="333" spans="1:10" x14ac:dyDescent="0.2">
      <c r="A333">
        <f t="shared" ca="1" si="45"/>
        <v>0.71295984470537499</v>
      </c>
      <c r="B333">
        <f t="shared" ca="1" si="46"/>
        <v>0.56205241104795656</v>
      </c>
      <c r="C333">
        <f t="shared" ca="1" si="50"/>
        <v>-5.920211640678211</v>
      </c>
      <c r="D333" s="22">
        <f t="shared" ca="1" si="47"/>
        <v>0.34065331528167447</v>
      </c>
      <c r="F333">
        <f t="shared" si="48"/>
        <v>0.32700000000000023</v>
      </c>
      <c r="G333">
        <f t="shared" ca="1" si="49"/>
        <v>-7.5250779832508347E-3</v>
      </c>
      <c r="H333">
        <f t="shared" ca="1" si="51"/>
        <v>-7.5259529117448661E-3</v>
      </c>
      <c r="I333">
        <f t="shared" ca="1" si="52"/>
        <v>1.0104303014892619E-2</v>
      </c>
      <c r="J333" s="5">
        <f t="shared" ca="1" si="53"/>
        <v>1.7630255926637486E-2</v>
      </c>
    </row>
    <row r="334" spans="1:10" x14ac:dyDescent="0.2">
      <c r="A334">
        <f t="shared" ca="1" si="45"/>
        <v>0.62707597287238881</v>
      </c>
      <c r="B334">
        <f t="shared" ca="1" si="46"/>
        <v>0.32411885280113462</v>
      </c>
      <c r="C334">
        <f t="shared" ca="1" si="50"/>
        <v>-5.5960927878770761</v>
      </c>
      <c r="D334" s="22">
        <f t="shared" ca="1" si="47"/>
        <v>0.37852806966565322</v>
      </c>
      <c r="F334">
        <f t="shared" si="48"/>
        <v>0.32800000000000024</v>
      </c>
      <c r="G334">
        <f t="shared" ca="1" si="49"/>
        <v>-5.7370490943457319E-3</v>
      </c>
      <c r="H334">
        <f t="shared" ca="1" si="51"/>
        <v>-5.7378345331529634E-3</v>
      </c>
      <c r="I334">
        <f t="shared" ca="1" si="52"/>
        <v>1.0123239688779647E-2</v>
      </c>
      <c r="J334" s="5">
        <f t="shared" ca="1" si="53"/>
        <v>1.586107422193261E-2</v>
      </c>
    </row>
    <row r="335" spans="1:10" x14ac:dyDescent="0.2">
      <c r="A335">
        <f t="shared" ca="1" si="45"/>
        <v>0.84621830779418172</v>
      </c>
      <c r="B335">
        <f t="shared" ca="1" si="46"/>
        <v>1.0203481303262087</v>
      </c>
      <c r="C335">
        <f t="shared" ca="1" si="50"/>
        <v>-4.5757446575508673</v>
      </c>
      <c r="D335" s="22">
        <f t="shared" ca="1" si="47"/>
        <v>0.23704774872295564</v>
      </c>
      <c r="F335">
        <f t="shared" si="48"/>
        <v>0.32900000000000024</v>
      </c>
      <c r="G335">
        <f t="shared" ca="1" si="49"/>
        <v>-4.7015733562066342E-3</v>
      </c>
      <c r="H335">
        <f t="shared" ca="1" si="51"/>
        <v>-4.7023069422472167E-3</v>
      </c>
      <c r="I335">
        <f t="shared" ca="1" si="52"/>
        <v>1.0134583600755835E-2</v>
      </c>
      <c r="J335" s="5">
        <f t="shared" ca="1" si="53"/>
        <v>1.4836890543003051E-2</v>
      </c>
    </row>
    <row r="336" spans="1:10" x14ac:dyDescent="0.2">
      <c r="A336">
        <f t="shared" ca="1" si="45"/>
        <v>0.92948101863270405</v>
      </c>
      <c r="B336">
        <f t="shared" ca="1" si="46"/>
        <v>1.4719367340691618</v>
      </c>
      <c r="C336">
        <f t="shared" ca="1" si="50"/>
        <v>-3.1038079234817055</v>
      </c>
      <c r="D336" s="22">
        <f t="shared" ca="1" si="47"/>
        <v>0.1350328215155471</v>
      </c>
      <c r="F336">
        <f t="shared" si="48"/>
        <v>0.33000000000000024</v>
      </c>
      <c r="G336">
        <f t="shared" ca="1" si="49"/>
        <v>-1.4646409487193528E-3</v>
      </c>
      <c r="H336">
        <f t="shared" ca="1" si="51"/>
        <v>-1.4652126134278485E-3</v>
      </c>
      <c r="I336">
        <f t="shared" ca="1" si="52"/>
        <v>1.016830284819845E-2</v>
      </c>
      <c r="J336" s="5">
        <f t="shared" ca="1" si="53"/>
        <v>1.1633515461626298E-2</v>
      </c>
    </row>
    <row r="337" spans="1:10" x14ac:dyDescent="0.2">
      <c r="A337">
        <f t="shared" ca="1" si="45"/>
        <v>0.68444933707306888</v>
      </c>
      <c r="B337">
        <f t="shared" ca="1" si="46"/>
        <v>0.48017730099730976</v>
      </c>
      <c r="C337">
        <f t="shared" ca="1" si="50"/>
        <v>-2.6236306224843959</v>
      </c>
      <c r="D337" s="22">
        <f t="shared" ca="1" si="47"/>
        <v>0.35550226679525737</v>
      </c>
      <c r="F337">
        <f t="shared" si="48"/>
        <v>0.33100000000000024</v>
      </c>
      <c r="G337">
        <f t="shared" ca="1" si="49"/>
        <v>3.1999449354615846E-3</v>
      </c>
      <c r="H337">
        <f t="shared" ca="1" si="51"/>
        <v>3.1996065591616092E-3</v>
      </c>
      <c r="I337">
        <f t="shared" ca="1" si="52"/>
        <v>1.0216713835307546E-2</v>
      </c>
      <c r="J337" s="5">
        <f t="shared" ca="1" si="53"/>
        <v>7.0171072761459367E-3</v>
      </c>
    </row>
    <row r="338" spans="1:10" x14ac:dyDescent="0.2">
      <c r="A338">
        <f t="shared" ca="1" si="45"/>
        <v>0.39735661043576509</v>
      </c>
      <c r="B338">
        <f t="shared" ca="1" si="46"/>
        <v>-0.26019518153753579</v>
      </c>
      <c r="C338">
        <f t="shared" ca="1" si="50"/>
        <v>-2.8838258040219316</v>
      </c>
      <c r="D338" s="22">
        <f t="shared" ca="1" si="47"/>
        <v>0.38566378999135681</v>
      </c>
      <c r="F338">
        <f t="shared" si="48"/>
        <v>0.33200000000000024</v>
      </c>
      <c r="G338">
        <f t="shared" ca="1" si="49"/>
        <v>4.7280024893133505E-3</v>
      </c>
      <c r="H338">
        <f t="shared" ca="1" si="51"/>
        <v>4.7277405503694334E-3</v>
      </c>
      <c r="I338">
        <f t="shared" ca="1" si="52"/>
        <v>1.0233211338021754E-2</v>
      </c>
      <c r="J338" s="5">
        <f t="shared" ca="1" si="53"/>
        <v>5.5054707876523203E-3</v>
      </c>
    </row>
    <row r="339" spans="1:10" x14ac:dyDescent="0.2">
      <c r="A339">
        <f t="shared" ca="1" si="45"/>
        <v>0.58891351564799577</v>
      </c>
      <c r="B339">
        <f t="shared" ca="1" si="46"/>
        <v>0.22475102369621652</v>
      </c>
      <c r="C339">
        <f t="shared" ca="1" si="50"/>
        <v>-2.6590747803257151</v>
      </c>
      <c r="D339" s="22">
        <f t="shared" ca="1" si="47"/>
        <v>0.38899256660497056</v>
      </c>
      <c r="F339">
        <f t="shared" si="48"/>
        <v>0.33300000000000024</v>
      </c>
      <c r="G339">
        <f t="shared" ca="1" si="49"/>
        <v>3.9147609416170862E-3</v>
      </c>
      <c r="H339">
        <f t="shared" ca="1" si="51"/>
        <v>3.914458366454791E-3</v>
      </c>
      <c r="I339">
        <f t="shared" ca="1" si="52"/>
        <v>1.0225766220158923E-2</v>
      </c>
      <c r="J339" s="5">
        <f t="shared" ca="1" si="53"/>
        <v>6.3113078537041321E-3</v>
      </c>
    </row>
    <row r="340" spans="1:10" x14ac:dyDescent="0.2">
      <c r="A340">
        <f t="shared" ca="1" si="45"/>
        <v>0.71400579729511959</v>
      </c>
      <c r="B340">
        <f t="shared" ca="1" si="46"/>
        <v>0.56512549959209502</v>
      </c>
      <c r="C340">
        <f t="shared" ca="1" si="50"/>
        <v>-2.0939492807336202</v>
      </c>
      <c r="D340" s="22">
        <f t="shared" ca="1" si="47"/>
        <v>0.34006382841822619</v>
      </c>
      <c r="F340">
        <f t="shared" si="48"/>
        <v>0.33400000000000024</v>
      </c>
      <c r="G340">
        <f t="shared" ca="1" si="49"/>
        <v>4.6350585916708088E-3</v>
      </c>
      <c r="H340">
        <f t="shared" ca="1" si="51"/>
        <v>4.6347920619526648E-3</v>
      </c>
      <c r="I340">
        <f t="shared" ca="1" si="52"/>
        <v>1.0234008697231503E-2</v>
      </c>
      <c r="J340" s="5">
        <f t="shared" ca="1" si="53"/>
        <v>5.599216635278838E-3</v>
      </c>
    </row>
    <row r="341" spans="1:10" x14ac:dyDescent="0.2">
      <c r="A341">
        <f t="shared" ca="1" si="45"/>
        <v>0.77007166750934142</v>
      </c>
      <c r="B341">
        <f t="shared" ca="1" si="46"/>
        <v>0.73908289137790995</v>
      </c>
      <c r="C341">
        <f t="shared" ca="1" si="50"/>
        <v>-1.3548663893557102</v>
      </c>
      <c r="D341" s="22">
        <f t="shared" ca="1" si="47"/>
        <v>0.30359512425115126</v>
      </c>
      <c r="F341">
        <f t="shared" si="48"/>
        <v>0.33500000000000024</v>
      </c>
      <c r="G341">
        <f t="shared" ca="1" si="49"/>
        <v>6.4315890010902058E-3</v>
      </c>
      <c r="H341">
        <f t="shared" ca="1" si="51"/>
        <v>6.4314123252980464E-3</v>
      </c>
      <c r="I341">
        <f t="shared" ca="1" si="52"/>
        <v>1.0253288095651842E-2</v>
      </c>
      <c r="J341" s="5">
        <f t="shared" ca="1" si="53"/>
        <v>3.8218757703537953E-3</v>
      </c>
    </row>
    <row r="342" spans="1:10" x14ac:dyDescent="0.2">
      <c r="A342">
        <f t="shared" ca="1" si="45"/>
        <v>0.52326100712697343</v>
      </c>
      <c r="B342">
        <f t="shared" ca="1" si="46"/>
        <v>5.833977479486184E-2</v>
      </c>
      <c r="C342">
        <f t="shared" ca="1" si="50"/>
        <v>-1.2965266145608485</v>
      </c>
      <c r="D342" s="22">
        <f t="shared" ca="1" si="47"/>
        <v>0.39826395186811125</v>
      </c>
      <c r="F342">
        <f t="shared" si="48"/>
        <v>0.33600000000000024</v>
      </c>
      <c r="G342">
        <f t="shared" ca="1" si="49"/>
        <v>8.7780138363837568E-3</v>
      </c>
      <c r="H342">
        <f t="shared" ca="1" si="51"/>
        <v>8.7779545004825349E-3</v>
      </c>
      <c r="I342">
        <f t="shared" ca="1" si="52"/>
        <v>1.0278256343797979E-2</v>
      </c>
      <c r="J342" s="5">
        <f t="shared" ca="1" si="53"/>
        <v>1.5003018433154443E-3</v>
      </c>
    </row>
    <row r="343" spans="1:10" x14ac:dyDescent="0.2">
      <c r="A343">
        <f t="shared" ca="1" si="45"/>
        <v>0.69403491891654034</v>
      </c>
      <c r="B343">
        <f t="shared" ca="1" si="46"/>
        <v>0.507320207486331</v>
      </c>
      <c r="C343">
        <f t="shared" ca="1" si="50"/>
        <v>-0.7892064070745175</v>
      </c>
      <c r="D343" s="22">
        <f t="shared" ca="1" si="47"/>
        <v>0.35076968826681648</v>
      </c>
      <c r="F343">
        <f t="shared" si="48"/>
        <v>0.33700000000000024</v>
      </c>
      <c r="G343">
        <f t="shared" ca="1" si="49"/>
        <v>8.9716129214944419E-3</v>
      </c>
      <c r="H343">
        <f t="shared" ca="1" si="51"/>
        <v>8.9715632715655323E-3</v>
      </c>
      <c r="I343">
        <f t="shared" ca="1" si="52"/>
        <v>1.0281129379842241E-2</v>
      </c>
      <c r="J343" s="5">
        <f t="shared" ca="1" si="53"/>
        <v>1.3095661082767086E-3</v>
      </c>
    </row>
    <row r="344" spans="1:10" x14ac:dyDescent="0.2">
      <c r="A344">
        <f t="shared" ca="1" si="45"/>
        <v>0.77792083641390086</v>
      </c>
      <c r="B344">
        <f t="shared" ca="1" si="46"/>
        <v>0.76519014499557292</v>
      </c>
      <c r="C344">
        <f t="shared" ca="1" si="50"/>
        <v>-2.4016262078944584E-2</v>
      </c>
      <c r="D344" s="22">
        <f t="shared" ca="1" si="47"/>
        <v>0.2976918129924051</v>
      </c>
      <c r="F344">
        <f t="shared" si="48"/>
        <v>0.33800000000000024</v>
      </c>
      <c r="G344">
        <f t="shared" ca="1" si="49"/>
        <v>1.0584922452735726E-2</v>
      </c>
      <c r="H344">
        <f t="shared" ca="1" si="51"/>
        <v>1.0584953473924387E-2</v>
      </c>
      <c r="I344">
        <f t="shared" ca="1" si="52"/>
        <v>1.0298614825221021E-2</v>
      </c>
      <c r="J344" s="5">
        <f t="shared" ca="1" si="53"/>
        <v>2.8633864870336589E-4</v>
      </c>
    </row>
    <row r="345" spans="1:10" x14ac:dyDescent="0.2">
      <c r="A345">
        <f t="shared" ca="1" si="45"/>
        <v>5.9463380858310821E-2</v>
      </c>
      <c r="B345">
        <f t="shared" ca="1" si="46"/>
        <v>-1.5592942091002051</v>
      </c>
      <c r="C345">
        <f t="shared" ca="1" si="50"/>
        <v>-1.5833104711791497</v>
      </c>
      <c r="D345" s="22">
        <f t="shared" ca="1" si="47"/>
        <v>0.11828743241957854</v>
      </c>
      <c r="F345">
        <f t="shared" si="48"/>
        <v>0.33900000000000025</v>
      </c>
      <c r="G345">
        <f t="shared" ca="1" si="49"/>
        <v>1.3013486232586318E-2</v>
      </c>
      <c r="H345">
        <f t="shared" ca="1" si="51"/>
        <v>1.3013638679877499E-2</v>
      </c>
      <c r="I345">
        <f t="shared" ca="1" si="52"/>
        <v>1.0324545793188566E-2</v>
      </c>
      <c r="J345" s="5">
        <f t="shared" ca="1" si="53"/>
        <v>2.6890928866889329E-3</v>
      </c>
    </row>
    <row r="346" spans="1:10" x14ac:dyDescent="0.2">
      <c r="A346">
        <f t="shared" ca="1" si="45"/>
        <v>7.0268209809018489E-2</v>
      </c>
      <c r="B346">
        <f t="shared" ca="1" si="46"/>
        <v>-1.4737963936343628</v>
      </c>
      <c r="C346">
        <f t="shared" ca="1" si="50"/>
        <v>-3.0571068648135125</v>
      </c>
      <c r="D346" s="22">
        <f t="shared" ca="1" si="47"/>
        <v>0.13466346857864075</v>
      </c>
      <c r="F346">
        <f t="shared" si="48"/>
        <v>0.34000000000000025</v>
      </c>
      <c r="G346">
        <f t="shared" ca="1" si="49"/>
        <v>8.091509741767337E-3</v>
      </c>
      <c r="H346">
        <f t="shared" ca="1" si="51"/>
        <v>8.0914160729420107E-3</v>
      </c>
      <c r="I346">
        <f t="shared" ca="1" si="52"/>
        <v>1.0274737634097895E-2</v>
      </c>
      <c r="J346" s="5">
        <f t="shared" ca="1" si="53"/>
        <v>2.1833215611558841E-3</v>
      </c>
    </row>
    <row r="347" spans="1:10" x14ac:dyDescent="0.2">
      <c r="A347">
        <f t="shared" ca="1" si="45"/>
        <v>0.48791665186172117</v>
      </c>
      <c r="B347">
        <f t="shared" ca="1" si="46"/>
        <v>-3.0293094643280737E-2</v>
      </c>
      <c r="C347">
        <f t="shared" ca="1" si="50"/>
        <v>-3.0873999594567931</v>
      </c>
      <c r="D347" s="22">
        <f t="shared" ca="1" si="47"/>
        <v>0.3987592733927221</v>
      </c>
      <c r="F347">
        <f t="shared" si="48"/>
        <v>0.34100000000000025</v>
      </c>
      <c r="G347">
        <f t="shared" ca="1" si="49"/>
        <v>3.4403797380008587E-3</v>
      </c>
      <c r="H347">
        <f t="shared" ca="1" si="51"/>
        <v>3.4400535201080471E-3</v>
      </c>
      <c r="I347">
        <f t="shared" ca="1" si="52"/>
        <v>1.0227934692605438E-2</v>
      </c>
      <c r="J347" s="5">
        <f t="shared" ca="1" si="53"/>
        <v>6.7878811724973905E-3</v>
      </c>
    </row>
    <row r="348" spans="1:10" x14ac:dyDescent="0.2">
      <c r="A348">
        <f t="shared" ca="1" si="45"/>
        <v>0.37273793160769619</v>
      </c>
      <c r="B348">
        <f t="shared" ca="1" si="46"/>
        <v>-0.32461052137402069</v>
      </c>
      <c r="C348">
        <f t="shared" ca="1" si="50"/>
        <v>-3.4120104808308138</v>
      </c>
      <c r="D348" s="22">
        <f t="shared" ca="1" si="47"/>
        <v>0.3784677068517836</v>
      </c>
      <c r="F348">
        <f t="shared" si="48"/>
        <v>0.34200000000000025</v>
      </c>
      <c r="G348">
        <f t="shared" ca="1" si="49"/>
        <v>3.3542448303564951E-3</v>
      </c>
      <c r="H348">
        <f t="shared" ca="1" si="51"/>
        <v>3.3539143383082234E-3</v>
      </c>
      <c r="I348">
        <f t="shared" ca="1" si="52"/>
        <v>1.0227926559595894E-2</v>
      </c>
      <c r="J348" s="5">
        <f t="shared" ca="1" si="53"/>
        <v>6.874012221287671E-3</v>
      </c>
    </row>
    <row r="349" spans="1:10" x14ac:dyDescent="0.2">
      <c r="A349">
        <f t="shared" ca="1" si="45"/>
        <v>0.53314476137644307</v>
      </c>
      <c r="B349">
        <f t="shared" ca="1" si="46"/>
        <v>8.3177406789145203E-2</v>
      </c>
      <c r="C349">
        <f t="shared" ca="1" si="50"/>
        <v>-3.3288330740416687</v>
      </c>
      <c r="D349" s="22">
        <f t="shared" ca="1" si="47"/>
        <v>0.39756462729836606</v>
      </c>
      <c r="F349">
        <f t="shared" si="48"/>
        <v>0.34300000000000025</v>
      </c>
      <c r="G349">
        <f t="shared" ca="1" si="49"/>
        <v>2.3374516459556483E-3</v>
      </c>
      <c r="H349">
        <f t="shared" ca="1" si="51"/>
        <v>2.3370703468777168E-3</v>
      </c>
      <c r="I349">
        <f t="shared" ca="1" si="52"/>
        <v>1.0218403594096223E-2</v>
      </c>
      <c r="J349" s="5">
        <f t="shared" ca="1" si="53"/>
        <v>7.8813332472185069E-3</v>
      </c>
    </row>
    <row r="350" spans="1:10" x14ac:dyDescent="0.2">
      <c r="A350">
        <f t="shared" ca="1" si="45"/>
        <v>2.5232251496255298E-2</v>
      </c>
      <c r="B350">
        <f t="shared" ca="1" si="46"/>
        <v>-1.9560055272490284</v>
      </c>
      <c r="C350">
        <f t="shared" ca="1" si="50"/>
        <v>-5.2848386012906969</v>
      </c>
      <c r="D350" s="22">
        <f t="shared" ca="1" si="47"/>
        <v>5.8899814100440172E-2</v>
      </c>
      <c r="F350">
        <f t="shared" si="48"/>
        <v>0.34400000000000025</v>
      </c>
      <c r="G350">
        <f t="shared" ca="1" si="49"/>
        <v>2.6102343168598286E-3</v>
      </c>
      <c r="H350">
        <f t="shared" ca="1" si="51"/>
        <v>2.6098666951630805E-3</v>
      </c>
      <c r="I350">
        <f t="shared" ca="1" si="52"/>
        <v>1.0222062744704158E-2</v>
      </c>
      <c r="J350" s="5">
        <f t="shared" ca="1" si="53"/>
        <v>7.6121960495410777E-3</v>
      </c>
    </row>
    <row r="351" spans="1:10" x14ac:dyDescent="0.2">
      <c r="A351">
        <f t="shared" ca="1" si="45"/>
        <v>0.72214481474198311</v>
      </c>
      <c r="B351">
        <f t="shared" ca="1" si="46"/>
        <v>0.58922496750608</v>
      </c>
      <c r="C351">
        <f t="shared" ca="1" si="50"/>
        <v>-4.6956136337846166</v>
      </c>
      <c r="D351" s="22">
        <f t="shared" ca="1" si="47"/>
        <v>0.33536641647695481</v>
      </c>
      <c r="F351">
        <f t="shared" si="48"/>
        <v>0.34500000000000025</v>
      </c>
      <c r="G351">
        <f t="shared" ca="1" si="49"/>
        <v>-3.5651505167465852E-3</v>
      </c>
      <c r="H351">
        <f t="shared" ca="1" si="51"/>
        <v>-3.5658268734919106E-3</v>
      </c>
      <c r="I351">
        <f t="shared" ca="1" si="52"/>
        <v>1.0159995161781232E-2</v>
      </c>
      <c r="J351" s="5">
        <f t="shared" ca="1" si="53"/>
        <v>1.3725822035273142E-2</v>
      </c>
    </row>
    <row r="352" spans="1:10" x14ac:dyDescent="0.2">
      <c r="A352">
        <f t="shared" ca="1" si="45"/>
        <v>0.1633484905161412</v>
      </c>
      <c r="B352">
        <f t="shared" ca="1" si="46"/>
        <v>-0.98078864078104211</v>
      </c>
      <c r="C352">
        <f t="shared" ca="1" si="50"/>
        <v>-5.6764022745656586</v>
      </c>
      <c r="D352" s="22">
        <f t="shared" ca="1" si="47"/>
        <v>0.24661873641915982</v>
      </c>
      <c r="F352">
        <f t="shared" si="48"/>
        <v>0.34600000000000025</v>
      </c>
      <c r="G352">
        <f t="shared" ca="1" si="49"/>
        <v>-1.6915947287113736E-3</v>
      </c>
      <c r="H352">
        <f t="shared" ca="1" si="51"/>
        <v>-1.6921773392466451E-3</v>
      </c>
      <c r="I352">
        <f t="shared" ca="1" si="52"/>
        <v>1.0179910902757411E-2</v>
      </c>
      <c r="J352" s="5">
        <f t="shared" ca="1" si="53"/>
        <v>1.1872088242004055E-2</v>
      </c>
    </row>
    <row r="353" spans="1:10" x14ac:dyDescent="0.2">
      <c r="A353">
        <f t="shared" ca="1" si="45"/>
        <v>0.39074045767025511</v>
      </c>
      <c r="B353">
        <f t="shared" ca="1" si="46"/>
        <v>-0.2773896665444669</v>
      </c>
      <c r="C353">
        <f t="shared" ca="1" si="50"/>
        <v>-5.9537919411101257</v>
      </c>
      <c r="D353" s="22">
        <f t="shared" ca="1" si="47"/>
        <v>0.38388546206592278</v>
      </c>
      <c r="F353">
        <f t="shared" si="48"/>
        <v>0.34700000000000025</v>
      </c>
      <c r="G353">
        <f t="shared" ca="1" si="49"/>
        <v>-4.7827970159291531E-3</v>
      </c>
      <c r="H353">
        <f t="shared" ca="1" si="51"/>
        <v>-4.7835341296015195E-3</v>
      </c>
      <c r="I353">
        <f t="shared" ca="1" si="52"/>
        <v>1.0149350698912056E-2</v>
      </c>
      <c r="J353" s="5">
        <f t="shared" ca="1" si="53"/>
        <v>1.4932884828513576E-2</v>
      </c>
    </row>
    <row r="354" spans="1:10" x14ac:dyDescent="0.2">
      <c r="A354">
        <f t="shared" ca="1" si="45"/>
        <v>0.57008567542491073</v>
      </c>
      <c r="B354">
        <f t="shared" ca="1" si="46"/>
        <v>0.1765922918387538</v>
      </c>
      <c r="C354">
        <f t="shared" ca="1" si="50"/>
        <v>-5.7771996492713722</v>
      </c>
      <c r="D354" s="22">
        <f t="shared" ca="1" si="47"/>
        <v>0.39277005034951895</v>
      </c>
      <c r="F354">
        <f t="shared" si="48"/>
        <v>0.34800000000000025</v>
      </c>
      <c r="G354">
        <f t="shared" ca="1" si="49"/>
        <v>-5.6494585484693069E-3</v>
      </c>
      <c r="H354">
        <f t="shared" ca="1" si="51"/>
        <v>-5.6502389218636836E-3</v>
      </c>
      <c r="I354">
        <f t="shared" ca="1" si="52"/>
        <v>1.0141415151786015E-2</v>
      </c>
      <c r="J354" s="5">
        <f t="shared" ca="1" si="53"/>
        <v>1.57916540736497E-2</v>
      </c>
    </row>
    <row r="355" spans="1:10" x14ac:dyDescent="0.2">
      <c r="A355">
        <f t="shared" ca="1" si="45"/>
        <v>0.26392628313698352</v>
      </c>
      <c r="B355">
        <f t="shared" ca="1" si="46"/>
        <v>-0.63128748824361414</v>
      </c>
      <c r="C355">
        <f t="shared" ca="1" si="50"/>
        <v>-6.4084871375149861</v>
      </c>
      <c r="D355" s="22">
        <f t="shared" ca="1" si="47"/>
        <v>0.32686747037459785</v>
      </c>
      <c r="F355">
        <f t="shared" si="48"/>
        <v>0.34900000000000025</v>
      </c>
      <c r="G355">
        <f t="shared" ca="1" si="49"/>
        <v>-5.080488191934138E-3</v>
      </c>
      <c r="H355">
        <f t="shared" ca="1" si="51"/>
        <v>-5.0812400385318712E-3</v>
      </c>
      <c r="I355">
        <f t="shared" ca="1" si="52"/>
        <v>1.0148044061369947E-2</v>
      </c>
      <c r="J355" s="5">
        <f t="shared" ca="1" si="53"/>
        <v>1.5229284099901819E-2</v>
      </c>
    </row>
    <row r="356" spans="1:10" x14ac:dyDescent="0.2">
      <c r="A356">
        <f t="shared" ca="1" si="45"/>
        <v>0.966603919625041</v>
      </c>
      <c r="B356">
        <f t="shared" ca="1" si="46"/>
        <v>1.8330700072691555</v>
      </c>
      <c r="C356">
        <f t="shared" ca="1" si="50"/>
        <v>-4.5754171302458309</v>
      </c>
      <c r="D356" s="22">
        <f t="shared" ca="1" si="47"/>
        <v>7.4347044430366147E-2</v>
      </c>
      <c r="F356">
        <f t="shared" si="48"/>
        <v>0.35000000000000026</v>
      </c>
      <c r="G356">
        <f t="shared" ca="1" si="49"/>
        <v>-7.0661871785591916E-3</v>
      </c>
      <c r="H356">
        <f t="shared" ca="1" si="51"/>
        <v>-7.0670382357446073E-3</v>
      </c>
      <c r="I356">
        <f t="shared" ca="1" si="52"/>
        <v>1.0128767851844493E-2</v>
      </c>
      <c r="J356" s="5">
        <f t="shared" ca="1" si="53"/>
        <v>1.71958060875891E-2</v>
      </c>
    </row>
    <row r="357" spans="1:10" x14ac:dyDescent="0.2">
      <c r="A357">
        <f t="shared" ca="1" si="45"/>
        <v>0.38576691000519703</v>
      </c>
      <c r="B357">
        <f t="shared" ca="1" si="46"/>
        <v>-0.29036917903039833</v>
      </c>
      <c r="C357">
        <f t="shared" ca="1" si="50"/>
        <v>-4.8657863092762295</v>
      </c>
      <c r="D357" s="22">
        <f t="shared" ca="1" si="47"/>
        <v>0.38247359404690784</v>
      </c>
      <c r="F357">
        <f t="shared" si="48"/>
        <v>0.35100000000000026</v>
      </c>
      <c r="G357">
        <f t="shared" ca="1" si="49"/>
        <v>-1.2590945833832823E-3</v>
      </c>
      <c r="H357">
        <f t="shared" ca="1" si="51"/>
        <v>-1.259655198409094E-3</v>
      </c>
      <c r="I357">
        <f t="shared" ca="1" si="52"/>
        <v>1.0188619413569942E-2</v>
      </c>
      <c r="J357" s="5">
        <f t="shared" ca="1" si="53"/>
        <v>1.1448274611979035E-2</v>
      </c>
    </row>
    <row r="358" spans="1:10" x14ac:dyDescent="0.2">
      <c r="A358">
        <f t="shared" ca="1" si="45"/>
        <v>5.6441403675782431E-2</v>
      </c>
      <c r="B358">
        <f t="shared" ca="1" si="46"/>
        <v>-1.5853677356101192</v>
      </c>
      <c r="C358">
        <f t="shared" ca="1" si="50"/>
        <v>-6.4511540448863487</v>
      </c>
      <c r="D358" s="22">
        <f t="shared" ca="1" si="47"/>
        <v>0.11353615327070909</v>
      </c>
      <c r="F358">
        <f t="shared" si="48"/>
        <v>0.35200000000000026</v>
      </c>
      <c r="G358">
        <f t="shared" ca="1" si="49"/>
        <v>-2.1671512387672906E-3</v>
      </c>
      <c r="H358">
        <f t="shared" ca="1" si="51"/>
        <v>-2.1677572009385143E-3</v>
      </c>
      <c r="I358">
        <f t="shared" ca="1" si="52"/>
        <v>1.0180235308601225E-2</v>
      </c>
      <c r="J358" s="5">
        <f t="shared" ca="1" si="53"/>
        <v>1.2347992509539739E-2</v>
      </c>
    </row>
    <row r="359" spans="1:10" x14ac:dyDescent="0.2">
      <c r="A359">
        <f t="shared" ca="1" si="45"/>
        <v>1.5211448272764549E-2</v>
      </c>
      <c r="B359">
        <f t="shared" ca="1" si="46"/>
        <v>-2.164540438546759</v>
      </c>
      <c r="C359">
        <f t="shared" ca="1" si="50"/>
        <v>-8.6156944834331082</v>
      </c>
      <c r="D359" s="22">
        <f t="shared" ca="1" si="47"/>
        <v>3.832870490227009E-2</v>
      </c>
      <c r="F359">
        <f t="shared" si="48"/>
        <v>0.35300000000000026</v>
      </c>
      <c r="G359">
        <f t="shared" ca="1" si="49"/>
        <v>-7.1700573497291498E-3</v>
      </c>
      <c r="H359">
        <f t="shared" ca="1" si="51"/>
        <v>-7.1709133986900299E-3</v>
      </c>
      <c r="I359">
        <f t="shared" ca="1" si="52"/>
        <v>1.013028804471916E-2</v>
      </c>
      <c r="J359" s="5">
        <f t="shared" ca="1" si="53"/>
        <v>1.730120144340919E-2</v>
      </c>
    </row>
    <row r="360" spans="1:10" x14ac:dyDescent="0.2">
      <c r="A360">
        <f t="shared" ca="1" si="45"/>
        <v>0.5767679993169138</v>
      </c>
      <c r="B360">
        <f t="shared" ca="1" si="46"/>
        <v>0.19363204933008993</v>
      </c>
      <c r="C360">
        <f t="shared" ca="1" si="50"/>
        <v>-8.4220624341030188</v>
      </c>
      <c r="D360" s="22">
        <f t="shared" ca="1" si="47"/>
        <v>0.39153310079912063</v>
      </c>
      <c r="F360">
        <f t="shared" si="48"/>
        <v>0.35400000000000026</v>
      </c>
      <c r="G360">
        <f t="shared" ca="1" si="49"/>
        <v>-1.4003876523539958E-2</v>
      </c>
      <c r="H360">
        <f t="shared" ca="1" si="51"/>
        <v>-1.4005074180697644E-2</v>
      </c>
      <c r="I360">
        <f t="shared" ca="1" si="52"/>
        <v>1.0062140091515894E-2</v>
      </c>
      <c r="J360" s="5">
        <f t="shared" ca="1" si="53"/>
        <v>2.406721427221354E-2</v>
      </c>
    </row>
    <row r="361" spans="1:10" x14ac:dyDescent="0.2">
      <c r="A361">
        <f t="shared" ca="1" si="45"/>
        <v>0.42099860685479484</v>
      </c>
      <c r="B361">
        <f t="shared" ca="1" si="46"/>
        <v>-0.19933946023230106</v>
      </c>
      <c r="C361">
        <f t="shared" ca="1" si="50"/>
        <v>-8.6214018943353192</v>
      </c>
      <c r="D361" s="22">
        <f t="shared" ca="1" si="47"/>
        <v>0.39109427191826773</v>
      </c>
      <c r="F361">
        <f t="shared" si="48"/>
        <v>0.35500000000000026</v>
      </c>
      <c r="G361">
        <f t="shared" ca="1" si="49"/>
        <v>-1.3380189016638407E-2</v>
      </c>
      <c r="H361">
        <f t="shared" ca="1" si="51"/>
        <v>-1.338135536939041E-2</v>
      </c>
      <c r="I361">
        <f t="shared" ca="1" si="52"/>
        <v>1.0069259745012708E-2</v>
      </c>
      <c r="J361" s="5">
        <f t="shared" ca="1" si="53"/>
        <v>2.345061511440312E-2</v>
      </c>
    </row>
    <row r="362" spans="1:10" x14ac:dyDescent="0.2">
      <c r="A362">
        <f t="shared" ca="1" si="45"/>
        <v>0.44773507164507664</v>
      </c>
      <c r="B362">
        <f t="shared" ca="1" si="46"/>
        <v>-0.13138577213006822</v>
      </c>
      <c r="C362">
        <f t="shared" ca="1" si="50"/>
        <v>-8.7527876664653874</v>
      </c>
      <c r="D362" s="22">
        <f t="shared" ca="1" si="47"/>
        <v>0.39551378262835873</v>
      </c>
      <c r="F362">
        <f t="shared" si="48"/>
        <v>0.35600000000000026</v>
      </c>
      <c r="G362">
        <f t="shared" ca="1" si="49"/>
        <v>-1.3999186769478532E-2</v>
      </c>
      <c r="H362">
        <f t="shared" ca="1" si="51"/>
        <v>-1.40003839557361E-2</v>
      </c>
      <c r="I362">
        <f t="shared" ca="1" si="52"/>
        <v>1.0063870441186919E-2</v>
      </c>
      <c r="J362" s="5">
        <f t="shared" ca="1" si="53"/>
        <v>2.4064254396923019E-2</v>
      </c>
    </row>
    <row r="363" spans="1:10" x14ac:dyDescent="0.2">
      <c r="A363">
        <f t="shared" ca="1" si="45"/>
        <v>0.32581693190452754</v>
      </c>
      <c r="B363">
        <f t="shared" ca="1" si="46"/>
        <v>-0.4514935623476693</v>
      </c>
      <c r="C363">
        <f t="shared" ca="1" si="50"/>
        <v>-9.2042812288130573</v>
      </c>
      <c r="D363" s="22">
        <f t="shared" ca="1" si="47"/>
        <v>0.36028433075059435</v>
      </c>
      <c r="F363">
        <f t="shared" si="48"/>
        <v>0.35700000000000026</v>
      </c>
      <c r="G363">
        <f t="shared" ca="1" si="49"/>
        <v>-1.4403244939800344E-2</v>
      </c>
      <c r="H363">
        <f t="shared" ca="1" si="51"/>
        <v>-1.4404462209411415E-2</v>
      </c>
      <c r="I363">
        <f t="shared" ca="1" si="52"/>
        <v>1.0060645705932729E-2</v>
      </c>
      <c r="J363" s="5">
        <f t="shared" ca="1" si="53"/>
        <v>2.4465107915344144E-2</v>
      </c>
    </row>
    <row r="364" spans="1:10" x14ac:dyDescent="0.2">
      <c r="A364">
        <f t="shared" ca="1" si="45"/>
        <v>0.86920536520141878</v>
      </c>
      <c r="B364">
        <f t="shared" ca="1" si="46"/>
        <v>1.1226427072869354</v>
      </c>
      <c r="C364">
        <f t="shared" ca="1" si="50"/>
        <v>-8.0816385215261217</v>
      </c>
      <c r="D364" s="22">
        <f t="shared" ca="1" si="47"/>
        <v>0.21243868842306879</v>
      </c>
      <c r="F364">
        <f t="shared" si="48"/>
        <v>0.35800000000000026</v>
      </c>
      <c r="G364">
        <f t="shared" ca="1" si="49"/>
        <v>-1.5819481808799444E-2</v>
      </c>
      <c r="H364">
        <f t="shared" ca="1" si="51"/>
        <v>-1.5820769769112349E-2</v>
      </c>
      <c r="I364">
        <f t="shared" ca="1" si="52"/>
        <v>1.004724633140805E-2</v>
      </c>
      <c r="J364" s="5">
        <f t="shared" ca="1" si="53"/>
        <v>2.5868016100520398E-2</v>
      </c>
    </row>
    <row r="365" spans="1:10" x14ac:dyDescent="0.2">
      <c r="A365">
        <f t="shared" ca="1" si="45"/>
        <v>0.282103937188246</v>
      </c>
      <c r="B365">
        <f t="shared" ca="1" si="46"/>
        <v>-0.57660270069799346</v>
      </c>
      <c r="C365">
        <f t="shared" ca="1" si="50"/>
        <v>-8.658241222224115</v>
      </c>
      <c r="D365" s="22">
        <f t="shared" ca="1" si="47"/>
        <v>0.33784303987288333</v>
      </c>
      <c r="F365">
        <f t="shared" si="48"/>
        <v>0.35900000000000026</v>
      </c>
      <c r="G365">
        <f t="shared" ca="1" si="49"/>
        <v>-1.2257969984094189E-2</v>
      </c>
      <c r="H365">
        <f t="shared" ca="1" si="51"/>
        <v>-1.2259079738531013E-2</v>
      </c>
      <c r="I365">
        <f t="shared" ca="1" si="52"/>
        <v>1.0083936458034119E-2</v>
      </c>
      <c r="J365" s="5">
        <f t="shared" ca="1" si="53"/>
        <v>2.2343016196565132E-2</v>
      </c>
    </row>
    <row r="366" spans="1:10" x14ac:dyDescent="0.2">
      <c r="A366">
        <f t="shared" ca="1" si="45"/>
        <v>0.82564655917418306</v>
      </c>
      <c r="B366">
        <f t="shared" ca="1" si="46"/>
        <v>0.93710046621984533</v>
      </c>
      <c r="C366">
        <f t="shared" ca="1" si="50"/>
        <v>-7.72114075600427</v>
      </c>
      <c r="D366" s="22">
        <f t="shared" ca="1" si="47"/>
        <v>0.25717019520980666</v>
      </c>
      <c r="F366">
        <f t="shared" si="48"/>
        <v>0.36000000000000026</v>
      </c>
      <c r="G366">
        <f t="shared" ca="1" si="49"/>
        <v>-1.4070031422483515E-2</v>
      </c>
      <c r="H366">
        <f t="shared" ca="1" si="51"/>
        <v>-1.4071231669767179E-2</v>
      </c>
      <c r="I366">
        <f t="shared" ca="1" si="52"/>
        <v>1.0066522658875338E-2</v>
      </c>
      <c r="J366" s="5">
        <f t="shared" ca="1" si="53"/>
        <v>2.4137754328642517E-2</v>
      </c>
    </row>
    <row r="367" spans="1:10" x14ac:dyDescent="0.2">
      <c r="A367">
        <f t="shared" ca="1" si="45"/>
        <v>6.9110728922394893E-2</v>
      </c>
      <c r="B367">
        <f t="shared" ca="1" si="46"/>
        <v>-1.4824467674585531</v>
      </c>
      <c r="C367">
        <f t="shared" ca="1" si="50"/>
        <v>-9.2035875234628222</v>
      </c>
      <c r="D367" s="22">
        <f t="shared" ca="1" si="47"/>
        <v>0.13295258176972086</v>
      </c>
      <c r="F367">
        <f t="shared" si="48"/>
        <v>0.36100000000000027</v>
      </c>
      <c r="G367">
        <f t="shared" ca="1" si="49"/>
        <v>-1.1095401282432082E-2</v>
      </c>
      <c r="H367">
        <f t="shared" ca="1" si="51"/>
        <v>-1.1096452676939813E-2</v>
      </c>
      <c r="I367">
        <f t="shared" ca="1" si="52"/>
        <v>1.009735695593952E-2</v>
      </c>
      <c r="J367" s="5">
        <f t="shared" ca="1" si="53"/>
        <v>2.1193809632879333E-2</v>
      </c>
    </row>
    <row r="368" spans="1:10" x14ac:dyDescent="0.2">
      <c r="A368">
        <f t="shared" ca="1" si="45"/>
        <v>0.86238629068094508</v>
      </c>
      <c r="B368">
        <f t="shared" ca="1" si="46"/>
        <v>1.0911033279560645</v>
      </c>
      <c r="C368">
        <f t="shared" ca="1" si="50"/>
        <v>-8.1124841955067577</v>
      </c>
      <c r="D368" s="22">
        <f t="shared" ca="1" si="47"/>
        <v>0.2199859123741422</v>
      </c>
      <c r="F368">
        <f t="shared" si="48"/>
        <v>0.36200000000000027</v>
      </c>
      <c r="G368">
        <f t="shared" ca="1" si="49"/>
        <v>-1.5771966207236632E-2</v>
      </c>
      <c r="H368">
        <f t="shared" ca="1" si="51"/>
        <v>-1.5773251326795131E-2</v>
      </c>
      <c r="I368">
        <f t="shared" ca="1" si="52"/>
        <v>1.0051087059451312E-2</v>
      </c>
      <c r="J368" s="5">
        <f t="shared" ca="1" si="53"/>
        <v>2.5824338386246443E-2</v>
      </c>
    </row>
    <row r="369" spans="1:10" x14ac:dyDescent="0.2">
      <c r="A369">
        <f t="shared" ca="1" si="45"/>
        <v>0.70682800352423547</v>
      </c>
      <c r="B369">
        <f t="shared" ca="1" si="46"/>
        <v>0.54414166201602387</v>
      </c>
      <c r="C369">
        <f t="shared" ca="1" si="50"/>
        <v>-7.5683425334907337</v>
      </c>
      <c r="D369" s="22">
        <f t="shared" ca="1" si="47"/>
        <v>0.34404472780381284</v>
      </c>
      <c r="F369">
        <f t="shared" si="48"/>
        <v>0.36300000000000027</v>
      </c>
      <c r="G369">
        <f t="shared" ca="1" si="49"/>
        <v>-1.2310190421921595E-2</v>
      </c>
      <c r="H369">
        <f t="shared" ca="1" si="51"/>
        <v>-1.2311302322731615E-2</v>
      </c>
      <c r="I369">
        <f t="shared" ca="1" si="52"/>
        <v>1.0086785142948747E-2</v>
      </c>
      <c r="J369" s="5">
        <f t="shared" ca="1" si="53"/>
        <v>2.2398087465680363E-2</v>
      </c>
    </row>
    <row r="370" spans="1:10" x14ac:dyDescent="0.2">
      <c r="A370">
        <f t="shared" ca="1" si="45"/>
        <v>0.42889365770376109</v>
      </c>
      <c r="B370">
        <f t="shared" ca="1" si="46"/>
        <v>-0.17919152842367353</v>
      </c>
      <c r="C370">
        <f t="shared" ca="1" si="50"/>
        <v>-7.7475340619144069</v>
      </c>
      <c r="D370" s="22">
        <f t="shared" ca="1" si="47"/>
        <v>0.39258848207239416</v>
      </c>
      <c r="F370">
        <f t="shared" si="48"/>
        <v>0.36400000000000027</v>
      </c>
      <c r="G370">
        <f t="shared" ca="1" si="49"/>
        <v>-1.0578318975417868E-2</v>
      </c>
      <c r="H370">
        <f t="shared" ca="1" si="51"/>
        <v>-1.0579344170739177E-2</v>
      </c>
      <c r="I370">
        <f t="shared" ca="1" si="52"/>
        <v>1.0105116628746177E-2</v>
      </c>
      <c r="J370" s="5">
        <f t="shared" ca="1" si="53"/>
        <v>2.0684460799485355E-2</v>
      </c>
    </row>
    <row r="371" spans="1:10" x14ac:dyDescent="0.2">
      <c r="A371">
        <f t="shared" ca="1" si="45"/>
        <v>0.26404127355064522</v>
      </c>
      <c r="B371">
        <f t="shared" ca="1" si="46"/>
        <v>-0.63093573207457665</v>
      </c>
      <c r="C371">
        <f t="shared" ca="1" si="50"/>
        <v>-8.3784697939889838</v>
      </c>
      <c r="D371" s="22">
        <f t="shared" ca="1" si="47"/>
        <v>0.32694004215896849</v>
      </c>
      <c r="F371">
        <f t="shared" si="48"/>
        <v>0.36500000000000027</v>
      </c>
      <c r="G371">
        <f t="shared" ca="1" si="49"/>
        <v>-1.1133886732131216E-2</v>
      </c>
      <c r="H371">
        <f t="shared" ca="1" si="51"/>
        <v>-1.1134939603547713E-2</v>
      </c>
      <c r="I371">
        <f t="shared" ca="1" si="52"/>
        <v>1.0100351640261787E-2</v>
      </c>
      <c r="J371" s="5">
        <f t="shared" ca="1" si="53"/>
        <v>2.12352912438095E-2</v>
      </c>
    </row>
    <row r="372" spans="1:10" x14ac:dyDescent="0.2">
      <c r="A372">
        <f t="shared" ca="1" si="45"/>
        <v>0.892459834551529</v>
      </c>
      <c r="B372">
        <f t="shared" ca="1" si="46"/>
        <v>1.2397163408734417</v>
      </c>
      <c r="C372">
        <f t="shared" ca="1" si="50"/>
        <v>-7.1387534531155419</v>
      </c>
      <c r="D372" s="22">
        <f t="shared" ca="1" si="47"/>
        <v>0.18500233430491889</v>
      </c>
      <c r="F372">
        <f t="shared" si="48"/>
        <v>0.36600000000000027</v>
      </c>
      <c r="G372">
        <f t="shared" ca="1" si="49"/>
        <v>-1.3117868114108274E-2</v>
      </c>
      <c r="H372">
        <f t="shared" ca="1" si="51"/>
        <v>-1.3119020080128774E-2</v>
      </c>
      <c r="I372">
        <f t="shared" ca="1" si="52"/>
        <v>1.00811772362875E-2</v>
      </c>
      <c r="J372" s="5">
        <f t="shared" ca="1" si="53"/>
        <v>2.3200197316416274E-2</v>
      </c>
    </row>
    <row r="373" spans="1:10" x14ac:dyDescent="0.2">
      <c r="A373">
        <f t="shared" ca="1" si="45"/>
        <v>0.29105831993832598</v>
      </c>
      <c r="B373">
        <f t="shared" ca="1" si="46"/>
        <v>-0.55029560259039412</v>
      </c>
      <c r="C373">
        <f t="shared" ca="1" si="50"/>
        <v>-7.6890490557059357</v>
      </c>
      <c r="D373" s="22">
        <f t="shared" ca="1" si="47"/>
        <v>0.34288808827012701</v>
      </c>
      <c r="F373">
        <f t="shared" si="48"/>
        <v>0.36700000000000027</v>
      </c>
      <c r="G373">
        <f t="shared" ca="1" si="49"/>
        <v>-9.1864256113750702E-3</v>
      </c>
      <c r="H373">
        <f t="shared" ca="1" si="51"/>
        <v>-9.187380888430987E-3</v>
      </c>
      <c r="I373">
        <f t="shared" ca="1" si="52"/>
        <v>1.0121737839909831E-2</v>
      </c>
      <c r="J373" s="5">
        <f t="shared" ca="1" si="53"/>
        <v>1.9309118728340818E-2</v>
      </c>
    </row>
    <row r="374" spans="1:10" x14ac:dyDescent="0.2">
      <c r="A374">
        <f t="shared" ca="1" si="45"/>
        <v>0.9759693428492775</v>
      </c>
      <c r="B374">
        <f t="shared" ca="1" si="46"/>
        <v>1.976825888612352</v>
      </c>
      <c r="C374">
        <f t="shared" ca="1" si="50"/>
        <v>-5.7122231670935832</v>
      </c>
      <c r="D374" s="22">
        <f t="shared" ca="1" si="47"/>
        <v>5.6537065456112541E-2</v>
      </c>
      <c r="F374">
        <f t="shared" si="48"/>
        <v>0.36800000000000027</v>
      </c>
      <c r="G374">
        <f t="shared" ca="1" si="49"/>
        <v>-1.0915607999539067E-2</v>
      </c>
      <c r="H374">
        <f t="shared" ca="1" si="51"/>
        <v>-1.0916649640902642E-2</v>
      </c>
      <c r="I374">
        <f t="shared" ca="1" si="52"/>
        <v>1.0105099373883828E-2</v>
      </c>
      <c r="J374" s="5">
        <f t="shared" ca="1" si="53"/>
        <v>2.102174901478647E-2</v>
      </c>
    </row>
    <row r="375" spans="1:10" x14ac:dyDescent="0.2">
      <c r="A375">
        <f t="shared" ca="1" si="45"/>
        <v>0.75363347756405641</v>
      </c>
      <c r="B375">
        <f t="shared" ca="1" si="46"/>
        <v>0.68596838508190761</v>
      </c>
      <c r="C375">
        <f t="shared" ca="1" si="50"/>
        <v>-5.0262547820116756</v>
      </c>
      <c r="D375" s="22">
        <f t="shared" ca="1" si="47"/>
        <v>0.31530500276621676</v>
      </c>
      <c r="F375">
        <f t="shared" si="48"/>
        <v>0.36900000000000027</v>
      </c>
      <c r="G375">
        <f t="shared" ca="1" si="49"/>
        <v>-4.6535571982916852E-3</v>
      </c>
      <c r="H375">
        <f t="shared" ca="1" si="51"/>
        <v>-4.6542856303372062E-3</v>
      </c>
      <c r="I375">
        <f t="shared" ca="1" si="52"/>
        <v>1.0169433010057382E-2</v>
      </c>
      <c r="J375" s="5">
        <f t="shared" ca="1" si="53"/>
        <v>1.4823718640394588E-2</v>
      </c>
    </row>
    <row r="376" spans="1:10" x14ac:dyDescent="0.2">
      <c r="A376">
        <f t="shared" ca="1" si="45"/>
        <v>0.76526054745219163</v>
      </c>
      <c r="B376">
        <f t="shared" ca="1" si="46"/>
        <v>0.72332716842396005</v>
      </c>
      <c r="C376">
        <f t="shared" ca="1" si="50"/>
        <v>-4.3029276135877152</v>
      </c>
      <c r="D376" s="22">
        <f t="shared" ca="1" si="47"/>
        <v>0.3071129666623984</v>
      </c>
      <c r="F376">
        <f t="shared" si="48"/>
        <v>0.37000000000000027</v>
      </c>
      <c r="G376">
        <f t="shared" ca="1" si="49"/>
        <v>-2.4739783227018738E-3</v>
      </c>
      <c r="H376">
        <f t="shared" ca="1" si="51"/>
        <v>-2.4745977020478763E-3</v>
      </c>
      <c r="I376">
        <f t="shared" ca="1" si="52"/>
        <v>1.0192484956607861E-2</v>
      </c>
      <c r="J376" s="5">
        <f t="shared" ca="1" si="53"/>
        <v>1.2667082658655737E-2</v>
      </c>
    </row>
    <row r="377" spans="1:10" x14ac:dyDescent="0.2">
      <c r="A377">
        <f t="shared" ca="1" si="45"/>
        <v>0.64214541731467312</v>
      </c>
      <c r="B377">
        <f t="shared" ca="1" si="46"/>
        <v>0.36419933253964865</v>
      </c>
      <c r="C377">
        <f t="shared" ca="1" si="50"/>
        <v>-3.9387282810480668</v>
      </c>
      <c r="D377" s="22">
        <f t="shared" ca="1" si="47"/>
        <v>0.37334247759022032</v>
      </c>
      <c r="F377">
        <f t="shared" si="48"/>
        <v>0.37100000000000027</v>
      </c>
      <c r="G377">
        <f t="shared" ca="1" si="49"/>
        <v>-1.7648445482463431E-4</v>
      </c>
      <c r="H377">
        <f t="shared" ca="1" si="51"/>
        <v>-1.7698889657773208E-4</v>
      </c>
      <c r="I377">
        <f t="shared" ca="1" si="52"/>
        <v>1.0216796086234412E-2</v>
      </c>
      <c r="J377" s="5">
        <f t="shared" ca="1" si="53"/>
        <v>1.0393784982812144E-2</v>
      </c>
    </row>
    <row r="378" spans="1:10" x14ac:dyDescent="0.2">
      <c r="A378">
        <f t="shared" ca="1" si="45"/>
        <v>7.9745956387951233E-2</v>
      </c>
      <c r="B378">
        <f t="shared" ca="1" si="46"/>
        <v>-1.4067824344778403</v>
      </c>
      <c r="C378">
        <f t="shared" ca="1" si="50"/>
        <v>-5.345510715525907</v>
      </c>
      <c r="D378" s="22">
        <f t="shared" ca="1" si="47"/>
        <v>0.14830905957607809</v>
      </c>
      <c r="F378">
        <f t="shared" si="48"/>
        <v>0.37200000000000027</v>
      </c>
      <c r="G378">
        <f t="shared" ca="1" si="49"/>
        <v>9.8517452332209932E-4</v>
      </c>
      <c r="H378">
        <f t="shared" ca="1" si="51"/>
        <v>9.8472821545029132E-4</v>
      </c>
      <c r="I378">
        <f t="shared" ca="1" si="52"/>
        <v>1.0229541302995622E-2</v>
      </c>
      <c r="J378" s="5">
        <f t="shared" ca="1" si="53"/>
        <v>9.2448130875453297E-3</v>
      </c>
    </row>
    <row r="379" spans="1:10" x14ac:dyDescent="0.2">
      <c r="A379">
        <f t="shared" ca="1" si="45"/>
        <v>0.10611231856641912</v>
      </c>
      <c r="B379">
        <f t="shared" ca="1" si="46"/>
        <v>-1.2474715732534487</v>
      </c>
      <c r="C379">
        <f t="shared" ca="1" si="50"/>
        <v>-6.5929822887793552</v>
      </c>
      <c r="D379" s="22">
        <f t="shared" ca="1" si="47"/>
        <v>0.18322668145031754</v>
      </c>
      <c r="F379">
        <f t="shared" si="48"/>
        <v>0.37300000000000028</v>
      </c>
      <c r="G379">
        <f t="shared" ca="1" si="49"/>
        <v>-3.4533387318887447E-3</v>
      </c>
      <c r="H379">
        <f t="shared" ca="1" si="51"/>
        <v>-3.454006922637815E-3</v>
      </c>
      <c r="I379">
        <f t="shared" ca="1" si="52"/>
        <v>1.0185102402515075E-2</v>
      </c>
      <c r="J379" s="5">
        <f t="shared" ca="1" si="53"/>
        <v>1.3639109325152891E-2</v>
      </c>
    </row>
    <row r="380" spans="1:10" x14ac:dyDescent="0.2">
      <c r="A380">
        <f t="shared" ca="1" si="45"/>
        <v>0.83756140733278439</v>
      </c>
      <c r="B380">
        <f t="shared" ca="1" si="46"/>
        <v>0.98448483274718024</v>
      </c>
      <c r="C380">
        <f t="shared" ca="1" si="50"/>
        <v>-5.6084974560321754</v>
      </c>
      <c r="D380" s="22">
        <f t="shared" ca="1" si="47"/>
        <v>0.24572463838402109</v>
      </c>
      <c r="F380">
        <f t="shared" si="48"/>
        <v>0.37400000000000028</v>
      </c>
      <c r="G380">
        <f t="shared" ca="1" si="49"/>
        <v>-7.3876481687031818E-3</v>
      </c>
      <c r="H380">
        <f t="shared" ca="1" si="51"/>
        <v>-7.3885130097400345E-3</v>
      </c>
      <c r="I380">
        <f t="shared" ca="1" si="52"/>
        <v>1.0145966652626943E-2</v>
      </c>
      <c r="J380" s="5">
        <f t="shared" ca="1" si="53"/>
        <v>1.7534479662366979E-2</v>
      </c>
    </row>
    <row r="381" spans="1:10" x14ac:dyDescent="0.2">
      <c r="A381">
        <f t="shared" ca="1" si="45"/>
        <v>9.3989945446525613E-2</v>
      </c>
      <c r="B381">
        <f t="shared" ca="1" si="46"/>
        <v>-1.3165786746234505</v>
      </c>
      <c r="C381">
        <f t="shared" ca="1" si="50"/>
        <v>-6.9250761306556257</v>
      </c>
      <c r="D381" s="22">
        <f t="shared" ca="1" si="47"/>
        <v>0.16769167787794853</v>
      </c>
      <c r="F381">
        <f t="shared" si="48"/>
        <v>0.37500000000000028</v>
      </c>
      <c r="G381">
        <f t="shared" ca="1" si="49"/>
        <v>-4.2638512016697321E-3</v>
      </c>
      <c r="H381">
        <f t="shared" ca="1" si="51"/>
        <v>-4.2645597650680491E-3</v>
      </c>
      <c r="I381">
        <f t="shared" ca="1" si="52"/>
        <v>1.017856935914874E-2</v>
      </c>
      <c r="J381" s="5">
        <f t="shared" ca="1" si="53"/>
        <v>1.4443129124216789E-2</v>
      </c>
    </row>
    <row r="382" spans="1:10" x14ac:dyDescent="0.2">
      <c r="A382">
        <f t="shared" ca="1" si="45"/>
        <v>0.20869315933288213</v>
      </c>
      <c r="B382">
        <f t="shared" ca="1" si="46"/>
        <v>-0.81096404559486746</v>
      </c>
      <c r="C382">
        <f t="shared" ca="1" si="50"/>
        <v>-7.7360401762504933</v>
      </c>
      <c r="D382" s="22">
        <f t="shared" ca="1" si="47"/>
        <v>0.28714445140917966</v>
      </c>
      <c r="F382">
        <f t="shared" si="48"/>
        <v>0.37600000000000028</v>
      </c>
      <c r="G382">
        <f t="shared" ca="1" si="49"/>
        <v>-8.4166045077740895E-3</v>
      </c>
      <c r="H382">
        <f t="shared" ca="1" si="51"/>
        <v>-8.4175206397073734E-3</v>
      </c>
      <c r="I382">
        <f t="shared" ca="1" si="52"/>
        <v>1.0137243119101771E-2</v>
      </c>
      <c r="J382" s="5">
        <f t="shared" ca="1" si="53"/>
        <v>1.8554763758809142E-2</v>
      </c>
    </row>
    <row r="383" spans="1:10" x14ac:dyDescent="0.2">
      <c r="A383">
        <f t="shared" ca="1" si="45"/>
        <v>0.5287271312989914</v>
      </c>
      <c r="B383">
        <f t="shared" ca="1" si="46"/>
        <v>7.2070582110860523E-2</v>
      </c>
      <c r="C383">
        <f t="shared" ca="1" si="50"/>
        <v>-7.6639695941396324</v>
      </c>
      <c r="D383" s="22">
        <f t="shared" ca="1" si="47"/>
        <v>0.39790753786579358</v>
      </c>
      <c r="F383">
        <f t="shared" si="48"/>
        <v>0.37700000000000028</v>
      </c>
      <c r="G383">
        <f t="shared" ca="1" si="49"/>
        <v>-1.0970128654640917E-2</v>
      </c>
      <c r="H383">
        <f t="shared" ca="1" si="51"/>
        <v>-1.0971172372227823E-2</v>
      </c>
      <c r="I383">
        <f t="shared" ca="1" si="52"/>
        <v>1.0112240148310737E-2</v>
      </c>
      <c r="J383" s="5">
        <f t="shared" ca="1" si="53"/>
        <v>2.1083412520538559E-2</v>
      </c>
    </row>
    <row r="384" spans="1:10" x14ac:dyDescent="0.2">
      <c r="A384">
        <f t="shared" ca="1" si="45"/>
        <v>0.72386660363829702</v>
      </c>
      <c r="B384">
        <f t="shared" ca="1" si="46"/>
        <v>0.59436682424006815</v>
      </c>
      <c r="C384">
        <f t="shared" ca="1" si="50"/>
        <v>-7.0696027698995643</v>
      </c>
      <c r="D384" s="22">
        <f t="shared" ca="1" si="47"/>
        <v>0.33434747111952418</v>
      </c>
      <c r="F384">
        <f t="shared" si="48"/>
        <v>0.37800000000000028</v>
      </c>
      <c r="G384">
        <f t="shared" ca="1" si="49"/>
        <v>-1.0731136399727897E-2</v>
      </c>
      <c r="H384">
        <f t="shared" ca="1" si="51"/>
        <v>-1.0732168063226095E-2</v>
      </c>
      <c r="I384">
        <f t="shared" ca="1" si="52"/>
        <v>1.0115505990633086E-2</v>
      </c>
      <c r="J384" s="5">
        <f t="shared" ca="1" si="53"/>
        <v>2.0847674053859181E-2</v>
      </c>
    </row>
    <row r="385" spans="1:10" x14ac:dyDescent="0.2">
      <c r="A385">
        <f t="shared" ca="1" si="45"/>
        <v>0.63539461552509913</v>
      </c>
      <c r="B385">
        <f t="shared" ca="1" si="46"/>
        <v>0.34617557580222458</v>
      </c>
      <c r="C385">
        <f t="shared" ca="1" si="50"/>
        <v>-6.72342719409734</v>
      </c>
      <c r="D385" s="22">
        <f t="shared" ca="1" si="47"/>
        <v>0.3757402127806117</v>
      </c>
      <c r="F385">
        <f t="shared" si="48"/>
        <v>0.37900000000000028</v>
      </c>
      <c r="G385">
        <f t="shared" ca="1" si="49"/>
        <v>-8.8406048832165053E-3</v>
      </c>
      <c r="H385">
        <f t="shared" ca="1" si="51"/>
        <v>-8.8415419161801782E-3</v>
      </c>
      <c r="I385">
        <f t="shared" ca="1" si="52"/>
        <v>1.0135499325080373E-2</v>
      </c>
      <c r="J385" s="5">
        <f t="shared" ca="1" si="53"/>
        <v>1.8977041241260553E-2</v>
      </c>
    </row>
    <row r="386" spans="1:10" x14ac:dyDescent="0.2">
      <c r="A386">
        <f t="shared" ca="1" si="45"/>
        <v>0.44950613949489482</v>
      </c>
      <c r="B386">
        <f t="shared" ca="1" si="46"/>
        <v>-0.12690918229356965</v>
      </c>
      <c r="C386">
        <f t="shared" ca="1" si="50"/>
        <v>-6.85033637639091</v>
      </c>
      <c r="D386" s="22">
        <f t="shared" ca="1" si="47"/>
        <v>0.39574251119115939</v>
      </c>
      <c r="F386">
        <f t="shared" si="48"/>
        <v>0.38000000000000028</v>
      </c>
      <c r="G386">
        <f t="shared" ca="1" si="49"/>
        <v>-7.7350728099417282E-3</v>
      </c>
      <c r="H386">
        <f t="shared" ca="1" si="51"/>
        <v>-7.7359544721332593E-3</v>
      </c>
      <c r="I386">
        <f t="shared" ca="1" si="52"/>
        <v>1.0147564737679171E-2</v>
      </c>
      <c r="J386" s="5">
        <f t="shared" ca="1" si="53"/>
        <v>1.7883519209812432E-2</v>
      </c>
    </row>
    <row r="387" spans="1:10" x14ac:dyDescent="0.2">
      <c r="A387">
        <f t="shared" ca="1" si="45"/>
        <v>0.67107948462051492</v>
      </c>
      <c r="B387">
        <f t="shared" ca="1" si="46"/>
        <v>0.442895903275282</v>
      </c>
      <c r="C387">
        <f t="shared" ca="1" si="50"/>
        <v>-6.4074404731156278</v>
      </c>
      <c r="D387" s="22">
        <f t="shared" ca="1" si="47"/>
        <v>0.36167222838398705</v>
      </c>
      <c r="F387">
        <f t="shared" si="48"/>
        <v>0.38100000000000028</v>
      </c>
      <c r="G387">
        <f t="shared" ca="1" si="49"/>
        <v>-8.1256018480877837E-3</v>
      </c>
      <c r="H387">
        <f t="shared" ca="1" si="51"/>
        <v>-8.1265029487232378E-3</v>
      </c>
      <c r="I387">
        <f t="shared" ca="1" si="52"/>
        <v>1.0144456790663281E-2</v>
      </c>
      <c r="J387" s="5">
        <f t="shared" ca="1" si="53"/>
        <v>1.8270959739386521E-2</v>
      </c>
    </row>
    <row r="388" spans="1:10" x14ac:dyDescent="0.2">
      <c r="A388">
        <f t="shared" ca="1" si="45"/>
        <v>0.27617163800533295</v>
      </c>
      <c r="B388">
        <f t="shared" ca="1" si="46"/>
        <v>-0.59425245117848913</v>
      </c>
      <c r="C388">
        <f t="shared" ca="1" si="50"/>
        <v>-7.001692924294117</v>
      </c>
      <c r="D388" s="22">
        <f t="shared" ca="1" si="47"/>
        <v>0.3343701984968705</v>
      </c>
      <c r="F388">
        <f t="shared" si="48"/>
        <v>0.38200000000000028</v>
      </c>
      <c r="G388">
        <f t="shared" ca="1" si="49"/>
        <v>-6.7143000328787721E-3</v>
      </c>
      <c r="H388">
        <f t="shared" ca="1" si="51"/>
        <v>-6.7151304777208452E-3</v>
      </c>
      <c r="I388">
        <f t="shared" ca="1" si="52"/>
        <v>1.0159639783349227E-2</v>
      </c>
      <c r="J388" s="5">
        <f t="shared" ca="1" si="53"/>
        <v>1.6874770261070073E-2</v>
      </c>
    </row>
    <row r="389" spans="1:10" x14ac:dyDescent="0.2">
      <c r="A389">
        <f t="shared" ca="1" si="45"/>
        <v>0.35054565172536611</v>
      </c>
      <c r="B389">
        <f t="shared" ca="1" si="46"/>
        <v>-0.3838477380535274</v>
      </c>
      <c r="C389">
        <f t="shared" ca="1" si="50"/>
        <v>-7.3855406623476441</v>
      </c>
      <c r="D389" s="22">
        <f t="shared" ca="1" si="47"/>
        <v>0.37060885334016713</v>
      </c>
      <c r="F389">
        <f t="shared" si="48"/>
        <v>0.38300000000000028</v>
      </c>
      <c r="G389">
        <f t="shared" ca="1" si="49"/>
        <v>-8.5827264316435028E-3</v>
      </c>
      <c r="H389">
        <f t="shared" ca="1" si="51"/>
        <v>-8.5836502155351106E-3</v>
      </c>
      <c r="I389">
        <f t="shared" ca="1" si="52"/>
        <v>1.0141529204108723E-2</v>
      </c>
      <c r="J389" s="5">
        <f t="shared" ca="1" si="53"/>
        <v>1.8725179419643835E-2</v>
      </c>
    </row>
    <row r="390" spans="1:10" x14ac:dyDescent="0.2">
      <c r="A390">
        <f t="shared" ca="1" si="45"/>
        <v>0.20978276905043824</v>
      </c>
      <c r="B390">
        <f t="shared" ca="1" si="46"/>
        <v>-0.80717522360011873</v>
      </c>
      <c r="C390">
        <f t="shared" ca="1" si="50"/>
        <v>-8.1927158859477629</v>
      </c>
      <c r="D390" s="22">
        <f t="shared" ca="1" si="47"/>
        <v>0.28802602049062637</v>
      </c>
      <c r="F390">
        <f t="shared" si="48"/>
        <v>0.38400000000000029</v>
      </c>
      <c r="G390">
        <f t="shared" ca="1" si="49"/>
        <v>-9.7856411397210675E-3</v>
      </c>
      <c r="H390">
        <f t="shared" ca="1" si="51"/>
        <v>-9.7866249774663898E-3</v>
      </c>
      <c r="I390">
        <f t="shared" ca="1" si="52"/>
        <v>1.0130188870430675E-2</v>
      </c>
      <c r="J390" s="5">
        <f t="shared" ca="1" si="53"/>
        <v>1.9916813847897064E-2</v>
      </c>
    </row>
    <row r="391" spans="1:10" x14ac:dyDescent="0.2">
      <c r="A391">
        <f t="shared" ref="A391:A454" ca="1" si="54">RAND()</f>
        <v>0.20058928669996268</v>
      </c>
      <c r="B391">
        <f t="shared" ref="B391:B454" ca="1" si="55">NORMSINV(A391)</f>
        <v>-0.83951821261926174</v>
      </c>
      <c r="C391">
        <f t="shared" ca="1" si="50"/>
        <v>-9.0322340985670238</v>
      </c>
      <c r="D391" s="22">
        <f t="shared" ref="D391:D454" ca="1" si="56">_xlfn.NORM.DIST(B391,0,1,FALSE)</f>
        <v>0.28045725678345995</v>
      </c>
      <c r="F391">
        <f t="shared" ref="F391:F454" si="57">F390+$M$2/$N$2</f>
        <v>0.38500000000000029</v>
      </c>
      <c r="G391">
        <f t="shared" ref="G391:G454" ca="1" si="58">G390*EXP(-$M$4*$O$2) + $O$4*(1-EXP(-$M$4*$O$2)) + $N$4* SQRT((1-EXP(-2*$M$4*$O$2))/(2*$M$4)) *B390</f>
        <v>-1.2327047681657707E-2</v>
      </c>
      <c r="H391">
        <f t="shared" ca="1" si="51"/>
        <v>-1.2328158492400716E-2</v>
      </c>
      <c r="I391">
        <f t="shared" ca="1" si="52"/>
        <v>1.010532437283853E-2</v>
      </c>
      <c r="J391" s="5">
        <f t="shared" ca="1" si="53"/>
        <v>2.2433482865239246E-2</v>
      </c>
    </row>
    <row r="392" spans="1:10" x14ac:dyDescent="0.2">
      <c r="A392">
        <f t="shared" ca="1" si="54"/>
        <v>0.93020557147248129</v>
      </c>
      <c r="B392">
        <f t="shared" ca="1" si="55"/>
        <v>1.4773238154444721</v>
      </c>
      <c r="C392">
        <f t="shared" ref="C392:C455" ca="1" si="59">B392+C391</f>
        <v>-7.5549102831225516</v>
      </c>
      <c r="D392" s="22">
        <f t="shared" ca="1" si="56"/>
        <v>0.13396437654626511</v>
      </c>
      <c r="F392">
        <f t="shared" si="57"/>
        <v>0.38600000000000029</v>
      </c>
      <c r="G392">
        <f t="shared" ca="1" si="58"/>
        <v>-1.4970472493622555E-2</v>
      </c>
      <c r="H392">
        <f t="shared" ref="H392:H455" ca="1" si="60">H391+($M$6 + $N$6*H391)*$O$2 + $O$6*H391^$P$6*SQRT($O$2)*B391</f>
        <v>-1.4971715365621856E-2</v>
      </c>
      <c r="I392">
        <f t="shared" ref="I392:I455" ca="1" si="61">I391*EXP(($M$8-0.5*($N$8^2))*$O$2 + $N$8*SQRT($O$2)*B391)</f>
        <v>1.0079489947159187E-2</v>
      </c>
      <c r="J392" s="5">
        <f t="shared" ref="J392:J455" ca="1" si="62">ABS(H392-I392)</f>
        <v>2.5051205312781044E-2</v>
      </c>
    </row>
    <row r="393" spans="1:10" x14ac:dyDescent="0.2">
      <c r="A393">
        <f t="shared" ca="1" si="54"/>
        <v>0.78328661087954699</v>
      </c>
      <c r="B393">
        <f t="shared" ca="1" si="55"/>
        <v>0.78334119510040612</v>
      </c>
      <c r="C393">
        <f t="shared" ca="1" si="59"/>
        <v>-6.7715690880221455</v>
      </c>
      <c r="D393" s="22">
        <f t="shared" ca="1" si="56"/>
        <v>0.29353739209177904</v>
      </c>
      <c r="F393">
        <f t="shared" si="57"/>
        <v>0.38700000000000029</v>
      </c>
      <c r="G393">
        <f t="shared" ca="1" si="58"/>
        <v>-1.0287501498464247E-2</v>
      </c>
      <c r="H393">
        <f t="shared" ca="1" si="60"/>
        <v>-1.0288510095670526E-2</v>
      </c>
      <c r="I393">
        <f t="shared" ca="1" si="61"/>
        <v>1.0127650626277561E-2</v>
      </c>
      <c r="J393" s="5">
        <f t="shared" ca="1" si="62"/>
        <v>2.0416160721948087E-2</v>
      </c>
    </row>
    <row r="394" spans="1:10" x14ac:dyDescent="0.2">
      <c r="A394">
        <f t="shared" ca="1" si="54"/>
        <v>0.84550018873900312</v>
      </c>
      <c r="B394">
        <f t="shared" ca="1" si="55"/>
        <v>1.017323370315278</v>
      </c>
      <c r="C394">
        <f t="shared" ca="1" si="59"/>
        <v>-5.7542457177068673</v>
      </c>
      <c r="D394" s="22">
        <f t="shared" ca="1" si="56"/>
        <v>0.23777939353152885</v>
      </c>
      <c r="F394">
        <f t="shared" si="57"/>
        <v>0.38800000000000029</v>
      </c>
      <c r="G394">
        <f t="shared" ca="1" si="58"/>
        <v>-7.7994547901355012E-3</v>
      </c>
      <c r="H394">
        <f t="shared" ca="1" si="60"/>
        <v>-7.8003388831053453E-3</v>
      </c>
      <c r="I394">
        <f t="shared" ca="1" si="61"/>
        <v>1.0153733916063336E-2</v>
      </c>
      <c r="J394" s="5">
        <f t="shared" ca="1" si="62"/>
        <v>1.7954072799168681E-2</v>
      </c>
    </row>
    <row r="395" spans="1:10" x14ac:dyDescent="0.2">
      <c r="A395">
        <f t="shared" ca="1" si="54"/>
        <v>0.90059118190898235</v>
      </c>
      <c r="B395">
        <f t="shared" ca="1" si="55"/>
        <v>1.2849274539992788</v>
      </c>
      <c r="C395">
        <f t="shared" ca="1" si="59"/>
        <v>-4.4693182637075886</v>
      </c>
      <c r="D395" s="22">
        <f t="shared" ca="1" si="56"/>
        <v>0.17473970466990074</v>
      </c>
      <c r="F395">
        <f t="shared" si="57"/>
        <v>0.38900000000000029</v>
      </c>
      <c r="G395">
        <f t="shared" ca="1" si="58"/>
        <v>-4.5717772627670303E-3</v>
      </c>
      <c r="H395">
        <f t="shared" ca="1" si="60"/>
        <v>-4.572499882101828E-3</v>
      </c>
      <c r="I395">
        <f t="shared" ca="1" si="61"/>
        <v>1.018741943494875E-2</v>
      </c>
      <c r="J395" s="5">
        <f t="shared" ca="1" si="62"/>
        <v>1.4759919317050578E-2</v>
      </c>
    </row>
    <row r="396" spans="1:10" x14ac:dyDescent="0.2">
      <c r="A396">
        <f t="shared" ca="1" si="54"/>
        <v>0.7049315846087536</v>
      </c>
      <c r="B396">
        <f t="shared" ca="1" si="55"/>
        <v>0.53863775525550006</v>
      </c>
      <c r="C396">
        <f t="shared" ca="1" si="59"/>
        <v>-3.9306805084520886</v>
      </c>
      <c r="D396" s="22">
        <f t="shared" ca="1" si="56"/>
        <v>0.34507142689609793</v>
      </c>
      <c r="F396">
        <f t="shared" si="57"/>
        <v>0.39000000000000029</v>
      </c>
      <c r="G396">
        <f t="shared" ca="1" si="58"/>
        <v>-4.9822638156756145E-4</v>
      </c>
      <c r="H396">
        <f t="shared" ca="1" si="60"/>
        <v>-4.987452493946656E-4</v>
      </c>
      <c r="I396">
        <f t="shared" ca="1" si="61"/>
        <v>1.0229869954294313E-2</v>
      </c>
      <c r="J396" s="5">
        <f t="shared" ca="1" si="62"/>
        <v>1.0728615203688979E-2</v>
      </c>
    </row>
    <row r="397" spans="1:10" x14ac:dyDescent="0.2">
      <c r="A397">
        <f t="shared" ca="1" si="54"/>
        <v>0.17361944110839245</v>
      </c>
      <c r="B397">
        <f t="shared" ca="1" si="55"/>
        <v>-0.93995843370492704</v>
      </c>
      <c r="C397">
        <f t="shared" ca="1" si="59"/>
        <v>-4.870638942157016</v>
      </c>
      <c r="D397" s="22">
        <f t="shared" ca="1" si="56"/>
        <v>0.25648131532763641</v>
      </c>
      <c r="F397">
        <f t="shared" si="57"/>
        <v>0.39100000000000029</v>
      </c>
      <c r="G397">
        <f t="shared" ca="1" si="58"/>
        <v>1.2150599164053382E-3</v>
      </c>
      <c r="H397">
        <f t="shared" ca="1" si="60"/>
        <v>1.2146267654979848E-3</v>
      </c>
      <c r="I397">
        <f t="shared" ca="1" si="61"/>
        <v>1.0248283107354325E-2</v>
      </c>
      <c r="J397" s="5">
        <f t="shared" ca="1" si="62"/>
        <v>9.0336563418563411E-3</v>
      </c>
    </row>
    <row r="398" spans="1:10" x14ac:dyDescent="0.2">
      <c r="A398">
        <f t="shared" ca="1" si="54"/>
        <v>0.19160506069475192</v>
      </c>
      <c r="B398">
        <f t="shared" ca="1" si="55"/>
        <v>-0.87199680345445651</v>
      </c>
      <c r="C398">
        <f t="shared" ca="1" si="59"/>
        <v>-5.7426357456114729</v>
      </c>
      <c r="D398" s="22">
        <f t="shared" ca="1" si="56"/>
        <v>0.2727696137340771</v>
      </c>
      <c r="F398">
        <f t="shared" si="57"/>
        <v>0.39200000000000029</v>
      </c>
      <c r="G398">
        <f t="shared" ca="1" si="58"/>
        <v>-1.7473230256009205E-3</v>
      </c>
      <c r="H398">
        <f t="shared" ca="1" si="60"/>
        <v>-1.7479042535705164E-3</v>
      </c>
      <c r="I398">
        <f t="shared" ca="1" si="61"/>
        <v>1.0218836984199257E-2</v>
      </c>
      <c r="J398" s="5">
        <f t="shared" ca="1" si="62"/>
        <v>1.1966741237769774E-2</v>
      </c>
    </row>
    <row r="399" spans="1:10" x14ac:dyDescent="0.2">
      <c r="A399">
        <f t="shared" ca="1" si="54"/>
        <v>0.66001112186280597</v>
      </c>
      <c r="B399">
        <f t="shared" ca="1" si="55"/>
        <v>0.41249348320460233</v>
      </c>
      <c r="C399">
        <f t="shared" ca="1" si="59"/>
        <v>-5.3301422624068708</v>
      </c>
      <c r="D399" s="22">
        <f t="shared" ca="1" si="56"/>
        <v>0.36640574378064822</v>
      </c>
      <c r="F399">
        <f t="shared" si="57"/>
        <v>0.39300000000000029</v>
      </c>
      <c r="G399">
        <f t="shared" ca="1" si="58"/>
        <v>-4.4945069442642507E-3</v>
      </c>
      <c r="H399">
        <f t="shared" ca="1" si="60"/>
        <v>-4.4952254744474243E-3</v>
      </c>
      <c r="I399">
        <f t="shared" ca="1" si="61"/>
        <v>1.0191665559444951E-2</v>
      </c>
      <c r="J399" s="5">
        <f t="shared" ca="1" si="62"/>
        <v>1.4686891033892376E-2</v>
      </c>
    </row>
    <row r="400" spans="1:10" x14ac:dyDescent="0.2">
      <c r="A400">
        <f t="shared" ca="1" si="54"/>
        <v>9.7916111037823161E-2</v>
      </c>
      <c r="B400">
        <f t="shared" ca="1" si="55"/>
        <v>-1.2935172494184246</v>
      </c>
      <c r="C400">
        <f t="shared" ca="1" si="59"/>
        <v>-6.623659511825295</v>
      </c>
      <c r="D400" s="22">
        <f t="shared" ca="1" si="56"/>
        <v>0.17281528520509631</v>
      </c>
      <c r="F400">
        <f t="shared" si="57"/>
        <v>0.39400000000000029</v>
      </c>
      <c r="G400">
        <f t="shared" ca="1" si="58"/>
        <v>-3.1797043073509132E-3</v>
      </c>
      <c r="H400">
        <f t="shared" ca="1" si="60"/>
        <v>-3.1803570249970253E-3</v>
      </c>
      <c r="I400">
        <f t="shared" ca="1" si="61"/>
        <v>1.0205937953325344E-2</v>
      </c>
      <c r="J400" s="5">
        <f t="shared" ca="1" si="62"/>
        <v>1.3386294978322369E-2</v>
      </c>
    </row>
    <row r="401" spans="1:10" x14ac:dyDescent="0.2">
      <c r="A401">
        <f t="shared" ca="1" si="54"/>
        <v>0.86954620857847276</v>
      </c>
      <c r="B401">
        <f t="shared" ca="1" si="55"/>
        <v>1.1242485864210212</v>
      </c>
      <c r="C401">
        <f t="shared" ca="1" si="59"/>
        <v>-5.4994109254042733</v>
      </c>
      <c r="D401" s="22">
        <f t="shared" ca="1" si="56"/>
        <v>0.21205576949714933</v>
      </c>
      <c r="F401">
        <f t="shared" si="57"/>
        <v>0.3950000000000003</v>
      </c>
      <c r="G401">
        <f t="shared" ca="1" si="58"/>
        <v>-7.2596430391662151E-3</v>
      </c>
      <c r="H401">
        <f t="shared" ca="1" si="60"/>
        <v>-7.2604996901728591E-3</v>
      </c>
      <c r="I401">
        <f t="shared" ca="1" si="61"/>
        <v>1.0165241883229932E-2</v>
      </c>
      <c r="J401" s="5">
        <f t="shared" ca="1" si="62"/>
        <v>1.7425741573402792E-2</v>
      </c>
    </row>
    <row r="402" spans="1:10" x14ac:dyDescent="0.2">
      <c r="A402">
        <f t="shared" ca="1" si="54"/>
        <v>0.90825554553973276</v>
      </c>
      <c r="B402">
        <f t="shared" ca="1" si="55"/>
        <v>1.3300891227723801</v>
      </c>
      <c r="C402">
        <f t="shared" ca="1" si="59"/>
        <v>-4.1693218026318934</v>
      </c>
      <c r="D402" s="22">
        <f t="shared" ca="1" si="56"/>
        <v>0.16472018873615737</v>
      </c>
      <c r="F402">
        <f t="shared" si="57"/>
        <v>0.3960000000000003</v>
      </c>
      <c r="G402">
        <f t="shared" ca="1" si="58"/>
        <v>-3.6939091737307138E-3</v>
      </c>
      <c r="H402">
        <f t="shared" ca="1" si="60"/>
        <v>-3.6945874508887665E-3</v>
      </c>
      <c r="I402">
        <f t="shared" ca="1" si="61"/>
        <v>1.0202414711361293E-2</v>
      </c>
      <c r="J402" s="5">
        <f t="shared" ca="1" si="62"/>
        <v>1.3897002162250059E-2</v>
      </c>
    </row>
    <row r="403" spans="1:10" x14ac:dyDescent="0.2">
      <c r="A403">
        <f t="shared" ca="1" si="54"/>
        <v>0.83089911155963847</v>
      </c>
      <c r="B403">
        <f t="shared" ca="1" si="55"/>
        <v>0.95772434583379418</v>
      </c>
      <c r="C403">
        <f t="shared" ca="1" si="59"/>
        <v>-3.2115974567980992</v>
      </c>
      <c r="D403" s="22">
        <f t="shared" ca="1" si="56"/>
        <v>0.25219403830085951</v>
      </c>
      <c r="F403">
        <f t="shared" si="57"/>
        <v>0.3970000000000003</v>
      </c>
      <c r="G403">
        <f t="shared" ca="1" si="58"/>
        <v>5.2236052091684951E-4</v>
      </c>
      <c r="H403">
        <f t="shared" ca="1" si="60"/>
        <v>5.2189312683237734E-4</v>
      </c>
      <c r="I403">
        <f t="shared" ca="1" si="61"/>
        <v>1.0246390936236589E-2</v>
      </c>
      <c r="J403" s="5">
        <f t="shared" ca="1" si="62"/>
        <v>9.7244978094042124E-3</v>
      </c>
    </row>
    <row r="404" spans="1:10" x14ac:dyDescent="0.2">
      <c r="A404">
        <f t="shared" ca="1" si="54"/>
        <v>0.11813330035979508</v>
      </c>
      <c r="B404">
        <f t="shared" ca="1" si="55"/>
        <v>-1.1843700747952124</v>
      </c>
      <c r="C404">
        <f t="shared" ca="1" si="59"/>
        <v>-4.3959675315933113</v>
      </c>
      <c r="D404" s="22">
        <f t="shared" ca="1" si="56"/>
        <v>0.19783839463958949</v>
      </c>
      <c r="F404">
        <f t="shared" si="57"/>
        <v>0.3980000000000003</v>
      </c>
      <c r="G404">
        <f t="shared" ca="1" si="58"/>
        <v>3.5607466677168385E-3</v>
      </c>
      <c r="H404">
        <f t="shared" ca="1" si="60"/>
        <v>3.5604312409492768E-3</v>
      </c>
      <c r="I404">
        <f t="shared" ca="1" si="61"/>
        <v>1.0278446501773657E-2</v>
      </c>
      <c r="J404" s="5">
        <f t="shared" ca="1" si="62"/>
        <v>6.7180152608243802E-3</v>
      </c>
    </row>
    <row r="405" spans="1:10" x14ac:dyDescent="0.2">
      <c r="A405">
        <f t="shared" ca="1" si="54"/>
        <v>0.92925359443320421</v>
      </c>
      <c r="B405">
        <f t="shared" ca="1" si="55"/>
        <v>1.4702546032339998</v>
      </c>
      <c r="C405">
        <f t="shared" ca="1" si="59"/>
        <v>-2.9257129283593115</v>
      </c>
      <c r="D405" s="22">
        <f t="shared" ca="1" si="56"/>
        <v>0.13536738419148897</v>
      </c>
      <c r="F405">
        <f t="shared" si="57"/>
        <v>0.3990000000000003</v>
      </c>
      <c r="G405">
        <f t="shared" ca="1" si="58"/>
        <v>-1.7472966047791735E-4</v>
      </c>
      <c r="H405">
        <f t="shared" ca="1" si="60"/>
        <v>-1.7523183107167077E-4</v>
      </c>
      <c r="I405">
        <f t="shared" ca="1" si="61"/>
        <v>1.0240995411836011E-2</v>
      </c>
      <c r="J405" s="5">
        <f t="shared" ca="1" si="62"/>
        <v>1.0416227242907682E-2</v>
      </c>
    </row>
    <row r="406" spans="1:10" x14ac:dyDescent="0.2">
      <c r="A406">
        <f t="shared" ca="1" si="54"/>
        <v>0.64414365601024892</v>
      </c>
      <c r="B406">
        <f t="shared" ca="1" si="55"/>
        <v>0.36955687557016054</v>
      </c>
      <c r="C406">
        <f t="shared" ca="1" si="59"/>
        <v>-2.5561560527891509</v>
      </c>
      <c r="D406" s="22">
        <f t="shared" ca="1" si="56"/>
        <v>0.37260936931969096</v>
      </c>
      <c r="F406">
        <f t="shared" si="57"/>
        <v>0.4000000000000003</v>
      </c>
      <c r="G406">
        <f t="shared" ca="1" si="58"/>
        <v>4.4844081402191814E-3</v>
      </c>
      <c r="H406">
        <f t="shared" ca="1" si="60"/>
        <v>4.4841389786780383E-3</v>
      </c>
      <c r="I406">
        <f t="shared" ca="1" si="61"/>
        <v>1.0289697751275034E-2</v>
      </c>
      <c r="J406" s="5">
        <f t="shared" ca="1" si="62"/>
        <v>5.8055587725969957E-3</v>
      </c>
    </row>
    <row r="407" spans="1:10" x14ac:dyDescent="0.2">
      <c r="A407">
        <f t="shared" ca="1" si="54"/>
        <v>0.43581114454207759</v>
      </c>
      <c r="B407">
        <f t="shared" ca="1" si="55"/>
        <v>-0.16159818195619413</v>
      </c>
      <c r="C407">
        <f t="shared" ca="1" si="59"/>
        <v>-2.7177542347453452</v>
      </c>
      <c r="D407" s="22">
        <f t="shared" ca="1" si="56"/>
        <v>0.39376715583752248</v>
      </c>
      <c r="F407">
        <f t="shared" si="57"/>
        <v>0.4010000000000003</v>
      </c>
      <c r="G407">
        <f t="shared" ca="1" si="58"/>
        <v>5.6625422439822376E-3</v>
      </c>
      <c r="H407">
        <f t="shared" ca="1" si="60"/>
        <v>5.6623320165573145E-3</v>
      </c>
      <c r="I407">
        <f t="shared" ca="1" si="61"/>
        <v>1.0302708458583059E-2</v>
      </c>
      <c r="J407" s="5">
        <f t="shared" ca="1" si="62"/>
        <v>4.6403764420257449E-3</v>
      </c>
    </row>
    <row r="408" spans="1:10" x14ac:dyDescent="0.2">
      <c r="A408">
        <f t="shared" ca="1" si="54"/>
        <v>8.8393897112093889E-2</v>
      </c>
      <c r="B408">
        <f t="shared" ca="1" si="55"/>
        <v>-1.3507117270749163</v>
      </c>
      <c r="C408">
        <f t="shared" ca="1" si="59"/>
        <v>-4.0684659618202614</v>
      </c>
      <c r="D408" s="22">
        <f t="shared" ca="1" si="56"/>
        <v>0.16022925940724705</v>
      </c>
      <c r="F408">
        <f t="shared" si="57"/>
        <v>0.4020000000000003</v>
      </c>
      <c r="G408">
        <f t="shared" ca="1" si="58"/>
        <v>5.1609827472138365E-3</v>
      </c>
      <c r="H408">
        <f t="shared" ca="1" si="60"/>
        <v>5.1607474626317613E-3</v>
      </c>
      <c r="I408">
        <f t="shared" ca="1" si="61"/>
        <v>1.0298423234538872E-2</v>
      </c>
      <c r="J408" s="5">
        <f t="shared" ca="1" si="62"/>
        <v>5.1376757719071107E-3</v>
      </c>
    </row>
    <row r="409" spans="1:10" x14ac:dyDescent="0.2">
      <c r="A409">
        <f t="shared" ca="1" si="54"/>
        <v>0.51160635493968243</v>
      </c>
      <c r="B409">
        <f t="shared" ca="1" si="55"/>
        <v>2.9096922661535858E-2</v>
      </c>
      <c r="C409">
        <f t="shared" ca="1" si="59"/>
        <v>-4.0393690391587258</v>
      </c>
      <c r="D409" s="22">
        <f t="shared" ca="1" si="56"/>
        <v>0.39877343770819268</v>
      </c>
      <c r="F409">
        <f t="shared" si="57"/>
        <v>0.4030000000000003</v>
      </c>
      <c r="G409">
        <f t="shared" ca="1" si="58"/>
        <v>8.9935421228116465E-4</v>
      </c>
      <c r="H409">
        <f t="shared" ca="1" si="60"/>
        <v>8.989058680290412E-4</v>
      </c>
      <c r="I409">
        <f t="shared" ca="1" si="61"/>
        <v>1.0255503352851723E-2</v>
      </c>
      <c r="J409" s="5">
        <f t="shared" ca="1" si="62"/>
        <v>9.3565974848226815E-3</v>
      </c>
    </row>
    <row r="410" spans="1:10" x14ac:dyDescent="0.2">
      <c r="A410">
        <f t="shared" ca="1" si="54"/>
        <v>5.0877821176119942E-2</v>
      </c>
      <c r="B410">
        <f t="shared" ca="1" si="55"/>
        <v>-1.6364012280267595</v>
      </c>
      <c r="C410">
        <f t="shared" ca="1" si="59"/>
        <v>-5.6757702671854853</v>
      </c>
      <c r="D410" s="22">
        <f t="shared" ca="1" si="56"/>
        <v>0.10457580929916993</v>
      </c>
      <c r="F410">
        <f t="shared" si="57"/>
        <v>0.4040000000000003</v>
      </c>
      <c r="G410">
        <f t="shared" ca="1" si="58"/>
        <v>1.0012717294497048E-3</v>
      </c>
      <c r="H410">
        <f t="shared" ca="1" si="60"/>
        <v>1.0008285259544602E-3</v>
      </c>
      <c r="I410">
        <f t="shared" ca="1" si="61"/>
        <v>1.025742144001761E-2</v>
      </c>
      <c r="J410" s="5">
        <f t="shared" ca="1" si="62"/>
        <v>9.2565929140631491E-3</v>
      </c>
    </row>
    <row r="411" spans="1:10" x14ac:dyDescent="0.2">
      <c r="A411">
        <f t="shared" ca="1" si="54"/>
        <v>0.35911098604754854</v>
      </c>
      <c r="B411">
        <f t="shared" ca="1" si="55"/>
        <v>-0.36083610309977687</v>
      </c>
      <c r="C411">
        <f t="shared" ca="1" si="59"/>
        <v>-6.0366063702852619</v>
      </c>
      <c r="D411" s="22">
        <f t="shared" ca="1" si="56"/>
        <v>0.37379794564042529</v>
      </c>
      <c r="F411">
        <f t="shared" si="57"/>
        <v>0.4050000000000003</v>
      </c>
      <c r="G411">
        <f t="shared" ca="1" si="58"/>
        <v>-4.1633252121894516E-3</v>
      </c>
      <c r="H411">
        <f t="shared" ca="1" si="60"/>
        <v>-4.1640266033592587E-3</v>
      </c>
      <c r="I411">
        <f t="shared" ca="1" si="61"/>
        <v>1.0205448368688679E-2</v>
      </c>
      <c r="J411" s="5">
        <f t="shared" ca="1" si="62"/>
        <v>1.4369474972047939E-2</v>
      </c>
    </row>
    <row r="412" spans="1:10" x14ac:dyDescent="0.2">
      <c r="A412">
        <f t="shared" ca="1" si="54"/>
        <v>0.34467872079909689</v>
      </c>
      <c r="B412">
        <f t="shared" ca="1" si="55"/>
        <v>-0.39972721945405165</v>
      </c>
      <c r="C412">
        <f t="shared" ca="1" si="59"/>
        <v>-6.4363335897393137</v>
      </c>
      <c r="D412" s="22">
        <f t="shared" ca="1" si="56"/>
        <v>0.36831031156474719</v>
      </c>
      <c r="F412">
        <f t="shared" si="57"/>
        <v>0.40600000000000031</v>
      </c>
      <c r="G412">
        <f t="shared" ca="1" si="58"/>
        <v>-5.293916297461859E-3</v>
      </c>
      <c r="H412">
        <f t="shared" ca="1" si="60"/>
        <v>-5.2946741485135618E-3</v>
      </c>
      <c r="I412">
        <f t="shared" ca="1" si="61"/>
        <v>1.0194778398787296E-2</v>
      </c>
      <c r="J412" s="5">
        <f t="shared" ca="1" si="62"/>
        <v>1.5489452547300858E-2</v>
      </c>
    </row>
    <row r="413" spans="1:10" x14ac:dyDescent="0.2">
      <c r="A413">
        <f t="shared" ca="1" si="54"/>
        <v>0.73027539878563874</v>
      </c>
      <c r="B413">
        <f t="shared" ca="1" si="55"/>
        <v>0.61364611624980314</v>
      </c>
      <c r="C413">
        <f t="shared" ca="1" si="59"/>
        <v>-5.8226874734895109</v>
      </c>
      <c r="D413" s="22">
        <f t="shared" ca="1" si="56"/>
        <v>0.33047663728222004</v>
      </c>
      <c r="F413">
        <f t="shared" si="57"/>
        <v>0.40700000000000031</v>
      </c>
      <c r="G413">
        <f t="shared" ca="1" si="58"/>
        <v>-6.5473726887354238E-3</v>
      </c>
      <c r="H413">
        <f t="shared" ca="1" si="60"/>
        <v>-6.5481931373394808E-3</v>
      </c>
      <c r="I413">
        <f t="shared" ca="1" si="61"/>
        <v>1.0182867172595337E-2</v>
      </c>
      <c r="J413" s="5">
        <f t="shared" ca="1" si="62"/>
        <v>1.673106030993482E-2</v>
      </c>
    </row>
    <row r="414" spans="1:10" x14ac:dyDescent="0.2">
      <c r="A414">
        <f t="shared" ca="1" si="54"/>
        <v>8.5253783315710874E-2</v>
      </c>
      <c r="B414">
        <f t="shared" ca="1" si="55"/>
        <v>-1.3705747244468156</v>
      </c>
      <c r="C414">
        <f t="shared" ca="1" si="59"/>
        <v>-7.1932621979363267</v>
      </c>
      <c r="D414" s="22">
        <f t="shared" ca="1" si="56"/>
        <v>0.1559568253131777</v>
      </c>
      <c r="F414">
        <f t="shared" si="57"/>
        <v>0.40800000000000031</v>
      </c>
      <c r="G414">
        <f t="shared" ca="1" si="58"/>
        <v>-4.5962961014474769E-3</v>
      </c>
      <c r="H414">
        <f t="shared" ca="1" si="60"/>
        <v>-4.5970189133599064E-3</v>
      </c>
      <c r="I414">
        <f t="shared" ca="1" si="61"/>
        <v>1.0203615706177636E-2</v>
      </c>
      <c r="J414" s="5">
        <f t="shared" ca="1" si="62"/>
        <v>1.4800634619537543E-2</v>
      </c>
    </row>
    <row r="415" spans="1:10" x14ac:dyDescent="0.2">
      <c r="A415">
        <f t="shared" ca="1" si="54"/>
        <v>0.97332466711831422</v>
      </c>
      <c r="B415">
        <f t="shared" ca="1" si="55"/>
        <v>1.9320716270228904</v>
      </c>
      <c r="C415">
        <f t="shared" ca="1" si="59"/>
        <v>-5.2611905709134366</v>
      </c>
      <c r="D415" s="22">
        <f t="shared" ca="1" si="56"/>
        <v>6.1705086072295301E-2</v>
      </c>
      <c r="F415">
        <f t="shared" si="57"/>
        <v>0.40900000000000031</v>
      </c>
      <c r="G415">
        <f t="shared" ca="1" si="58"/>
        <v>-8.919758129648403E-3</v>
      </c>
      <c r="H415">
        <f t="shared" ca="1" si="60"/>
        <v>-8.9206970441781681E-3</v>
      </c>
      <c r="I415">
        <f t="shared" ca="1" si="61"/>
        <v>1.0160452724359335E-2</v>
      </c>
      <c r="J415" s="5">
        <f t="shared" ca="1" si="62"/>
        <v>1.9081149768537503E-2</v>
      </c>
    </row>
    <row r="416" spans="1:10" x14ac:dyDescent="0.2">
      <c r="A416">
        <f t="shared" ca="1" si="54"/>
        <v>0.66289172313487799</v>
      </c>
      <c r="B416">
        <f t="shared" ca="1" si="55"/>
        <v>0.42036811968532323</v>
      </c>
      <c r="C416">
        <f t="shared" ca="1" si="59"/>
        <v>-4.8408224512281137</v>
      </c>
      <c r="D416" s="22">
        <f t="shared" ca="1" si="56"/>
        <v>0.36520617888303558</v>
      </c>
      <c r="F416">
        <f t="shared" si="57"/>
        <v>0.41000000000000031</v>
      </c>
      <c r="G416">
        <f t="shared" ca="1" si="58"/>
        <v>-2.7994252290555301E-3</v>
      </c>
      <c r="H416">
        <f t="shared" ca="1" si="60"/>
        <v>-2.800058030494091E-3</v>
      </c>
      <c r="I416">
        <f t="shared" ca="1" si="61"/>
        <v>1.0223691750541608E-2</v>
      </c>
      <c r="J416" s="5">
        <f t="shared" ca="1" si="62"/>
        <v>1.3023749781035699E-2</v>
      </c>
    </row>
    <row r="417" spans="1:10" x14ac:dyDescent="0.2">
      <c r="A417">
        <f t="shared" ca="1" si="54"/>
        <v>0.62300079932556363</v>
      </c>
      <c r="B417">
        <f t="shared" ca="1" si="55"/>
        <v>0.31337154332951894</v>
      </c>
      <c r="C417">
        <f t="shared" ca="1" si="59"/>
        <v>-4.5274509078985945</v>
      </c>
      <c r="D417" s="22">
        <f t="shared" ca="1" si="56"/>
        <v>0.37982699916221591</v>
      </c>
      <c r="F417">
        <f t="shared" si="57"/>
        <v>0.41100000000000031</v>
      </c>
      <c r="G417">
        <f t="shared" ca="1" si="58"/>
        <v>-1.4598915498511317E-3</v>
      </c>
      <c r="H417">
        <f t="shared" ca="1" si="60"/>
        <v>-1.4604573107631562E-3</v>
      </c>
      <c r="I417">
        <f t="shared" ca="1" si="61"/>
        <v>1.0238263941748071E-2</v>
      </c>
      <c r="J417" s="5">
        <f t="shared" ca="1" si="62"/>
        <v>1.1698721252511228E-2</v>
      </c>
    </row>
    <row r="418" spans="1:10" x14ac:dyDescent="0.2">
      <c r="A418">
        <f t="shared" ca="1" si="54"/>
        <v>0.63291023105594979</v>
      </c>
      <c r="B418">
        <f t="shared" ca="1" si="55"/>
        <v>0.33957110950489527</v>
      </c>
      <c r="C418">
        <f t="shared" ca="1" si="59"/>
        <v>-4.1878797983936993</v>
      </c>
      <c r="D418" s="22">
        <f t="shared" ca="1" si="56"/>
        <v>0.37659203889166393</v>
      </c>
      <c r="F418">
        <f t="shared" si="57"/>
        <v>0.41200000000000031</v>
      </c>
      <c r="G418">
        <f t="shared" ca="1" si="58"/>
        <v>-4.5882778350238339E-4</v>
      </c>
      <c r="H418">
        <f t="shared" ca="1" si="60"/>
        <v>-4.5934343422865463E-4</v>
      </c>
      <c r="I418">
        <f t="shared" ca="1" si="61"/>
        <v>1.0249388406344146E-2</v>
      </c>
      <c r="J418" s="5">
        <f t="shared" ca="1" si="62"/>
        <v>1.07087318405728E-2</v>
      </c>
    </row>
    <row r="419" spans="1:10" x14ac:dyDescent="0.2">
      <c r="A419">
        <f t="shared" ca="1" si="54"/>
        <v>0.53949354126037363</v>
      </c>
      <c r="B419">
        <f t="shared" ca="1" si="55"/>
        <v>9.9157879241214247E-2</v>
      </c>
      <c r="C419">
        <f t="shared" ca="1" si="59"/>
        <v>-4.0887219191524853</v>
      </c>
      <c r="D419" s="22">
        <f t="shared" ca="1" si="56"/>
        <v>0.39698583631790246</v>
      </c>
      <c r="F419">
        <f t="shared" si="57"/>
        <v>0.41300000000000031</v>
      </c>
      <c r="G419">
        <f t="shared" ca="1" si="58"/>
        <v>6.2498204195483365E-4</v>
      </c>
      <c r="H419">
        <f t="shared" ca="1" si="60"/>
        <v>6.2452063374068899E-4</v>
      </c>
      <c r="I419">
        <f t="shared" ca="1" si="61"/>
        <v>1.0261375081128862E-2</v>
      </c>
      <c r="J419" s="5">
        <f t="shared" ca="1" si="62"/>
        <v>9.6368544473881736E-3</v>
      </c>
    </row>
    <row r="420" spans="1:10" x14ac:dyDescent="0.2">
      <c r="A420">
        <f t="shared" ca="1" si="54"/>
        <v>5.4116138713618755E-2</v>
      </c>
      <c r="B420">
        <f t="shared" ca="1" si="55"/>
        <v>-1.60618951029233</v>
      </c>
      <c r="C420">
        <f t="shared" ca="1" si="59"/>
        <v>-5.6949114294448151</v>
      </c>
      <c r="D420" s="22">
        <f t="shared" ca="1" si="56"/>
        <v>0.10982567920702217</v>
      </c>
      <c r="F420">
        <f t="shared" si="57"/>
        <v>0.41400000000000031</v>
      </c>
      <c r="G420">
        <f t="shared" ca="1" si="58"/>
        <v>9.4846811566218995E-4</v>
      </c>
      <c r="H420">
        <f t="shared" ca="1" si="60"/>
        <v>9.4802292803148063E-4</v>
      </c>
      <c r="I420">
        <f t="shared" ca="1" si="61"/>
        <v>1.0265568373793573E-2</v>
      </c>
      <c r="J420" s="5">
        <f t="shared" ca="1" si="62"/>
        <v>9.3175454457620922E-3</v>
      </c>
    </row>
    <row r="421" spans="1:10" x14ac:dyDescent="0.2">
      <c r="A421">
        <f t="shared" ca="1" si="54"/>
        <v>0.34978544369556563</v>
      </c>
      <c r="B421">
        <f t="shared" ca="1" si="55"/>
        <v>-0.38589978833311506</v>
      </c>
      <c r="C421">
        <f t="shared" ca="1" si="59"/>
        <v>-6.0808112177779305</v>
      </c>
      <c r="D421" s="22">
        <f t="shared" ca="1" si="56"/>
        <v>0.37031626931759853</v>
      </c>
      <c r="F421">
        <f t="shared" si="57"/>
        <v>0.41500000000000031</v>
      </c>
      <c r="G421">
        <f t="shared" ca="1" si="58"/>
        <v>-4.1205904825056729E-3</v>
      </c>
      <c r="H421">
        <f t="shared" ca="1" si="60"/>
        <v>-4.1212890806555467E-3</v>
      </c>
      <c r="I421">
        <f t="shared" ca="1" si="61"/>
        <v>1.021452985047455E-2</v>
      </c>
      <c r="J421" s="5">
        <f t="shared" ca="1" si="62"/>
        <v>1.4335818931130097E-2</v>
      </c>
    </row>
    <row r="422" spans="1:10" x14ac:dyDescent="0.2">
      <c r="A422">
        <f t="shared" ca="1" si="54"/>
        <v>0.28474309382719742</v>
      </c>
      <c r="B422">
        <f t="shared" ca="1" si="55"/>
        <v>-0.56880837914010807</v>
      </c>
      <c r="C422">
        <f t="shared" ca="1" si="59"/>
        <v>-6.6496195969180389</v>
      </c>
      <c r="D422" s="22">
        <f t="shared" ca="1" si="56"/>
        <v>0.33935449184879618</v>
      </c>
      <c r="F422">
        <f t="shared" si="57"/>
        <v>0.41600000000000031</v>
      </c>
      <c r="G422">
        <f t="shared" ca="1" si="58"/>
        <v>-5.3304402101807796E-3</v>
      </c>
      <c r="H422">
        <f t="shared" ca="1" si="60"/>
        <v>-5.3311992314569977E-3</v>
      </c>
      <c r="I422">
        <f t="shared" ca="1" si="61"/>
        <v>1.0203041677617826E-2</v>
      </c>
      <c r="J422" s="5">
        <f t="shared" ca="1" si="62"/>
        <v>1.5534240909074824E-2</v>
      </c>
    </row>
    <row r="423" spans="1:10" x14ac:dyDescent="0.2">
      <c r="A423">
        <f t="shared" ca="1" si="54"/>
        <v>0.11857902319143765</v>
      </c>
      <c r="B423">
        <f t="shared" ca="1" si="55"/>
        <v>-1.1821201091466516</v>
      </c>
      <c r="C423">
        <f t="shared" ca="1" si="59"/>
        <v>-7.8317397060646901</v>
      </c>
      <c r="D423" s="22">
        <f t="shared" ca="1" si="56"/>
        <v>0.19836579377002009</v>
      </c>
      <c r="F423">
        <f t="shared" si="57"/>
        <v>0.41700000000000031</v>
      </c>
      <c r="G423">
        <f t="shared" ca="1" si="58"/>
        <v>-7.1185477903114346E-3</v>
      </c>
      <c r="H423">
        <f t="shared" ca="1" si="60"/>
        <v>-7.1193961418052013E-3</v>
      </c>
      <c r="I423">
        <f t="shared" ca="1" si="61"/>
        <v>1.018567324886965E-2</v>
      </c>
      <c r="J423" s="5">
        <f t="shared" ca="1" si="62"/>
        <v>1.7305069390674853E-2</v>
      </c>
    </row>
    <row r="424" spans="1:10" x14ac:dyDescent="0.2">
      <c r="A424">
        <f t="shared" ca="1" si="54"/>
        <v>0.38531500796179474</v>
      </c>
      <c r="B424">
        <f t="shared" ca="1" si="55"/>
        <v>-0.29155090684714347</v>
      </c>
      <c r="C424">
        <f t="shared" ca="1" si="59"/>
        <v>-8.1232906129118341</v>
      </c>
      <c r="D424" s="22">
        <f t="shared" ca="1" si="56"/>
        <v>0.38234210862425677</v>
      </c>
      <c r="F424">
        <f t="shared" si="57"/>
        <v>0.41800000000000032</v>
      </c>
      <c r="G424">
        <f t="shared" ca="1" si="58"/>
        <v>-1.0845841582084473E-2</v>
      </c>
      <c r="H424">
        <f t="shared" ca="1" si="60"/>
        <v>-1.0846876214981283E-2</v>
      </c>
      <c r="I424">
        <f t="shared" ca="1" si="61"/>
        <v>1.0148632399876864E-2</v>
      </c>
      <c r="J424" s="5">
        <f t="shared" ca="1" si="62"/>
        <v>2.0995508614858147E-2</v>
      </c>
    </row>
    <row r="425" spans="1:10" x14ac:dyDescent="0.2">
      <c r="A425">
        <f t="shared" ca="1" si="54"/>
        <v>0.18625386745867056</v>
      </c>
      <c r="B425">
        <f t="shared" ca="1" si="55"/>
        <v>-0.89178583616670049</v>
      </c>
      <c r="C425">
        <f t="shared" ca="1" si="59"/>
        <v>-9.0150764490785349</v>
      </c>
      <c r="D425" s="22">
        <f t="shared" ca="1" si="56"/>
        <v>0.26805059687031946</v>
      </c>
      <c r="F425">
        <f t="shared" si="57"/>
        <v>0.41900000000000032</v>
      </c>
      <c r="G425">
        <f t="shared" ca="1" si="58"/>
        <v>-1.1756676375336252E-2</v>
      </c>
      <c r="H425">
        <f t="shared" ca="1" si="60"/>
        <v>-1.175775644688434E-2</v>
      </c>
      <c r="I425">
        <f t="shared" ca="1" si="61"/>
        <v>1.0140243306122225E-2</v>
      </c>
      <c r="J425" s="5">
        <f t="shared" ca="1" si="62"/>
        <v>2.1897999753006565E-2</v>
      </c>
    </row>
    <row r="426" spans="1:10" x14ac:dyDescent="0.2">
      <c r="A426">
        <f t="shared" ca="1" si="54"/>
        <v>0.82178777513467016</v>
      </c>
      <c r="B426">
        <f t="shared" ca="1" si="55"/>
        <v>0.92219964213799699</v>
      </c>
      <c r="C426">
        <f t="shared" ca="1" si="59"/>
        <v>-8.0928768069405379</v>
      </c>
      <c r="D426" s="22">
        <f t="shared" ca="1" si="56"/>
        <v>0.26075744762617936</v>
      </c>
      <c r="F426">
        <f t="shared" si="57"/>
        <v>0.42000000000000032</v>
      </c>
      <c r="G426">
        <f t="shared" ca="1" si="58"/>
        <v>-1.456543469598154E-2</v>
      </c>
      <c r="H426">
        <f t="shared" ca="1" si="60"/>
        <v>-1.4566655098604187E-2</v>
      </c>
      <c r="I426">
        <f t="shared" ca="1" si="61"/>
        <v>1.0112648005102979E-2</v>
      </c>
      <c r="J426" s="5">
        <f t="shared" ca="1" si="62"/>
        <v>2.4679303103707168E-2</v>
      </c>
    </row>
    <row r="427" spans="1:10" x14ac:dyDescent="0.2">
      <c r="A427">
        <f t="shared" ca="1" si="54"/>
        <v>0.29774629376959028</v>
      </c>
      <c r="B427">
        <f t="shared" ca="1" si="55"/>
        <v>-0.53089349245941408</v>
      </c>
      <c r="C427">
        <f t="shared" ca="1" si="59"/>
        <v>-8.6237702993999523</v>
      </c>
      <c r="D427" s="22">
        <f t="shared" ca="1" si="56"/>
        <v>0.34650345704068702</v>
      </c>
      <c r="F427">
        <f t="shared" si="57"/>
        <v>0.42100000000000032</v>
      </c>
      <c r="G427">
        <f t="shared" ca="1" si="58"/>
        <v>-1.1637873205262828E-2</v>
      </c>
      <c r="H427">
        <f t="shared" ca="1" si="60"/>
        <v>-1.1638947106546064E-2</v>
      </c>
      <c r="I427">
        <f t="shared" ca="1" si="61"/>
        <v>1.0143145624777009E-2</v>
      </c>
      <c r="J427" s="5">
        <f t="shared" ca="1" si="62"/>
        <v>2.1782092731323074E-2</v>
      </c>
    </row>
    <row r="428" spans="1:10" x14ac:dyDescent="0.2">
      <c r="A428">
        <f t="shared" ca="1" si="54"/>
        <v>0.97228043601274228</v>
      </c>
      <c r="B428">
        <f t="shared" ca="1" si="55"/>
        <v>1.9154187018750009</v>
      </c>
      <c r="C428">
        <f t="shared" ca="1" si="59"/>
        <v>-6.7083515975249517</v>
      </c>
      <c r="D428" s="22">
        <f t="shared" ca="1" si="56"/>
        <v>6.3713874189277542E-2</v>
      </c>
      <c r="F428">
        <f t="shared" si="57"/>
        <v>0.42200000000000032</v>
      </c>
      <c r="G428">
        <f t="shared" ca="1" si="58"/>
        <v>-1.3305458669112095E-2</v>
      </c>
      <c r="H428">
        <f t="shared" ca="1" si="60"/>
        <v>-1.3306615842968585E-2</v>
      </c>
      <c r="I428">
        <f t="shared" ca="1" si="61"/>
        <v>1.0127093295211477E-2</v>
      </c>
      <c r="J428" s="5">
        <f t="shared" ca="1" si="62"/>
        <v>2.3433709138180062E-2</v>
      </c>
    </row>
    <row r="429" spans="1:10" x14ac:dyDescent="0.2">
      <c r="A429">
        <f t="shared" ca="1" si="54"/>
        <v>0.5347917951325436</v>
      </c>
      <c r="B429">
        <f t="shared" ca="1" si="55"/>
        <v>8.7320940183200565E-2</v>
      </c>
      <c r="C429">
        <f t="shared" ca="1" si="59"/>
        <v>-6.621030657341751</v>
      </c>
      <c r="D429" s="22">
        <f t="shared" ca="1" si="56"/>
        <v>0.39742421923284216</v>
      </c>
      <c r="F429">
        <f t="shared" si="57"/>
        <v>0.42300000000000032</v>
      </c>
      <c r="G429">
        <f t="shared" ca="1" si="58"/>
        <v>-7.2373457606157215E-3</v>
      </c>
      <c r="H429">
        <f t="shared" ca="1" si="60"/>
        <v>-7.238199410576256E-3</v>
      </c>
      <c r="I429">
        <f t="shared" ca="1" si="61"/>
        <v>1.018958808130547E-2</v>
      </c>
      <c r="J429" s="5">
        <f t="shared" ca="1" si="62"/>
        <v>1.7427787491881726E-2</v>
      </c>
    </row>
    <row r="430" spans="1:10" x14ac:dyDescent="0.2">
      <c r="A430">
        <f t="shared" ca="1" si="54"/>
        <v>0.69745474832187337</v>
      </c>
      <c r="B430">
        <f t="shared" ca="1" si="55"/>
        <v>0.51709405512507334</v>
      </c>
      <c r="C430">
        <f t="shared" ca="1" si="59"/>
        <v>-6.1039366022166774</v>
      </c>
      <c r="D430" s="22">
        <f t="shared" ca="1" si="56"/>
        <v>0.34901804120190943</v>
      </c>
      <c r="F430">
        <f t="shared" si="57"/>
        <v>0.42400000000000032</v>
      </c>
      <c r="G430">
        <f t="shared" ca="1" si="58"/>
        <v>-6.9505033098799501E-3</v>
      </c>
      <c r="H430">
        <f t="shared" ca="1" si="60"/>
        <v>-6.9513425322289641E-3</v>
      </c>
      <c r="I430">
        <f t="shared" ca="1" si="61"/>
        <v>1.019337047613645E-2</v>
      </c>
      <c r="J430" s="5">
        <f t="shared" ca="1" si="62"/>
        <v>1.7144713008365415E-2</v>
      </c>
    </row>
    <row r="431" spans="1:10" x14ac:dyDescent="0.2">
      <c r="A431">
        <f t="shared" ca="1" si="54"/>
        <v>9.5158558346850497E-2</v>
      </c>
      <c r="B431">
        <f t="shared" ca="1" si="55"/>
        <v>-1.3096415756515656</v>
      </c>
      <c r="C431">
        <f t="shared" ca="1" si="59"/>
        <v>-7.413578177868243</v>
      </c>
      <c r="D431" s="22">
        <f t="shared" ca="1" si="56"/>
        <v>0.16922618915590809</v>
      </c>
      <c r="F431">
        <f t="shared" si="57"/>
        <v>0.42500000000000032</v>
      </c>
      <c r="G431">
        <f t="shared" ca="1" si="58"/>
        <v>-5.3046955718981867E-3</v>
      </c>
      <c r="H431">
        <f t="shared" ca="1" si="60"/>
        <v>-5.3054524192478452E-3</v>
      </c>
      <c r="I431">
        <f t="shared" ca="1" si="61"/>
        <v>1.0211022260661555E-2</v>
      </c>
      <c r="J431" s="5">
        <f t="shared" ca="1" si="62"/>
        <v>1.55164746799094E-2</v>
      </c>
    </row>
    <row r="432" spans="1:10" x14ac:dyDescent="0.2">
      <c r="A432">
        <f t="shared" ca="1" si="54"/>
        <v>0.10817770098190704</v>
      </c>
      <c r="B432">
        <f t="shared" ca="1" si="55"/>
        <v>-1.2362775798362182</v>
      </c>
      <c r="C432">
        <f t="shared" ca="1" si="59"/>
        <v>-8.6498557577044615</v>
      </c>
      <c r="D432" s="22">
        <f t="shared" ca="1" si="56"/>
        <v>0.1857916005796694</v>
      </c>
      <c r="F432">
        <f t="shared" si="57"/>
        <v>0.42600000000000032</v>
      </c>
      <c r="G432">
        <f t="shared" ca="1" si="58"/>
        <v>-9.4354088624703548E-3</v>
      </c>
      <c r="H432">
        <f t="shared" ca="1" si="60"/>
        <v>-9.4363721715165841E-3</v>
      </c>
      <c r="I432">
        <f t="shared" ca="1" si="61"/>
        <v>1.016978735036872E-2</v>
      </c>
      <c r="J432" s="5">
        <f t="shared" ca="1" si="62"/>
        <v>1.9606159521885304E-2</v>
      </c>
    </row>
    <row r="433" spans="1:10" x14ac:dyDescent="0.2">
      <c r="A433">
        <f t="shared" ca="1" si="54"/>
        <v>0.71370869296032213</v>
      </c>
      <c r="B433">
        <f t="shared" ca="1" si="55"/>
        <v>0.56425204282737529</v>
      </c>
      <c r="C433">
        <f t="shared" ca="1" si="59"/>
        <v>-8.0856037148770863</v>
      </c>
      <c r="D433" s="22">
        <f t="shared" ca="1" si="56"/>
        <v>0.34023159988929758</v>
      </c>
      <c r="F433">
        <f t="shared" si="57"/>
        <v>0.42700000000000032</v>
      </c>
      <c r="G433">
        <f t="shared" ca="1" si="58"/>
        <v>-1.3333723376721729E-2</v>
      </c>
      <c r="H433">
        <f t="shared" ca="1" si="60"/>
        <v>-1.3334881506782536E-2</v>
      </c>
      <c r="I433">
        <f t="shared" ca="1" si="61"/>
        <v>1.0131069066263607E-2</v>
      </c>
      <c r="J433" s="5">
        <f t="shared" ca="1" si="62"/>
        <v>2.3465950573046145E-2</v>
      </c>
    </row>
    <row r="434" spans="1:10" x14ac:dyDescent="0.2">
      <c r="A434">
        <f t="shared" ca="1" si="54"/>
        <v>0.12134512414703502</v>
      </c>
      <c r="B434">
        <f t="shared" ca="1" si="55"/>
        <v>-1.1682889072779272</v>
      </c>
      <c r="C434">
        <f t="shared" ca="1" si="59"/>
        <v>-9.2538926221550142</v>
      </c>
      <c r="D434" s="22">
        <f t="shared" ca="1" si="56"/>
        <v>0.20161647626106335</v>
      </c>
      <c r="F434">
        <f t="shared" si="57"/>
        <v>0.42800000000000032</v>
      </c>
      <c r="G434">
        <f t="shared" ca="1" si="58"/>
        <v>-1.1538158153660716E-2</v>
      </c>
      <c r="H434">
        <f t="shared" ca="1" si="60"/>
        <v>-1.1539226388894477E-2</v>
      </c>
      <c r="I434">
        <f t="shared" ca="1" si="61"/>
        <v>1.0150126505411998E-2</v>
      </c>
      <c r="J434" s="5">
        <f t="shared" ca="1" si="62"/>
        <v>2.1689352894306475E-2</v>
      </c>
    </row>
    <row r="435" spans="1:10" x14ac:dyDescent="0.2">
      <c r="A435">
        <f t="shared" ca="1" si="54"/>
        <v>8.8556532493539564E-2</v>
      </c>
      <c r="B435">
        <f t="shared" ca="1" si="55"/>
        <v>-1.3496974053115236</v>
      </c>
      <c r="C435">
        <f t="shared" ca="1" si="59"/>
        <v>-10.603590027466538</v>
      </c>
      <c r="D435" s="22">
        <f t="shared" ca="1" si="56"/>
        <v>0.16044885042307239</v>
      </c>
      <c r="F435">
        <f t="shared" si="57"/>
        <v>0.42900000000000033</v>
      </c>
      <c r="G435">
        <f t="shared" ca="1" si="58"/>
        <v>-1.5221274092625905E-2</v>
      </c>
      <c r="H435">
        <f t="shared" ca="1" si="60"/>
        <v>-1.5222526378363105E-2</v>
      </c>
      <c r="I435">
        <f t="shared" ca="1" si="61"/>
        <v>1.0113657266900144E-2</v>
      </c>
      <c r="J435" s="5">
        <f t="shared" ca="1" si="62"/>
        <v>2.5336183645263251E-2</v>
      </c>
    </row>
    <row r="436" spans="1:10" x14ac:dyDescent="0.2">
      <c r="A436">
        <f t="shared" ca="1" si="54"/>
        <v>0.8784948067317071</v>
      </c>
      <c r="B436">
        <f t="shared" ca="1" si="55"/>
        <v>1.167495346395528</v>
      </c>
      <c r="C436">
        <f t="shared" ca="1" si="59"/>
        <v>-9.43609468107101</v>
      </c>
      <c r="D436" s="22">
        <f t="shared" ca="1" si="56"/>
        <v>0.20180341971771948</v>
      </c>
      <c r="F436">
        <f t="shared" si="57"/>
        <v>0.43000000000000033</v>
      </c>
      <c r="G436">
        <f t="shared" ca="1" si="58"/>
        <v>-1.9477657097101551E-2</v>
      </c>
      <c r="H436">
        <f t="shared" ca="1" si="60"/>
        <v>-1.9479122078529126E-2</v>
      </c>
      <c r="I436">
        <f t="shared" ca="1" si="61"/>
        <v>1.0071539724050995E-2</v>
      </c>
      <c r="J436" s="5">
        <f t="shared" ca="1" si="62"/>
        <v>2.9550661802580119E-2</v>
      </c>
    </row>
    <row r="437" spans="1:10" x14ac:dyDescent="0.2">
      <c r="A437">
        <f t="shared" ca="1" si="54"/>
        <v>0.34131068246625229</v>
      </c>
      <c r="B437">
        <f t="shared" ca="1" si="55"/>
        <v>-0.40888866881507907</v>
      </c>
      <c r="C437">
        <f t="shared" ca="1" si="59"/>
        <v>-9.844983349886089</v>
      </c>
      <c r="D437" s="22">
        <f t="shared" ca="1" si="56"/>
        <v>0.36694859643497324</v>
      </c>
      <c r="F437">
        <f t="shared" si="57"/>
        <v>0.43100000000000033</v>
      </c>
      <c r="G437">
        <f t="shared" ca="1" si="58"/>
        <v>-1.5773950066034489E-2</v>
      </c>
      <c r="H437">
        <f t="shared" ca="1" si="60"/>
        <v>-1.577522971406415E-2</v>
      </c>
      <c r="I437">
        <f t="shared" ca="1" si="61"/>
        <v>1.0109752394497703E-2</v>
      </c>
      <c r="J437" s="5">
        <f t="shared" ca="1" si="62"/>
        <v>2.5884982108561855E-2</v>
      </c>
    </row>
    <row r="438" spans="1:10" x14ac:dyDescent="0.2">
      <c r="A438">
        <f t="shared" ca="1" si="54"/>
        <v>0.41706132424822151</v>
      </c>
      <c r="B438">
        <f t="shared" ca="1" si="55"/>
        <v>-0.20941709531057603</v>
      </c>
      <c r="C438">
        <f t="shared" ca="1" si="59"/>
        <v>-10.054400445196665</v>
      </c>
      <c r="D438" s="22">
        <f t="shared" ca="1" si="56"/>
        <v>0.3902895836903304</v>
      </c>
      <c r="F438">
        <f t="shared" si="57"/>
        <v>0.43200000000000033</v>
      </c>
      <c r="G438">
        <f t="shared" ca="1" si="58"/>
        <v>-1.7055328104486782E-2</v>
      </c>
      <c r="H438">
        <f t="shared" ca="1" si="60"/>
        <v>-1.7056671693982655E-2</v>
      </c>
      <c r="I438">
        <f t="shared" ca="1" si="61"/>
        <v>1.0097647966078108E-2</v>
      </c>
      <c r="J438" s="5">
        <f t="shared" ca="1" si="62"/>
        <v>2.7154319660060763E-2</v>
      </c>
    </row>
    <row r="439" spans="1:10" x14ac:dyDescent="0.2">
      <c r="A439">
        <f t="shared" ca="1" si="54"/>
        <v>0.61128485048842718</v>
      </c>
      <c r="B439">
        <f t="shared" ca="1" si="55"/>
        <v>0.28266936895827555</v>
      </c>
      <c r="C439">
        <f t="shared" ca="1" si="59"/>
        <v>-9.7717310762383889</v>
      </c>
      <c r="D439" s="22">
        <f t="shared" ca="1" si="56"/>
        <v>0.38331831731639299</v>
      </c>
      <c r="F439">
        <f t="shared" si="57"/>
        <v>0.43300000000000033</v>
      </c>
      <c r="G439">
        <f t="shared" ca="1" si="58"/>
        <v>-1.7705825048720938E-2</v>
      </c>
      <c r="H439">
        <f t="shared" ca="1" si="60"/>
        <v>-1.7707201028971244E-2</v>
      </c>
      <c r="I439">
        <f t="shared" ca="1" si="61"/>
        <v>1.0091921850892293E-2</v>
      </c>
      <c r="J439" s="5">
        <f t="shared" ca="1" si="62"/>
        <v>2.7799122879863539E-2</v>
      </c>
    </row>
    <row r="440" spans="1:10" x14ac:dyDescent="0.2">
      <c r="A440">
        <f t="shared" ca="1" si="54"/>
        <v>0.90861107204528357</v>
      </c>
      <c r="B440">
        <f t="shared" ca="1" si="55"/>
        <v>1.3322505948466079</v>
      </c>
      <c r="C440">
        <f t="shared" ca="1" si="59"/>
        <v>-8.4394804813917812</v>
      </c>
      <c r="D440" s="22">
        <f t="shared" ca="1" si="56"/>
        <v>0.16424692275221681</v>
      </c>
      <c r="F440">
        <f t="shared" si="57"/>
        <v>0.43400000000000033</v>
      </c>
      <c r="G440">
        <f t="shared" ca="1" si="58"/>
        <v>-1.6800220716144294E-2</v>
      </c>
      <c r="H440">
        <f t="shared" ca="1" si="60"/>
        <v>-1.6801551278197699E-2</v>
      </c>
      <c r="I440">
        <f t="shared" ca="1" si="61"/>
        <v>1.0101906476769737E-2</v>
      </c>
      <c r="J440" s="5">
        <f t="shared" ca="1" si="62"/>
        <v>2.6903457754967434E-2</v>
      </c>
    </row>
    <row r="441" spans="1:10" x14ac:dyDescent="0.2">
      <c r="A441">
        <f t="shared" ca="1" si="54"/>
        <v>8.6725770398087931E-2</v>
      </c>
      <c r="B441">
        <f t="shared" ca="1" si="55"/>
        <v>-1.3611966872549246</v>
      </c>
      <c r="C441">
        <f t="shared" ca="1" si="59"/>
        <v>-9.8006771686467058</v>
      </c>
      <c r="D441" s="22">
        <f t="shared" ca="1" si="56"/>
        <v>0.15796737669290878</v>
      </c>
      <c r="F441">
        <f t="shared" si="57"/>
        <v>0.43500000000000033</v>
      </c>
      <c r="G441">
        <f t="shared" ca="1" si="58"/>
        <v>-1.2575805622762956E-2</v>
      </c>
      <c r="H441">
        <f t="shared" ca="1" si="60"/>
        <v>-1.2576924829240416E-2</v>
      </c>
      <c r="I441">
        <f t="shared" ca="1" si="61"/>
        <v>1.0145518819704579E-2</v>
      </c>
      <c r="J441" s="5">
        <f t="shared" ca="1" si="62"/>
        <v>2.2722443648944997E-2</v>
      </c>
    </row>
    <row r="442" spans="1:10" x14ac:dyDescent="0.2">
      <c r="A442">
        <f t="shared" ca="1" si="54"/>
        <v>0.78963966446115208</v>
      </c>
      <c r="B442">
        <f t="shared" ca="1" si="55"/>
        <v>0.80517158533794264</v>
      </c>
      <c r="C442">
        <f t="shared" ca="1" si="59"/>
        <v>-8.9955055833087627</v>
      </c>
      <c r="D442" s="22">
        <f t="shared" ca="1" si="56"/>
        <v>0.28849163907712333</v>
      </c>
      <c r="F442">
        <f t="shared" si="57"/>
        <v>0.43600000000000033</v>
      </c>
      <c r="G442">
        <f t="shared" ca="1" si="58"/>
        <v>-1.6868815265135916E-2</v>
      </c>
      <c r="H442">
        <f t="shared" ca="1" si="60"/>
        <v>-1.6870149011958942E-2</v>
      </c>
      <c r="I442">
        <f t="shared" ca="1" si="61"/>
        <v>1.0102901204089828E-2</v>
      </c>
      <c r="J442" s="5">
        <f t="shared" ca="1" si="62"/>
        <v>2.6973050216048768E-2</v>
      </c>
    </row>
    <row r="443" spans="1:10" x14ac:dyDescent="0.2">
      <c r="A443">
        <f t="shared" ca="1" si="54"/>
        <v>0.54060993519301737</v>
      </c>
      <c r="B443">
        <f t="shared" ca="1" si="55"/>
        <v>0.10197045083573704</v>
      </c>
      <c r="C443">
        <f t="shared" ca="1" si="59"/>
        <v>-8.8935351324730263</v>
      </c>
      <c r="D443" s="22">
        <f t="shared" ca="1" si="56"/>
        <v>0.39687356716822142</v>
      </c>
      <c r="F443">
        <f t="shared" si="57"/>
        <v>0.43700000000000033</v>
      </c>
      <c r="G443">
        <f t="shared" ca="1" si="58"/>
        <v>-1.4311080154519009E-2</v>
      </c>
      <c r="H443">
        <f t="shared" ca="1" si="60"/>
        <v>-1.4312285880141213E-2</v>
      </c>
      <c r="I443">
        <f t="shared" ca="1" si="61"/>
        <v>1.0129620014471449E-2</v>
      </c>
      <c r="J443" s="5">
        <f t="shared" ca="1" si="62"/>
        <v>2.4441905894612662E-2</v>
      </c>
    </row>
    <row r="444" spans="1:10" x14ac:dyDescent="0.2">
      <c r="A444">
        <f t="shared" ca="1" si="54"/>
        <v>0.70149584144826715</v>
      </c>
      <c r="B444">
        <f t="shared" ca="1" si="55"/>
        <v>0.52870758144046393</v>
      </c>
      <c r="C444">
        <f t="shared" ca="1" si="59"/>
        <v>-8.3648275510325618</v>
      </c>
      <c r="D444" s="22">
        <f t="shared" ca="1" si="56"/>
        <v>0.34690497404932391</v>
      </c>
      <c r="F444">
        <f t="shared" si="57"/>
        <v>0.43800000000000033</v>
      </c>
      <c r="G444">
        <f t="shared" ca="1" si="58"/>
        <v>-1.3977206861636929E-2</v>
      </c>
      <c r="H444">
        <f t="shared" ca="1" si="60"/>
        <v>-1.3978395772878049E-2</v>
      </c>
      <c r="I444">
        <f t="shared" ca="1" si="61"/>
        <v>1.0133849597061073E-2</v>
      </c>
      <c r="J444" s="5">
        <f t="shared" ca="1" si="62"/>
        <v>2.4112245369939122E-2</v>
      </c>
    </row>
    <row r="445" spans="1:10" x14ac:dyDescent="0.2">
      <c r="A445">
        <f t="shared" ca="1" si="54"/>
        <v>0.54611704834518293</v>
      </c>
      <c r="B445">
        <f t="shared" ca="1" si="55"/>
        <v>0.11585696447779381</v>
      </c>
      <c r="C445">
        <f t="shared" ca="1" si="59"/>
        <v>-8.2489705865547673</v>
      </c>
      <c r="D445" s="22">
        <f t="shared" ca="1" si="56"/>
        <v>0.39627377669482239</v>
      </c>
      <c r="F445">
        <f t="shared" si="57"/>
        <v>0.43900000000000033</v>
      </c>
      <c r="G445">
        <f t="shared" ca="1" si="58"/>
        <v>-1.2293973129792633E-2</v>
      </c>
      <c r="H445">
        <f t="shared" ca="1" si="60"/>
        <v>-1.2295077759749928E-2</v>
      </c>
      <c r="I445">
        <f t="shared" ca="1" si="61"/>
        <v>1.0151771128645104E-2</v>
      </c>
      <c r="J445" s="5">
        <f t="shared" ca="1" si="62"/>
        <v>2.244684888839503E-2</v>
      </c>
    </row>
    <row r="446" spans="1:10" x14ac:dyDescent="0.2">
      <c r="A446">
        <f t="shared" ca="1" si="54"/>
        <v>0.28997076017671486</v>
      </c>
      <c r="B446">
        <f t="shared" ca="1" si="55"/>
        <v>-0.553470142188348</v>
      </c>
      <c r="C446">
        <f t="shared" ca="1" si="59"/>
        <v>-8.8024407287431146</v>
      </c>
      <c r="D446" s="22">
        <f t="shared" ca="1" si="56"/>
        <v>0.34228788316905162</v>
      </c>
      <c r="F446">
        <f t="shared" si="57"/>
        <v>0.44000000000000034</v>
      </c>
      <c r="G446">
        <f t="shared" ca="1" si="58"/>
        <v>-1.191639072121904E-2</v>
      </c>
      <c r="H446">
        <f t="shared" ca="1" si="60"/>
        <v>-1.1917476361430904E-2</v>
      </c>
      <c r="I446">
        <f t="shared" ca="1" si="61"/>
        <v>1.0156455951122686E-2</v>
      </c>
      <c r="J446" s="5">
        <f t="shared" ca="1" si="62"/>
        <v>2.2073932312553592E-2</v>
      </c>
    </row>
    <row r="447" spans="1:10" x14ac:dyDescent="0.2">
      <c r="A447">
        <f t="shared" ca="1" si="54"/>
        <v>0.83346412306798379</v>
      </c>
      <c r="B447">
        <f t="shared" ca="1" si="55"/>
        <v>0.96794516976945788</v>
      </c>
      <c r="C447">
        <f t="shared" ca="1" si="59"/>
        <v>-7.8344955589736571</v>
      </c>
      <c r="D447" s="22">
        <f t="shared" ca="1" si="56"/>
        <v>0.24972437756601756</v>
      </c>
      <c r="F447">
        <f t="shared" si="57"/>
        <v>0.44100000000000034</v>
      </c>
      <c r="G447">
        <f t="shared" ca="1" si="58"/>
        <v>-1.3655338400255483E-2</v>
      </c>
      <c r="H447">
        <f t="shared" ca="1" si="60"/>
        <v>-1.3656510880007191E-2</v>
      </c>
      <c r="I447">
        <f t="shared" ca="1" si="61"/>
        <v>1.0139658623984372E-2</v>
      </c>
      <c r="J447" s="5">
        <f t="shared" ca="1" si="62"/>
        <v>2.3796169503991563E-2</v>
      </c>
    </row>
    <row r="448" spans="1:10" x14ac:dyDescent="0.2">
      <c r="A448">
        <f t="shared" ca="1" si="54"/>
        <v>0.69905549652896415</v>
      </c>
      <c r="B448">
        <f t="shared" ca="1" si="55"/>
        <v>0.52168595250948357</v>
      </c>
      <c r="C448">
        <f t="shared" ca="1" si="59"/>
        <v>-7.3128096064641737</v>
      </c>
      <c r="D448" s="22">
        <f t="shared" ca="1" si="56"/>
        <v>0.34818663004541428</v>
      </c>
      <c r="F448">
        <f t="shared" si="57"/>
        <v>0.44200000000000034</v>
      </c>
      <c r="G448">
        <f t="shared" ca="1" si="58"/>
        <v>-1.0583215087236071E-2</v>
      </c>
      <c r="H448">
        <f t="shared" ca="1" si="60"/>
        <v>-1.0584233842289344E-2</v>
      </c>
      <c r="I448">
        <f t="shared" ca="1" si="61"/>
        <v>1.0171709035620617E-2</v>
      </c>
      <c r="J448" s="5">
        <f t="shared" ca="1" si="62"/>
        <v>2.0755942877909959E-2</v>
      </c>
    </row>
    <row r="449" spans="1:10" x14ac:dyDescent="0.2">
      <c r="A449">
        <f t="shared" ca="1" si="54"/>
        <v>0.69388726141303214</v>
      </c>
      <c r="B449">
        <f t="shared" ca="1" si="55"/>
        <v>0.50689929955631929</v>
      </c>
      <c r="C449">
        <f t="shared" ca="1" si="59"/>
        <v>-6.8059103069078546</v>
      </c>
      <c r="D449" s="22">
        <f t="shared" ca="1" si="56"/>
        <v>0.35084456682592063</v>
      </c>
      <c r="F449">
        <f t="shared" si="57"/>
        <v>0.44300000000000034</v>
      </c>
      <c r="G449">
        <f t="shared" ca="1" si="58"/>
        <v>-8.9225239677354941E-3</v>
      </c>
      <c r="H449">
        <f t="shared" ca="1" si="60"/>
        <v>-8.9234595856607143E-3</v>
      </c>
      <c r="I449">
        <f t="shared" ca="1" si="61"/>
        <v>1.0189471267944469E-2</v>
      </c>
      <c r="J449" s="5">
        <f t="shared" ca="1" si="62"/>
        <v>1.9112930853605183E-2</v>
      </c>
    </row>
    <row r="450" spans="1:10" x14ac:dyDescent="0.2">
      <c r="A450">
        <f t="shared" ca="1" si="54"/>
        <v>0.47325081946767245</v>
      </c>
      <c r="B450">
        <f t="shared" ca="1" si="55"/>
        <v>-6.7100571494940281E-2</v>
      </c>
      <c r="C450">
        <f t="shared" ca="1" si="59"/>
        <v>-6.8730108784027948</v>
      </c>
      <c r="D450" s="22">
        <f t="shared" ca="1" si="56"/>
        <v>0.39804517442746584</v>
      </c>
      <c r="F450">
        <f t="shared" si="57"/>
        <v>0.44400000000000034</v>
      </c>
      <c r="G450">
        <f t="shared" ca="1" si="58"/>
        <v>-7.3087560734684393E-3</v>
      </c>
      <c r="H450">
        <f t="shared" ca="1" si="60"/>
        <v>-7.3096109087602001E-3</v>
      </c>
      <c r="I450">
        <f t="shared" ca="1" si="61"/>
        <v>1.02067872419164E-2</v>
      </c>
      <c r="J450" s="5">
        <f t="shared" ca="1" si="62"/>
        <v>1.7516398150676599E-2</v>
      </c>
    </row>
    <row r="451" spans="1:10" x14ac:dyDescent="0.2">
      <c r="A451">
        <f t="shared" ca="1" si="54"/>
        <v>0.7741182809088345</v>
      </c>
      <c r="B451">
        <f t="shared" ca="1" si="55"/>
        <v>0.75247836092432208</v>
      </c>
      <c r="C451">
        <f t="shared" ca="1" si="59"/>
        <v>-6.1205325174784724</v>
      </c>
      <c r="D451" s="22">
        <f t="shared" ca="1" si="56"/>
        <v>0.30057728350304325</v>
      </c>
      <c r="F451">
        <f t="shared" si="57"/>
        <v>0.44500000000000034</v>
      </c>
      <c r="G451">
        <f t="shared" ca="1" si="58"/>
        <v>-7.5102057635201029E-3</v>
      </c>
      <c r="H451">
        <f t="shared" ca="1" si="60"/>
        <v>-7.5110705858923051E-3</v>
      </c>
      <c r="I451">
        <f t="shared" ca="1" si="61"/>
        <v>1.0205591172090776E-2</v>
      </c>
      <c r="J451" s="5">
        <f t="shared" ca="1" si="62"/>
        <v>1.7716661757983081E-2</v>
      </c>
    </row>
    <row r="452" spans="1:10" x14ac:dyDescent="0.2">
      <c r="A452">
        <f t="shared" ca="1" si="54"/>
        <v>0.35807193288910499</v>
      </c>
      <c r="B452">
        <f t="shared" ca="1" si="55"/>
        <v>-0.36361722043008754</v>
      </c>
      <c r="C452">
        <f t="shared" ca="1" si="59"/>
        <v>-6.4841497379085595</v>
      </c>
      <c r="D452" s="22">
        <f t="shared" ca="1" si="56"/>
        <v>0.37342157312603741</v>
      </c>
      <c r="F452">
        <f t="shared" si="57"/>
        <v>0.44600000000000034</v>
      </c>
      <c r="G452">
        <f t="shared" ca="1" si="58"/>
        <v>-5.1200287422841148E-3</v>
      </c>
      <c r="H452">
        <f t="shared" ca="1" si="60"/>
        <v>-5.1207739683226134E-3</v>
      </c>
      <c r="I452">
        <f t="shared" ca="1" si="61"/>
        <v>1.0230876644030619E-2</v>
      </c>
      <c r="J452" s="5">
        <f t="shared" ca="1" si="62"/>
        <v>1.5351650612353232E-2</v>
      </c>
    </row>
    <row r="453" spans="1:10" x14ac:dyDescent="0.2">
      <c r="A453">
        <f t="shared" ca="1" si="54"/>
        <v>0.12408234281846986</v>
      </c>
      <c r="B453">
        <f t="shared" ca="1" si="55"/>
        <v>-1.1548186805456806</v>
      </c>
      <c r="C453">
        <f t="shared" ca="1" si="59"/>
        <v>-7.6389684184542404</v>
      </c>
      <c r="D453" s="22">
        <f t="shared" ca="1" si="56"/>
        <v>0.20479585491933242</v>
      </c>
      <c r="F453">
        <f t="shared" si="57"/>
        <v>0.44700000000000034</v>
      </c>
      <c r="G453">
        <f t="shared" ca="1" si="58"/>
        <v>-6.2593183874758811E-3</v>
      </c>
      <c r="H453">
        <f t="shared" ca="1" si="60"/>
        <v>-6.2601205039443681E-3</v>
      </c>
      <c r="I453">
        <f t="shared" ca="1" si="61"/>
        <v>1.0220090205767781E-2</v>
      </c>
      <c r="J453" s="5">
        <f t="shared" ca="1" si="62"/>
        <v>1.6480210709712149E-2</v>
      </c>
    </row>
    <row r="454" spans="1:10" x14ac:dyDescent="0.2">
      <c r="A454">
        <f t="shared" ca="1" si="54"/>
        <v>0.40477126689468257</v>
      </c>
      <c r="B454">
        <f t="shared" ca="1" si="55"/>
        <v>-0.24101623483767698</v>
      </c>
      <c r="C454">
        <f t="shared" ca="1" si="59"/>
        <v>-7.8799846532919169</v>
      </c>
      <c r="D454" s="22">
        <f t="shared" ca="1" si="56"/>
        <v>0.38752188826751949</v>
      </c>
      <c r="F454">
        <f t="shared" si="57"/>
        <v>0.44800000000000034</v>
      </c>
      <c r="G454">
        <f t="shared" ca="1" si="58"/>
        <v>-9.9003677166926984E-3</v>
      </c>
      <c r="H454">
        <f t="shared" ca="1" si="60"/>
        <v>-9.9013518069287036E-3</v>
      </c>
      <c r="I454">
        <f t="shared" ca="1" si="61"/>
        <v>1.018380337495498E-2</v>
      </c>
      <c r="J454" s="5">
        <f t="shared" ca="1" si="62"/>
        <v>2.0085155181883682E-2</v>
      </c>
    </row>
    <row r="455" spans="1:10" x14ac:dyDescent="0.2">
      <c r="A455">
        <f t="shared" ref="A455:A518" ca="1" si="63">RAND()</f>
        <v>0.23886780003225627</v>
      </c>
      <c r="B455">
        <f t="shared" ref="B455:B518" ca="1" si="64">NORMSINV(A455)</f>
        <v>-0.70994926257993307</v>
      </c>
      <c r="C455">
        <f t="shared" ca="1" si="59"/>
        <v>-8.5899339158718497</v>
      </c>
      <c r="D455" s="22">
        <f t="shared" ref="D455:D518" ca="1" si="65">_xlfn.NORM.DIST(B455,0,1,FALSE)</f>
        <v>0.31007145411332604</v>
      </c>
      <c r="F455">
        <f t="shared" ref="F455:F518" si="66">F454+$M$2/$N$2</f>
        <v>0.44900000000000034</v>
      </c>
      <c r="G455">
        <f t="shared" ref="G455:G518" ca="1" si="67">G454*EXP(-$M$4*$O$2) + $O$4*(1-EXP(-$M$4*$O$2)) + $N$4* SQRT((1-EXP(-2*$M$4*$O$2))/(2*$M$4)) *B454</f>
        <v>-1.0651500378144638E-2</v>
      </c>
      <c r="H455">
        <f t="shared" ca="1" si="60"/>
        <v>-1.0652521926913091E-2</v>
      </c>
      <c r="I455">
        <f t="shared" ca="1" si="61"/>
        <v>1.0177011412012587E-2</v>
      </c>
      <c r="J455" s="5">
        <f t="shared" ca="1" si="62"/>
        <v>2.0829533338925676E-2</v>
      </c>
    </row>
    <row r="456" spans="1:10" x14ac:dyDescent="0.2">
      <c r="A456">
        <f t="shared" ca="1" si="63"/>
        <v>0.10280876044434684</v>
      </c>
      <c r="B456">
        <f t="shared" ca="1" si="64"/>
        <v>-1.265708341263053</v>
      </c>
      <c r="C456">
        <f t="shared" ref="C456:C519" ca="1" si="68">B456+C455</f>
        <v>-9.8556422571349032</v>
      </c>
      <c r="D456" s="22">
        <f t="shared" ca="1" si="65"/>
        <v>0.17907557853952463</v>
      </c>
      <c r="F456">
        <f t="shared" si="66"/>
        <v>0.45000000000000034</v>
      </c>
      <c r="G456">
        <f t="shared" ca="1" si="67"/>
        <v>-1.2885380226097773E-2</v>
      </c>
      <c r="H456">
        <f t="shared" ref="H456:H519" ca="1" si="69">H455+($M$6 + $N$6*H455)*$O$2 + $O$6*H455^$P$6*SQRT($O$2)*B455</f>
        <v>-1.2886513367629937E-2</v>
      </c>
      <c r="I456">
        <f t="shared" ref="I456:I519" ca="1" si="70">I455*EXP(($M$8-0.5*($N$8^2))*$O$2 + $N$8*SQRT($O$2)*B455)</f>
        <v>1.0155153766521053E-2</v>
      </c>
      <c r="J456" s="5">
        <f t="shared" ref="J456:J519" ca="1" si="71">ABS(H456-I456)</f>
        <v>2.3041667134150991E-2</v>
      </c>
    </row>
    <row r="457" spans="1:10" x14ac:dyDescent="0.2">
      <c r="A457">
        <f t="shared" ca="1" si="63"/>
        <v>8.187330465411724E-2</v>
      </c>
      <c r="B457">
        <f t="shared" ca="1" si="64"/>
        <v>-1.3925807439669045</v>
      </c>
      <c r="C457">
        <f t="shared" ca="1" si="68"/>
        <v>-11.248223001101808</v>
      </c>
      <c r="D457" s="22">
        <f t="shared" ca="1" si="65"/>
        <v>0.15128661973307023</v>
      </c>
      <c r="F457">
        <f t="shared" si="66"/>
        <v>0.45100000000000035</v>
      </c>
      <c r="G457">
        <f t="shared" ca="1" si="67"/>
        <v>-1.6876413346625804E-2</v>
      </c>
      <c r="H457">
        <f t="shared" ca="1" si="69"/>
        <v>-1.6877745928158102E-2</v>
      </c>
      <c r="I457">
        <f t="shared" ca="1" si="70"/>
        <v>1.0115549714996253E-2</v>
      </c>
      <c r="J457" s="5">
        <f t="shared" ca="1" si="71"/>
        <v>2.6993295643154357E-2</v>
      </c>
    </row>
    <row r="458" spans="1:10" x14ac:dyDescent="0.2">
      <c r="A458">
        <f t="shared" ca="1" si="63"/>
        <v>0.68177060415593238</v>
      </c>
      <c r="B458">
        <f t="shared" ca="1" si="64"/>
        <v>0.4726557632700899</v>
      </c>
      <c r="C458">
        <f t="shared" ca="1" si="68"/>
        <v>-10.775567237831718</v>
      </c>
      <c r="D458" s="22">
        <f t="shared" ca="1" si="65"/>
        <v>0.35677845342560427</v>
      </c>
      <c r="F458">
        <f t="shared" si="66"/>
        <v>0.45200000000000035</v>
      </c>
      <c r="G458">
        <f t="shared" ca="1" si="67"/>
        <v>-2.126823308910613E-2</v>
      </c>
      <c r="H458">
        <f t="shared" ca="1" si="69"/>
        <v>-2.1269785130192488E-2</v>
      </c>
      <c r="I458">
        <f t="shared" ca="1" si="70"/>
        <v>1.0072058336578784E-2</v>
      </c>
      <c r="J458" s="5">
        <f t="shared" ca="1" si="71"/>
        <v>3.1341843466771269E-2</v>
      </c>
    </row>
    <row r="459" spans="1:10" x14ac:dyDescent="0.2">
      <c r="A459">
        <f t="shared" ca="1" si="63"/>
        <v>0.66595965569968296</v>
      </c>
      <c r="B459">
        <f t="shared" ca="1" si="64"/>
        <v>0.42878363609284792</v>
      </c>
      <c r="C459">
        <f t="shared" ca="1" si="68"/>
        <v>-10.346783601738869</v>
      </c>
      <c r="D459" s="22">
        <f t="shared" ca="1" si="65"/>
        <v>0.36390361640844354</v>
      </c>
      <c r="F459">
        <f t="shared" si="66"/>
        <v>0.45300000000000035</v>
      </c>
      <c r="G459">
        <f t="shared" ca="1" si="67"/>
        <v>-1.9761512841303633E-2</v>
      </c>
      <c r="H459">
        <f t="shared" ca="1" si="69"/>
        <v>-1.9762989390540629E-2</v>
      </c>
      <c r="I459">
        <f t="shared" ca="1" si="70"/>
        <v>1.008808230610426E-2</v>
      </c>
      <c r="J459" s="5">
        <f t="shared" ca="1" si="71"/>
        <v>2.9851071696644887E-2</v>
      </c>
    </row>
    <row r="460" spans="1:10" x14ac:dyDescent="0.2">
      <c r="A460">
        <f t="shared" ca="1" si="63"/>
        <v>0.26446284172709045</v>
      </c>
      <c r="B460">
        <f t="shared" ca="1" si="64"/>
        <v>-0.62964682020057428</v>
      </c>
      <c r="C460">
        <f t="shared" ca="1" si="68"/>
        <v>-10.976430421939444</v>
      </c>
      <c r="D460" s="22">
        <f t="shared" ca="1" si="65"/>
        <v>0.32720575286609382</v>
      </c>
      <c r="F460">
        <f t="shared" si="66"/>
        <v>0.45400000000000035</v>
      </c>
      <c r="G460">
        <f t="shared" ca="1" si="67"/>
        <v>-1.8393672169165862E-2</v>
      </c>
      <c r="H460">
        <f t="shared" ca="1" si="69"/>
        <v>-1.8395080178139393E-2</v>
      </c>
      <c r="I460">
        <f t="shared" ca="1" si="70"/>
        <v>1.0102730060640773E-2</v>
      </c>
      <c r="J460" s="5">
        <f t="shared" ca="1" si="71"/>
        <v>2.8497810238780168E-2</v>
      </c>
    </row>
    <row r="461" spans="1:10" x14ac:dyDescent="0.2">
      <c r="A461">
        <f t="shared" ca="1" si="63"/>
        <v>0.69581692242329063</v>
      </c>
      <c r="B461">
        <f t="shared" ca="1" si="64"/>
        <v>0.5124070539789678</v>
      </c>
      <c r="C461">
        <f t="shared" ca="1" si="68"/>
        <v>-10.464023367960475</v>
      </c>
      <c r="D461" s="22">
        <f t="shared" ca="1" si="65"/>
        <v>0.34986111144808385</v>
      </c>
      <c r="F461">
        <f t="shared" si="66"/>
        <v>0.45500000000000035</v>
      </c>
      <c r="G461">
        <f t="shared" ca="1" si="67"/>
        <v>-2.0372851915458224E-2</v>
      </c>
      <c r="H461">
        <f t="shared" ca="1" si="69"/>
        <v>-2.0374358743437911E-2</v>
      </c>
      <c r="I461">
        <f t="shared" ca="1" si="70"/>
        <v>1.0083592241099506E-2</v>
      </c>
      <c r="J461" s="5">
        <f t="shared" ca="1" si="71"/>
        <v>3.0457950984537414E-2</v>
      </c>
    </row>
    <row r="462" spans="1:10" x14ac:dyDescent="0.2">
      <c r="A462">
        <f t="shared" ca="1" si="63"/>
        <v>0.30421116354704503</v>
      </c>
      <c r="B462">
        <f t="shared" ca="1" si="64"/>
        <v>-0.51232677814433525</v>
      </c>
      <c r="C462">
        <f t="shared" ca="1" si="68"/>
        <v>-10.97635014610481</v>
      </c>
      <c r="D462" s="22">
        <f t="shared" ca="1" si="65"/>
        <v>0.34987550177008159</v>
      </c>
      <c r="F462">
        <f t="shared" si="66"/>
        <v>0.45600000000000035</v>
      </c>
      <c r="G462">
        <f t="shared" ca="1" si="67"/>
        <v>-1.874052286769385E-2</v>
      </c>
      <c r="H462">
        <f t="shared" ca="1" si="69"/>
        <v>-1.8741947927853185E-2</v>
      </c>
      <c r="I462">
        <f t="shared" ca="1" si="70"/>
        <v>1.0100904210802683E-2</v>
      </c>
      <c r="J462" s="5">
        <f t="shared" ca="1" si="71"/>
        <v>2.8842852138655867E-2</v>
      </c>
    </row>
    <row r="463" spans="1:10" x14ac:dyDescent="0.2">
      <c r="A463">
        <f t="shared" ca="1" si="63"/>
        <v>0.4040683587369428</v>
      </c>
      <c r="B463">
        <f t="shared" ca="1" si="64"/>
        <v>-0.24283048650739114</v>
      </c>
      <c r="C463">
        <f t="shared" ca="1" si="68"/>
        <v>-11.219180632612201</v>
      </c>
      <c r="D463" s="22">
        <f t="shared" ca="1" si="65"/>
        <v>0.38735183841039833</v>
      </c>
      <c r="F463">
        <f t="shared" si="66"/>
        <v>0.45700000000000035</v>
      </c>
      <c r="G463">
        <f t="shared" ca="1" si="67"/>
        <v>-2.0348687931720618E-2</v>
      </c>
      <c r="H463">
        <f t="shared" ca="1" si="69"/>
        <v>-2.0350193258292272E-2</v>
      </c>
      <c r="I463">
        <f t="shared" ca="1" si="70"/>
        <v>1.0085510865897459E-2</v>
      </c>
      <c r="J463" s="5">
        <f t="shared" ca="1" si="71"/>
        <v>3.0435704124189729E-2</v>
      </c>
    </row>
    <row r="464" spans="1:10" x14ac:dyDescent="0.2">
      <c r="A464">
        <f t="shared" ca="1" si="63"/>
        <v>0.50374116398331015</v>
      </c>
      <c r="B464">
        <f t="shared" ca="1" si="64"/>
        <v>9.3778448729414723E-3</v>
      </c>
      <c r="C464">
        <f t="shared" ca="1" si="68"/>
        <v>-11.209802787739259</v>
      </c>
      <c r="D464" s="22">
        <f t="shared" ca="1" si="65"/>
        <v>0.39892473850225213</v>
      </c>
      <c r="F464">
        <f t="shared" si="66"/>
        <v>0.45800000000000035</v>
      </c>
      <c r="G464">
        <f t="shared" ca="1" si="67"/>
        <v>-2.1104512694069551E-2</v>
      </c>
      <c r="H464">
        <f t="shared" ca="1" si="69"/>
        <v>-2.1106055661656586E-2</v>
      </c>
      <c r="I464">
        <f t="shared" ca="1" si="70"/>
        <v>1.0078726634431203E-2</v>
      </c>
      <c r="J464" s="5">
        <f t="shared" ca="1" si="71"/>
        <v>3.1184782296087787E-2</v>
      </c>
    </row>
    <row r="465" spans="1:10" x14ac:dyDescent="0.2">
      <c r="A465">
        <f t="shared" ca="1" si="63"/>
        <v>0.89660518151595026</v>
      </c>
      <c r="B465">
        <f t="shared" ca="1" si="64"/>
        <v>1.2624424095223039</v>
      </c>
      <c r="C465">
        <f t="shared" ca="1" si="68"/>
        <v>-9.9473603782169544</v>
      </c>
      <c r="D465" s="22">
        <f t="shared" ca="1" si="65"/>
        <v>0.17981639941757838</v>
      </c>
      <c r="F465">
        <f t="shared" si="66"/>
        <v>0.45900000000000035</v>
      </c>
      <c r="G465">
        <f t="shared" ca="1" si="67"/>
        <v>-2.1062748981665984E-2</v>
      </c>
      <c r="H465">
        <f t="shared" ca="1" si="69"/>
        <v>-2.1064289706748191E-2</v>
      </c>
      <c r="I465">
        <f t="shared" ca="1" si="70"/>
        <v>1.0079983079930443E-2</v>
      </c>
      <c r="J465" s="5">
        <f t="shared" ca="1" si="71"/>
        <v>3.1144272786678633E-2</v>
      </c>
    </row>
    <row r="466" spans="1:10" x14ac:dyDescent="0.2">
      <c r="A466">
        <f t="shared" ca="1" si="63"/>
        <v>0.49913641113728169</v>
      </c>
      <c r="B466">
        <f t="shared" ca="1" si="64"/>
        <v>-2.1646979515441973E-3</v>
      </c>
      <c r="C466">
        <f t="shared" ca="1" si="68"/>
        <v>-9.9495250761684986</v>
      </c>
      <c r="D466" s="22">
        <f t="shared" ca="1" si="65"/>
        <v>0.39894134569727663</v>
      </c>
      <c r="F466">
        <f t="shared" si="66"/>
        <v>0.46000000000000035</v>
      </c>
      <c r="G466">
        <f t="shared" ca="1" si="67"/>
        <v>-1.7058649484534599E-2</v>
      </c>
      <c r="H466">
        <f t="shared" ca="1" si="69"/>
        <v>-1.7059989848895993E-2</v>
      </c>
      <c r="I466">
        <f t="shared" ca="1" si="70"/>
        <v>1.0121266229176048E-2</v>
      </c>
      <c r="J466" s="5">
        <f t="shared" ca="1" si="71"/>
        <v>2.7181256078072043E-2</v>
      </c>
    </row>
    <row r="467" spans="1:10" x14ac:dyDescent="0.2">
      <c r="A467">
        <f t="shared" ca="1" si="63"/>
        <v>7.1537525278591918E-2</v>
      </c>
      <c r="B467">
        <f t="shared" ca="1" si="64"/>
        <v>-1.464435294240011</v>
      </c>
      <c r="C467">
        <f t="shared" ca="1" si="68"/>
        <v>-11.41396037040851</v>
      </c>
      <c r="D467" s="22">
        <f t="shared" ca="1" si="65"/>
        <v>0.13652822642850648</v>
      </c>
      <c r="F467">
        <f t="shared" si="66"/>
        <v>0.46100000000000035</v>
      </c>
      <c r="G467">
        <f t="shared" ca="1" si="67"/>
        <v>-1.7053789238578525E-2</v>
      </c>
      <c r="H467">
        <f t="shared" ca="1" si="69"/>
        <v>-1.7055129225884286E-2</v>
      </c>
      <c r="I467">
        <f t="shared" ca="1" si="70"/>
        <v>1.0122158504923696E-2</v>
      </c>
      <c r="J467" s="5">
        <f t="shared" ca="1" si="71"/>
        <v>2.7177287730807981E-2</v>
      </c>
    </row>
    <row r="468" spans="1:10" x14ac:dyDescent="0.2">
      <c r="A468">
        <f t="shared" ca="1" si="63"/>
        <v>7.5586707696372324E-3</v>
      </c>
      <c r="B468">
        <f t="shared" ca="1" si="64"/>
        <v>-2.4295557075958802</v>
      </c>
      <c r="C468">
        <f t="shared" ca="1" si="68"/>
        <v>-13.843516078004392</v>
      </c>
      <c r="D468" s="22">
        <f t="shared" ca="1" si="65"/>
        <v>2.0851925156379045E-2</v>
      </c>
      <c r="F468">
        <f t="shared" si="66"/>
        <v>0.46200000000000035</v>
      </c>
      <c r="G468">
        <f t="shared" ca="1" si="67"/>
        <v>-2.1672803922738001E-2</v>
      </c>
      <c r="H468">
        <f t="shared" ca="1" si="69"/>
        <v>-2.1674374728698993E-2</v>
      </c>
      <c r="I468">
        <f t="shared" ca="1" si="70"/>
        <v>1.007634886346055E-2</v>
      </c>
      <c r="J468" s="5">
        <f t="shared" ca="1" si="71"/>
        <v>3.1750723592159545E-2</v>
      </c>
    </row>
    <row r="469" spans="1:10" x14ac:dyDescent="0.2">
      <c r="A469">
        <f t="shared" ca="1" si="63"/>
        <v>0.67937894359029538</v>
      </c>
      <c r="B469">
        <f t="shared" ca="1" si="64"/>
        <v>0.46596282141574197</v>
      </c>
      <c r="C469">
        <f t="shared" ca="1" si="68"/>
        <v>-13.37755325658865</v>
      </c>
      <c r="D469" s="22">
        <f t="shared" ca="1" si="65"/>
        <v>0.35790087776321866</v>
      </c>
      <c r="F469">
        <f t="shared" si="66"/>
        <v>0.46300000000000036</v>
      </c>
      <c r="G469">
        <f t="shared" ca="1" si="67"/>
        <v>-2.9343182858472993E-2</v>
      </c>
      <c r="H469">
        <f t="shared" ca="1" si="69"/>
        <v>-2.9345137029491153E-2</v>
      </c>
      <c r="I469">
        <f t="shared" ca="1" si="70"/>
        <v>1.0000179585295976E-2</v>
      </c>
      <c r="J469" s="5">
        <f t="shared" ca="1" si="71"/>
        <v>3.9345316614787129E-2</v>
      </c>
    </row>
    <row r="470" spans="1:10" x14ac:dyDescent="0.2">
      <c r="A470">
        <f t="shared" ca="1" si="63"/>
        <v>6.3414582279332166E-2</v>
      </c>
      <c r="B470">
        <f t="shared" ca="1" si="64"/>
        <v>-1.5267259790487757</v>
      </c>
      <c r="C470">
        <f t="shared" ca="1" si="68"/>
        <v>-14.904279235637425</v>
      </c>
      <c r="D470" s="22">
        <f t="shared" ca="1" si="65"/>
        <v>0.124383637241612</v>
      </c>
      <c r="F470">
        <f t="shared" si="66"/>
        <v>0.46400000000000036</v>
      </c>
      <c r="G470">
        <f t="shared" ca="1" si="67"/>
        <v>-2.7856819038370839E-2</v>
      </c>
      <c r="H470">
        <f t="shared" ca="1" si="69"/>
        <v>-2.7858698695156177E-2</v>
      </c>
      <c r="I470">
        <f t="shared" ca="1" si="70"/>
        <v>1.0015877212858642E-2</v>
      </c>
      <c r="J470" s="5">
        <f t="shared" ca="1" si="71"/>
        <v>3.7874575908014817E-2</v>
      </c>
    </row>
    <row r="471" spans="1:10" x14ac:dyDescent="0.2">
      <c r="A471">
        <f t="shared" ca="1" si="63"/>
        <v>0.76655603393239413</v>
      </c>
      <c r="B471">
        <f t="shared" ca="1" si="64"/>
        <v>0.72755190297419925</v>
      </c>
      <c r="C471">
        <f t="shared" ca="1" si="68"/>
        <v>-14.176727332663226</v>
      </c>
      <c r="D471" s="22">
        <f t="shared" ca="1" si="65"/>
        <v>0.30617317094951618</v>
      </c>
      <c r="F471">
        <f t="shared" si="66"/>
        <v>0.46500000000000036</v>
      </c>
      <c r="G471">
        <f t="shared" ca="1" si="67"/>
        <v>-3.2671724065959341E-2</v>
      </c>
      <c r="H471">
        <f t="shared" ca="1" si="69"/>
        <v>-3.2673844282031302E-2</v>
      </c>
      <c r="I471">
        <f t="shared" ca="1" si="70"/>
        <v>9.9685847567892519E-3</v>
      </c>
      <c r="J471" s="5">
        <f t="shared" ca="1" si="71"/>
        <v>4.2642429038820553E-2</v>
      </c>
    </row>
    <row r="472" spans="1:10" x14ac:dyDescent="0.2">
      <c r="A472">
        <f t="shared" ca="1" si="63"/>
        <v>0.8467459976960231</v>
      </c>
      <c r="B472">
        <f t="shared" ca="1" si="64"/>
        <v>1.0225767553417799</v>
      </c>
      <c r="C472">
        <f t="shared" ca="1" si="68"/>
        <v>-13.154150577321447</v>
      </c>
      <c r="D472" s="22">
        <f t="shared" ca="1" si="65"/>
        <v>0.23650873352985888</v>
      </c>
      <c r="F472">
        <f t="shared" si="66"/>
        <v>0.46600000000000036</v>
      </c>
      <c r="G472">
        <f t="shared" ca="1" si="67"/>
        <v>-3.0357851458764466E-2</v>
      </c>
      <c r="H472">
        <f t="shared" ca="1" si="69"/>
        <v>-3.0359855768214795E-2</v>
      </c>
      <c r="I472">
        <f t="shared" ca="1" si="70"/>
        <v>9.9924953360249445E-3</v>
      </c>
      <c r="J472" s="5">
        <f t="shared" ca="1" si="71"/>
        <v>4.0352351104239736E-2</v>
      </c>
    </row>
    <row r="473" spans="1:10" x14ac:dyDescent="0.2">
      <c r="A473">
        <f t="shared" ca="1" si="63"/>
        <v>0.18011354171609584</v>
      </c>
      <c r="B473">
        <f t="shared" ca="1" si="64"/>
        <v>-0.91493246881825641</v>
      </c>
      <c r="C473">
        <f t="shared" ca="1" si="68"/>
        <v>-14.069083046139703</v>
      </c>
      <c r="D473" s="22">
        <f t="shared" ca="1" si="65"/>
        <v>0.26250392505976805</v>
      </c>
      <c r="F473">
        <f t="shared" si="66"/>
        <v>0.46700000000000036</v>
      </c>
      <c r="G473">
        <f t="shared" ca="1" si="67"/>
        <v>-2.7111306373006284E-2</v>
      </c>
      <c r="H473">
        <f t="shared" ca="1" si="69"/>
        <v>-2.7113148153413195E-2</v>
      </c>
      <c r="I473">
        <f t="shared" ca="1" si="70"/>
        <v>1.0025812491927955E-2</v>
      </c>
      <c r="J473" s="5">
        <f t="shared" ca="1" si="71"/>
        <v>3.7138960645341154E-2</v>
      </c>
    </row>
    <row r="474" spans="1:10" x14ac:dyDescent="0.2">
      <c r="A474">
        <f t="shared" ca="1" si="63"/>
        <v>0.12511365335215341</v>
      </c>
      <c r="B474">
        <f t="shared" ca="1" si="64"/>
        <v>-1.1497974477396513</v>
      </c>
      <c r="C474">
        <f t="shared" ca="1" si="68"/>
        <v>-15.218880493879354</v>
      </c>
      <c r="D474" s="22">
        <f t="shared" ca="1" si="65"/>
        <v>0.20598423986705564</v>
      </c>
      <c r="F474">
        <f t="shared" si="66"/>
        <v>0.46800000000000036</v>
      </c>
      <c r="G474">
        <f t="shared" ca="1" si="67"/>
        <v>-2.9991721727113053E-2</v>
      </c>
      <c r="H474">
        <f t="shared" ca="1" si="69"/>
        <v>-2.9993707345304529E-2</v>
      </c>
      <c r="I474">
        <f t="shared" ca="1" si="70"/>
        <v>9.9977967725875961E-3</v>
      </c>
      <c r="J474" s="5">
        <f t="shared" ca="1" si="71"/>
        <v>3.9991504117892124E-2</v>
      </c>
    </row>
    <row r="475" spans="1:10" x14ac:dyDescent="0.2">
      <c r="A475">
        <f t="shared" ca="1" si="63"/>
        <v>0.26170877150302763</v>
      </c>
      <c r="B475">
        <f t="shared" ca="1" si="64"/>
        <v>-0.63808624029026162</v>
      </c>
      <c r="C475">
        <f t="shared" ca="1" si="68"/>
        <v>-15.856966734169616</v>
      </c>
      <c r="D475" s="22">
        <f t="shared" ca="1" si="65"/>
        <v>0.32546005029044606</v>
      </c>
      <c r="F475">
        <f t="shared" si="66"/>
        <v>0.46900000000000036</v>
      </c>
      <c r="G475">
        <f t="shared" ca="1" si="67"/>
        <v>-3.3614520196218495E-2</v>
      </c>
      <c r="H475">
        <f t="shared" ca="1" si="69"/>
        <v>-3.3616686757275721E-2</v>
      </c>
      <c r="I475">
        <f t="shared" ca="1" si="70"/>
        <v>9.962457391267103E-3</v>
      </c>
      <c r="J475" s="5">
        <f t="shared" ca="1" si="71"/>
        <v>4.3579144148542824E-2</v>
      </c>
    </row>
    <row r="476" spans="1:10" x14ac:dyDescent="0.2">
      <c r="A476">
        <f t="shared" ca="1" si="63"/>
        <v>8.2064322157410108E-2</v>
      </c>
      <c r="B476">
        <f t="shared" ca="1" si="64"/>
        <v>-1.3913192324217318</v>
      </c>
      <c r="C476">
        <f t="shared" ca="1" si="68"/>
        <v>-17.248285966591347</v>
      </c>
      <c r="D476" s="22">
        <f t="shared" ca="1" si="65"/>
        <v>0.15155250650926216</v>
      </c>
      <c r="F476">
        <f t="shared" si="66"/>
        <v>0.47000000000000036</v>
      </c>
      <c r="G476">
        <f t="shared" ca="1" si="67"/>
        <v>-3.5618864389090364E-2</v>
      </c>
      <c r="H476">
        <f t="shared" ca="1" si="69"/>
        <v>-3.5621130951530716E-2</v>
      </c>
      <c r="I476">
        <f t="shared" ca="1" si="70"/>
        <v>9.9433199244988533E-3</v>
      </c>
      <c r="J476" s="5">
        <f t="shared" ca="1" si="71"/>
        <v>4.5564450876029568E-2</v>
      </c>
    </row>
    <row r="477" spans="1:10" x14ac:dyDescent="0.2">
      <c r="A477">
        <f t="shared" ca="1" si="63"/>
        <v>0.59371065458871686</v>
      </c>
      <c r="B477">
        <f t="shared" ca="1" si="64"/>
        <v>0.2371006722918895</v>
      </c>
      <c r="C477">
        <f t="shared" ca="1" si="68"/>
        <v>-17.011185294299459</v>
      </c>
      <c r="D477" s="22">
        <f t="shared" ca="1" si="65"/>
        <v>0.387884797306422</v>
      </c>
      <c r="F477">
        <f t="shared" si="66"/>
        <v>0.47100000000000036</v>
      </c>
      <c r="G477">
        <f t="shared" ca="1" si="67"/>
        <v>-4.0004820929852414E-2</v>
      </c>
      <c r="H477">
        <f t="shared" ca="1" si="69"/>
        <v>-4.0007306565285422E-2</v>
      </c>
      <c r="I477">
        <f t="shared" ca="1" si="70"/>
        <v>9.9006085367071318E-3</v>
      </c>
      <c r="J477" s="5">
        <f t="shared" ca="1" si="71"/>
        <v>4.990791510199255E-2</v>
      </c>
    </row>
    <row r="478" spans="1:10" x14ac:dyDescent="0.2">
      <c r="A478">
        <f t="shared" ca="1" si="63"/>
        <v>0.29726884567433853</v>
      </c>
      <c r="B478">
        <f t="shared" ca="1" si="64"/>
        <v>-0.53227189995684121</v>
      </c>
      <c r="C478">
        <f t="shared" ca="1" si="68"/>
        <v>-17.543457194256298</v>
      </c>
      <c r="D478" s="22">
        <f t="shared" ca="1" si="65"/>
        <v>0.34624965393509932</v>
      </c>
      <c r="F478">
        <f t="shared" si="66"/>
        <v>0.47200000000000036</v>
      </c>
      <c r="G478">
        <f t="shared" ca="1" si="67"/>
        <v>-3.9241080475906645E-2</v>
      </c>
      <c r="H478">
        <f t="shared" ca="1" si="69"/>
        <v>-3.9243527675429345E-2</v>
      </c>
      <c r="I478">
        <f t="shared" ca="1" si="70"/>
        <v>9.908975888342067E-3</v>
      </c>
      <c r="J478" s="5">
        <f t="shared" ca="1" si="71"/>
        <v>4.9152503563771412E-2</v>
      </c>
    </row>
    <row r="479" spans="1:10" x14ac:dyDescent="0.2">
      <c r="A479">
        <f t="shared" ca="1" si="63"/>
        <v>0.87755288986216373</v>
      </c>
      <c r="B479">
        <f t="shared" ca="1" si="64"/>
        <v>1.1628405037819058</v>
      </c>
      <c r="C479">
        <f t="shared" ca="1" si="68"/>
        <v>-16.380616690474394</v>
      </c>
      <c r="D479" s="22">
        <f t="shared" ca="1" si="65"/>
        <v>0.20290090906055053</v>
      </c>
      <c r="F479">
        <f t="shared" si="66"/>
        <v>0.47300000000000036</v>
      </c>
      <c r="G479">
        <f t="shared" ca="1" si="67"/>
        <v>-4.0910264446339724E-2</v>
      </c>
      <c r="H479">
        <f t="shared" ca="1" si="69"/>
        <v>-4.09127948610307E-2</v>
      </c>
      <c r="I479">
        <f t="shared" ca="1" si="70"/>
        <v>9.8932510270334402E-3</v>
      </c>
      <c r="J479" s="5">
        <f t="shared" ca="1" si="71"/>
        <v>5.0806045888064144E-2</v>
      </c>
    </row>
    <row r="480" spans="1:10" x14ac:dyDescent="0.2">
      <c r="A480">
        <f t="shared" ca="1" si="63"/>
        <v>0.4077409216475455</v>
      </c>
      <c r="B480">
        <f t="shared" ca="1" si="64"/>
        <v>-0.23336003584767087</v>
      </c>
      <c r="C480">
        <f t="shared" ca="1" si="68"/>
        <v>-16.613976726322065</v>
      </c>
      <c r="D480" s="22">
        <f t="shared" ca="1" si="65"/>
        <v>0.3882262517002909</v>
      </c>
      <c r="F480">
        <f t="shared" si="66"/>
        <v>0.47400000000000037</v>
      </c>
      <c r="G480">
        <f t="shared" ca="1" si="67"/>
        <v>-3.7219133430541285E-2</v>
      </c>
      <c r="H480">
        <f t="shared" ca="1" si="69"/>
        <v>-3.722147903409613E-2</v>
      </c>
      <c r="I480">
        <f t="shared" ca="1" si="70"/>
        <v>9.930641068891204E-3</v>
      </c>
      <c r="J480" s="5">
        <f t="shared" ca="1" si="71"/>
        <v>4.7152120102987333E-2</v>
      </c>
    </row>
    <row r="481" spans="1:10" x14ac:dyDescent="0.2">
      <c r="A481">
        <f t="shared" ca="1" si="63"/>
        <v>0.36999729702031481</v>
      </c>
      <c r="B481">
        <f t="shared" ca="1" si="64"/>
        <v>-0.33186050534724404</v>
      </c>
      <c r="C481">
        <f t="shared" ca="1" si="68"/>
        <v>-16.945837231669309</v>
      </c>
      <c r="D481" s="22">
        <f t="shared" ca="1" si="65"/>
        <v>0.37756813719135562</v>
      </c>
      <c r="F481">
        <f t="shared" si="66"/>
        <v>0.47500000000000037</v>
      </c>
      <c r="G481">
        <f t="shared" ca="1" si="67"/>
        <v>-3.7943324535484137E-2</v>
      </c>
      <c r="H481">
        <f t="shared" ca="1" si="69"/>
        <v>-3.7945706114329902E-2</v>
      </c>
      <c r="I481">
        <f t="shared" ca="1" si="70"/>
        <v>9.924258223023846E-3</v>
      </c>
      <c r="J481" s="5">
        <f t="shared" ca="1" si="71"/>
        <v>4.786996433735375E-2</v>
      </c>
    </row>
    <row r="482" spans="1:10" x14ac:dyDescent="0.2">
      <c r="A482">
        <f t="shared" ca="1" si="63"/>
        <v>0.37791351563073861</v>
      </c>
      <c r="B482">
        <f t="shared" ca="1" si="64"/>
        <v>-0.31096526057604235</v>
      </c>
      <c r="C482">
        <f t="shared" ca="1" si="68"/>
        <v>-17.256802492245352</v>
      </c>
      <c r="D482" s="22">
        <f t="shared" ca="1" si="65"/>
        <v>0.38011241926328643</v>
      </c>
      <c r="F482">
        <f t="shared" si="66"/>
        <v>0.47600000000000037</v>
      </c>
      <c r="G482">
        <f t="shared" ca="1" si="67"/>
        <v>-3.8978913485509116E-2</v>
      </c>
      <c r="H482">
        <f t="shared" ca="1" si="69"/>
        <v>-3.898134660607025E-2</v>
      </c>
      <c r="I482">
        <f t="shared" ca="1" si="70"/>
        <v>9.914790681803308E-3</v>
      </c>
      <c r="J482" s="5">
        <f t="shared" ca="1" si="71"/>
        <v>4.8896137287873558E-2</v>
      </c>
    </row>
    <row r="483" spans="1:10" x14ac:dyDescent="0.2">
      <c r="A483">
        <f t="shared" ca="1" si="63"/>
        <v>4.4965173029745675E-2</v>
      </c>
      <c r="B483">
        <f t="shared" ca="1" si="64"/>
        <v>-1.6957652490730071</v>
      </c>
      <c r="C483">
        <f t="shared" ca="1" si="68"/>
        <v>-18.952567741318358</v>
      </c>
      <c r="D483" s="22">
        <f t="shared" ca="1" si="65"/>
        <v>9.4727737487003166E-2</v>
      </c>
      <c r="F483">
        <f t="shared" si="66"/>
        <v>0.47700000000000037</v>
      </c>
      <c r="G483">
        <f t="shared" ca="1" si="67"/>
        <v>-3.9948325619763775E-2</v>
      </c>
      <c r="H483">
        <f t="shared" ca="1" si="69"/>
        <v>-3.9950806968017699E-2</v>
      </c>
      <c r="I483">
        <f t="shared" ca="1" si="70"/>
        <v>9.905986704382105E-3</v>
      </c>
      <c r="J483" s="5">
        <f t="shared" ca="1" si="71"/>
        <v>4.9856793672399806E-2</v>
      </c>
    </row>
    <row r="484" spans="1:10" x14ac:dyDescent="0.2">
      <c r="A484">
        <f t="shared" ca="1" si="63"/>
        <v>0.74446843790601591</v>
      </c>
      <c r="B484">
        <f t="shared" ca="1" si="64"/>
        <v>0.65718320371495687</v>
      </c>
      <c r="C484">
        <f t="shared" ca="1" si="68"/>
        <v>-18.2953845376034</v>
      </c>
      <c r="D484" s="22">
        <f t="shared" ca="1" si="65"/>
        <v>0.321459596572435</v>
      </c>
      <c r="F484">
        <f t="shared" si="66"/>
        <v>0.47800000000000037</v>
      </c>
      <c r="G484">
        <f t="shared" ca="1" si="67"/>
        <v>-4.5296543938096685E-2</v>
      </c>
      <c r="H484">
        <f t="shared" ca="1" si="69"/>
        <v>-4.5299292451354341E-2</v>
      </c>
      <c r="I484">
        <f t="shared" ca="1" si="70"/>
        <v>9.8539442984622271E-3</v>
      </c>
      <c r="J484" s="5">
        <f t="shared" ca="1" si="71"/>
        <v>5.5153236749816564E-2</v>
      </c>
    </row>
    <row r="485" spans="1:10" x14ac:dyDescent="0.2">
      <c r="A485">
        <f t="shared" ca="1" si="63"/>
        <v>0.98620608184898539</v>
      </c>
      <c r="B485">
        <f t="shared" ca="1" si="64"/>
        <v>2.2030980828060129</v>
      </c>
      <c r="C485">
        <f t="shared" ca="1" si="68"/>
        <v>-16.092286454797389</v>
      </c>
      <c r="D485" s="22">
        <f t="shared" ca="1" si="65"/>
        <v>3.5233458776118692E-2</v>
      </c>
      <c r="F485">
        <f t="shared" si="66"/>
        <v>0.47900000000000037</v>
      </c>
      <c r="G485">
        <f t="shared" ca="1" si="67"/>
        <v>-4.320392315187449E-2</v>
      </c>
      <c r="H485">
        <f t="shared" ca="1" si="69"/>
        <v>-4.3206566758363513E-2</v>
      </c>
      <c r="I485">
        <f t="shared" ca="1" si="70"/>
        <v>9.8753821343377061E-3</v>
      </c>
      <c r="J485" s="5">
        <f t="shared" ca="1" si="71"/>
        <v>5.3081948892701222E-2</v>
      </c>
    </row>
    <row r="486" spans="1:10" x14ac:dyDescent="0.2">
      <c r="A486">
        <f t="shared" ca="1" si="63"/>
        <v>0.48909929775544625</v>
      </c>
      <c r="B486">
        <f t="shared" ca="1" si="64"/>
        <v>-2.7327409372283323E-2</v>
      </c>
      <c r="C486">
        <f t="shared" ca="1" si="68"/>
        <v>-16.119613864169672</v>
      </c>
      <c r="D486" s="22">
        <f t="shared" ca="1" si="65"/>
        <v>0.39879334569398334</v>
      </c>
      <c r="F486">
        <f t="shared" si="66"/>
        <v>0.48000000000000037</v>
      </c>
      <c r="G486">
        <f t="shared" ca="1" si="67"/>
        <v>-3.6223143951016785E-2</v>
      </c>
      <c r="H486">
        <f t="shared" ca="1" si="69"/>
        <v>-3.6225438251270434E-2</v>
      </c>
      <c r="I486">
        <f t="shared" ca="1" si="70"/>
        <v>9.9453670044322238E-3</v>
      </c>
      <c r="J486" s="5">
        <f t="shared" ca="1" si="71"/>
        <v>4.6170805255702656E-2</v>
      </c>
    </row>
    <row r="487" spans="1:10" x14ac:dyDescent="0.2">
      <c r="A487">
        <f t="shared" ca="1" si="63"/>
        <v>0.33995871599921013</v>
      </c>
      <c r="B487">
        <f t="shared" ca="1" si="64"/>
        <v>-0.41257580355747553</v>
      </c>
      <c r="C487">
        <f t="shared" ca="1" si="68"/>
        <v>-16.532189667727149</v>
      </c>
      <c r="D487" s="22">
        <f t="shared" ca="1" si="65"/>
        <v>0.36639330085381844</v>
      </c>
      <c r="F487">
        <f t="shared" si="66"/>
        <v>0.48100000000000037</v>
      </c>
      <c r="G487">
        <f t="shared" ca="1" si="67"/>
        <v>-3.629593485322017E-2</v>
      </c>
      <c r="H487">
        <f t="shared" ca="1" si="69"/>
        <v>-3.6298232563613551E-2</v>
      </c>
      <c r="I487">
        <f t="shared" ca="1" si="70"/>
        <v>9.9454523673140234E-3</v>
      </c>
      <c r="J487" s="5">
        <f t="shared" ca="1" si="71"/>
        <v>4.6243684930927578E-2</v>
      </c>
    </row>
    <row r="488" spans="1:10" x14ac:dyDescent="0.2">
      <c r="A488">
        <f t="shared" ca="1" si="63"/>
        <v>0.929826319330189</v>
      </c>
      <c r="B488">
        <f t="shared" ca="1" si="64"/>
        <v>1.4744987227775963</v>
      </c>
      <c r="C488">
        <f t="shared" ca="1" si="68"/>
        <v>-15.057690944949552</v>
      </c>
      <c r="D488" s="22">
        <f t="shared" ca="1" si="65"/>
        <v>0.13452411868462669</v>
      </c>
      <c r="F488">
        <f t="shared" si="66"/>
        <v>0.48200000000000037</v>
      </c>
      <c r="G488">
        <f t="shared" ca="1" si="67"/>
        <v>-3.7586919956663266E-2</v>
      </c>
      <c r="H488">
        <f t="shared" ca="1" si="69"/>
        <v>-3.7589281987073016E-2</v>
      </c>
      <c r="I488">
        <f t="shared" ca="1" si="70"/>
        <v>9.9334288337617812E-3</v>
      </c>
      <c r="J488" s="5">
        <f t="shared" ca="1" si="71"/>
        <v>4.7522710820834799E-2</v>
      </c>
    </row>
    <row r="489" spans="1:10" x14ac:dyDescent="0.2">
      <c r="A489">
        <f t="shared" ca="1" si="63"/>
        <v>0.73447643107159255</v>
      </c>
      <c r="B489">
        <f t="shared" ca="1" si="64"/>
        <v>0.62640834425573677</v>
      </c>
      <c r="C489">
        <f t="shared" ca="1" si="68"/>
        <v>-14.431282600693816</v>
      </c>
      <c r="D489" s="22">
        <f t="shared" ca="1" si="65"/>
        <v>0.32787191822352696</v>
      </c>
      <c r="F489">
        <f t="shared" si="66"/>
        <v>0.48300000000000037</v>
      </c>
      <c r="G489">
        <f t="shared" ca="1" si="67"/>
        <v>-3.2910620710597735E-2</v>
      </c>
      <c r="H489">
        <f t="shared" ca="1" si="69"/>
        <v>-3.2912748687887905E-2</v>
      </c>
      <c r="I489">
        <f t="shared" ca="1" si="70"/>
        <v>9.980802454017175E-3</v>
      </c>
      <c r="J489" s="5">
        <f t="shared" ca="1" si="71"/>
        <v>4.289355114190508E-2</v>
      </c>
    </row>
    <row r="490" spans="1:10" x14ac:dyDescent="0.2">
      <c r="A490">
        <f t="shared" ca="1" si="63"/>
        <v>0.90958423793232435</v>
      </c>
      <c r="B490">
        <f t="shared" ca="1" si="64"/>
        <v>1.3381991561468469</v>
      </c>
      <c r="C490">
        <f t="shared" ca="1" si="68"/>
        <v>-13.09308344454697</v>
      </c>
      <c r="D490" s="22">
        <f t="shared" ca="1" si="65"/>
        <v>0.16294753128347983</v>
      </c>
      <c r="F490">
        <f t="shared" si="66"/>
        <v>0.48400000000000037</v>
      </c>
      <c r="G490">
        <f t="shared" ca="1" si="67"/>
        <v>-3.0916552239603663E-2</v>
      </c>
      <c r="H490">
        <f t="shared" ca="1" si="69"/>
        <v>-3.091858029983614E-2</v>
      </c>
      <c r="I490">
        <f t="shared" ca="1" si="70"/>
        <v>1.0001542893256232E-2</v>
      </c>
      <c r="J490" s="5">
        <f t="shared" ca="1" si="71"/>
        <v>4.0920123193092371E-2</v>
      </c>
    </row>
    <row r="491" spans="1:10" x14ac:dyDescent="0.2">
      <c r="A491">
        <f t="shared" ca="1" si="63"/>
        <v>0.45736259079431807</v>
      </c>
      <c r="B491">
        <f t="shared" ca="1" si="64"/>
        <v>-0.10708041852958675</v>
      </c>
      <c r="C491">
        <f t="shared" ca="1" si="68"/>
        <v>-13.200163863076556</v>
      </c>
      <c r="D491" s="22">
        <f t="shared" ca="1" si="65"/>
        <v>0.39666164502687895</v>
      </c>
      <c r="F491">
        <f t="shared" si="66"/>
        <v>0.48500000000000038</v>
      </c>
      <c r="G491">
        <f t="shared" ca="1" si="67"/>
        <v>-2.6671915521650335E-2</v>
      </c>
      <c r="H491">
        <f t="shared" ca="1" si="69"/>
        <v>-2.6673731145466804E-2</v>
      </c>
      <c r="I491">
        <f t="shared" ca="1" si="70"/>
        <v>1.0044910895697718E-2</v>
      </c>
      <c r="J491" s="5">
        <f t="shared" ca="1" si="71"/>
        <v>3.6718642041164526E-2</v>
      </c>
    </row>
    <row r="492" spans="1:10" x14ac:dyDescent="0.2">
      <c r="A492">
        <f t="shared" ca="1" si="63"/>
        <v>0.51698356665590683</v>
      </c>
      <c r="B492">
        <f t="shared" ca="1" si="64"/>
        <v>4.2584355489242172E-2</v>
      </c>
      <c r="C492">
        <f t="shared" ca="1" si="68"/>
        <v>-13.157579507587315</v>
      </c>
      <c r="D492" s="22">
        <f t="shared" ca="1" si="65"/>
        <v>0.39858071792535099</v>
      </c>
      <c r="F492">
        <f t="shared" si="66"/>
        <v>0.48600000000000038</v>
      </c>
      <c r="G492">
        <f t="shared" ca="1" si="67"/>
        <v>-2.6997850048598882E-2</v>
      </c>
      <c r="H492">
        <f t="shared" ca="1" si="69"/>
        <v>-2.699968178770985E-2</v>
      </c>
      <c r="I492">
        <f t="shared" ca="1" si="70"/>
        <v>1.0042464072498073E-2</v>
      </c>
      <c r="J492" s="5">
        <f t="shared" ca="1" si="71"/>
        <v>3.7042145860207924E-2</v>
      </c>
    </row>
    <row r="493" spans="1:10" x14ac:dyDescent="0.2">
      <c r="A493">
        <f t="shared" ca="1" si="63"/>
        <v>0.89445628557227352</v>
      </c>
      <c r="B493">
        <f t="shared" ca="1" si="64"/>
        <v>1.2505808830333649</v>
      </c>
      <c r="C493">
        <f t="shared" ca="1" si="68"/>
        <v>-11.90699862455395</v>
      </c>
      <c r="D493" s="22">
        <f t="shared" ca="1" si="65"/>
        <v>0.18251648053983319</v>
      </c>
      <c r="F493">
        <f t="shared" si="66"/>
        <v>0.48700000000000038</v>
      </c>
      <c r="G493">
        <f t="shared" ca="1" si="67"/>
        <v>-2.6850494075423073E-2</v>
      </c>
      <c r="H493">
        <f t="shared" ca="1" si="69"/>
        <v>-2.6852318263494778E-2</v>
      </c>
      <c r="I493">
        <f t="shared" ca="1" si="70"/>
        <v>1.0044770725375242E-2</v>
      </c>
      <c r="J493" s="5">
        <f t="shared" ca="1" si="71"/>
        <v>3.6897088988870022E-2</v>
      </c>
    </row>
    <row r="494" spans="1:10" x14ac:dyDescent="0.2">
      <c r="A494">
        <f t="shared" ca="1" si="63"/>
        <v>0.96993822261030416</v>
      </c>
      <c r="B494">
        <f t="shared" ca="1" si="64"/>
        <v>1.8798864514580209</v>
      </c>
      <c r="C494">
        <f t="shared" ca="1" si="68"/>
        <v>-10.027112173095929</v>
      </c>
      <c r="D494" s="22">
        <f t="shared" ca="1" si="65"/>
        <v>6.8158113907257872E-2</v>
      </c>
      <c r="F494">
        <f t="shared" si="66"/>
        <v>0.48800000000000038</v>
      </c>
      <c r="G494">
        <f t="shared" ca="1" si="67"/>
        <v>-2.2883323397557671E-2</v>
      </c>
      <c r="H494">
        <f t="shared" ca="1" si="69"/>
        <v>-2.2884949043018375E-2</v>
      </c>
      <c r="I494">
        <f t="shared" ca="1" si="70"/>
        <v>1.0085531350671299E-2</v>
      </c>
      <c r="J494" s="5">
        <f t="shared" ca="1" si="71"/>
        <v>3.2970480393689675E-2</v>
      </c>
    </row>
    <row r="495" spans="1:10" x14ac:dyDescent="0.2">
      <c r="A495">
        <f t="shared" ca="1" si="63"/>
        <v>0.65429545015470503</v>
      </c>
      <c r="B495">
        <f t="shared" ca="1" si="64"/>
        <v>0.39694353483570816</v>
      </c>
      <c r="C495">
        <f t="shared" ca="1" si="68"/>
        <v>-9.630168638260221</v>
      </c>
      <c r="D495" s="22">
        <f t="shared" ca="1" si="65"/>
        <v>0.36871893530088523</v>
      </c>
      <c r="F495">
        <f t="shared" si="66"/>
        <v>0.48900000000000038</v>
      </c>
      <c r="G495">
        <f t="shared" ca="1" si="67"/>
        <v>-1.69266099742773E-2</v>
      </c>
      <c r="H495">
        <f t="shared" ca="1" si="69"/>
        <v>-1.6927937619015166E-2</v>
      </c>
      <c r="I495">
        <f t="shared" ca="1" si="70"/>
        <v>1.0146629487802645E-2</v>
      </c>
      <c r="J495" s="5">
        <f t="shared" ca="1" si="71"/>
        <v>2.7074567106817812E-2</v>
      </c>
    </row>
    <row r="496" spans="1:10" x14ac:dyDescent="0.2">
      <c r="A496">
        <f t="shared" ca="1" si="63"/>
        <v>0.71028157646565171</v>
      </c>
      <c r="B496">
        <f t="shared" ca="1" si="64"/>
        <v>0.55420749858054918</v>
      </c>
      <c r="C496">
        <f t="shared" ca="1" si="68"/>
        <v>-9.0759611396796718</v>
      </c>
      <c r="D496" s="22">
        <f t="shared" ca="1" si="65"/>
        <v>0.34214812934703542</v>
      </c>
      <c r="F496">
        <f t="shared" si="66"/>
        <v>0.49000000000000038</v>
      </c>
      <c r="G496">
        <f t="shared" ca="1" si="67"/>
        <v>-1.5659734985002852E-2</v>
      </c>
      <c r="H496">
        <f t="shared" ca="1" si="69"/>
        <v>-1.5660999152694036E-2</v>
      </c>
      <c r="I496">
        <f t="shared" ca="1" si="70"/>
        <v>1.016033918400568E-2</v>
      </c>
      <c r="J496" s="5">
        <f t="shared" ca="1" si="71"/>
        <v>2.5821338336699716E-2</v>
      </c>
    </row>
    <row r="497" spans="1:10" x14ac:dyDescent="0.2">
      <c r="A497">
        <f t="shared" ca="1" si="63"/>
        <v>0.87748425466696922</v>
      </c>
      <c r="B497">
        <f t="shared" ca="1" si="64"/>
        <v>1.1625023007575246</v>
      </c>
      <c r="C497">
        <f t="shared" ca="1" si="68"/>
        <v>-7.9134588389221472</v>
      </c>
      <c r="D497" s="22">
        <f t="shared" ca="1" si="65"/>
        <v>0.20298070923843181</v>
      </c>
      <c r="F497">
        <f t="shared" si="66"/>
        <v>0.49100000000000038</v>
      </c>
      <c r="G497">
        <f t="shared" ca="1" si="67"/>
        <v>-1.389569922217327E-2</v>
      </c>
      <c r="H497">
        <f t="shared" ca="1" si="69"/>
        <v>-1.3896875060919699E-2</v>
      </c>
      <c r="I497">
        <f t="shared" ca="1" si="70"/>
        <v>1.0179128351558736E-2</v>
      </c>
      <c r="J497" s="5">
        <f t="shared" ca="1" si="71"/>
        <v>2.4076003412478435E-2</v>
      </c>
    </row>
    <row r="498" spans="1:10" x14ac:dyDescent="0.2">
      <c r="A498">
        <f t="shared" ca="1" si="63"/>
        <v>0.4152231824450423</v>
      </c>
      <c r="B498">
        <f t="shared" ca="1" si="64"/>
        <v>-0.21412912389948313</v>
      </c>
      <c r="C498">
        <f t="shared" ca="1" si="68"/>
        <v>-8.1275879628216305</v>
      </c>
      <c r="D498" s="22">
        <f t="shared" ca="1" si="65"/>
        <v>0.38990031540502751</v>
      </c>
      <c r="F498">
        <f t="shared" si="66"/>
        <v>0.49200000000000038</v>
      </c>
      <c r="G498">
        <f t="shared" ca="1" si="67"/>
        <v>-1.020833896622516E-2</v>
      </c>
      <c r="H498">
        <f t="shared" ca="1" si="69"/>
        <v>-1.0209330317833745E-2</v>
      </c>
      <c r="I498">
        <f t="shared" ca="1" si="70"/>
        <v>1.0217587895775707E-2</v>
      </c>
      <c r="J498" s="5">
        <f t="shared" ca="1" si="71"/>
        <v>2.0426918213609452E-2</v>
      </c>
    </row>
    <row r="499" spans="1:10" x14ac:dyDescent="0.2">
      <c r="A499">
        <f t="shared" ca="1" si="63"/>
        <v>0.86961925698946863</v>
      </c>
      <c r="B499">
        <f t="shared" ca="1" si="64"/>
        <v>1.1245931305062673</v>
      </c>
      <c r="C499">
        <f t="shared" ca="1" si="68"/>
        <v>-7.0029948323153635</v>
      </c>
      <c r="D499" s="22">
        <f t="shared" ca="1" si="65"/>
        <v>0.2119736323409605</v>
      </c>
      <c r="F499">
        <f t="shared" si="66"/>
        <v>0.49300000000000038</v>
      </c>
      <c r="G499">
        <f t="shared" ca="1" si="67"/>
        <v>-1.0874420572874018E-2</v>
      </c>
      <c r="H499">
        <f t="shared" ca="1" si="69"/>
        <v>-1.0875445129700725E-2</v>
      </c>
      <c r="I499">
        <f t="shared" ca="1" si="70"/>
        <v>1.0211641603577475E-2</v>
      </c>
      <c r="J499" s="5">
        <f t="shared" ca="1" si="71"/>
        <v>2.10870867332782E-2</v>
      </c>
    </row>
    <row r="500" spans="1:10" x14ac:dyDescent="0.2">
      <c r="A500">
        <f t="shared" ca="1" si="63"/>
        <v>0.9257016677210681</v>
      </c>
      <c r="B500">
        <f t="shared" ca="1" si="64"/>
        <v>1.4445061019114174</v>
      </c>
      <c r="C500">
        <f t="shared" ca="1" si="68"/>
        <v>-5.5584887304039459</v>
      </c>
      <c r="D500" s="22">
        <f t="shared" ca="1" si="65"/>
        <v>0.14054360641282024</v>
      </c>
      <c r="F500">
        <f t="shared" si="66"/>
        <v>0.49400000000000038</v>
      </c>
      <c r="G500">
        <f t="shared" ca="1" si="67"/>
        <v>-7.3072357581696465E-3</v>
      </c>
      <c r="H500">
        <f t="shared" ca="1" si="69"/>
        <v>-7.3080818518089638E-3</v>
      </c>
      <c r="I500">
        <f t="shared" ca="1" si="70"/>
        <v>1.0248995275541233E-2</v>
      </c>
      <c r="J500" s="5">
        <f t="shared" ca="1" si="71"/>
        <v>1.7557077127350197E-2</v>
      </c>
    </row>
    <row r="501" spans="1:10" x14ac:dyDescent="0.2">
      <c r="A501">
        <f t="shared" ca="1" si="63"/>
        <v>0.24160412347870519</v>
      </c>
      <c r="B501">
        <f t="shared" ca="1" si="64"/>
        <v>-0.70115186311426736</v>
      </c>
      <c r="C501">
        <f t="shared" ca="1" si="68"/>
        <v>-6.2596405935182133</v>
      </c>
      <c r="D501" s="22">
        <f t="shared" ca="1" si="65"/>
        <v>0.31200205620960314</v>
      </c>
      <c r="F501">
        <f t="shared" si="66"/>
        <v>0.49500000000000038</v>
      </c>
      <c r="G501">
        <f t="shared" ca="1" si="67"/>
        <v>-2.7288045820134397E-3</v>
      </c>
      <c r="H501">
        <f t="shared" ca="1" si="69"/>
        <v>-2.7294216675723994E-3</v>
      </c>
      <c r="I501">
        <f t="shared" ca="1" si="70"/>
        <v>1.0296897211564966E-2</v>
      </c>
      <c r="J501" s="5">
        <f t="shared" ca="1" si="71"/>
        <v>1.3026318879137366E-2</v>
      </c>
    </row>
    <row r="502" spans="1:10" x14ac:dyDescent="0.2">
      <c r="A502">
        <f t="shared" ca="1" si="63"/>
        <v>0.44314448247705129</v>
      </c>
      <c r="B502">
        <f t="shared" ca="1" si="64"/>
        <v>-0.14300153999507259</v>
      </c>
      <c r="C502">
        <f t="shared" ca="1" si="68"/>
        <v>-6.4026421335132859</v>
      </c>
      <c r="D502" s="22">
        <f t="shared" ca="1" si="65"/>
        <v>0.39488398999825025</v>
      </c>
      <c r="F502">
        <f t="shared" si="66"/>
        <v>0.49600000000000039</v>
      </c>
      <c r="G502">
        <f t="shared" ca="1" si="67"/>
        <v>-4.9356582310692114E-3</v>
      </c>
      <c r="H502">
        <f t="shared" ca="1" si="69"/>
        <v>-4.9363855985173274E-3</v>
      </c>
      <c r="I502">
        <f t="shared" ca="1" si="70"/>
        <v>1.0275067928271956E-2</v>
      </c>
      <c r="J502" s="5">
        <f t="shared" ca="1" si="71"/>
        <v>1.5211453526789284E-2</v>
      </c>
    </row>
    <row r="503" spans="1:10" x14ac:dyDescent="0.2">
      <c r="A503">
        <f t="shared" ca="1" si="63"/>
        <v>0.8520598190719737</v>
      </c>
      <c r="B503">
        <f t="shared" ca="1" si="64"/>
        <v>1.0453086050735718</v>
      </c>
      <c r="C503">
        <f t="shared" ca="1" si="68"/>
        <v>-5.3573335284397139</v>
      </c>
      <c r="D503" s="22">
        <f t="shared" ca="1" si="65"/>
        <v>0.23101478339547013</v>
      </c>
      <c r="F503">
        <f t="shared" si="66"/>
        <v>0.49700000000000039</v>
      </c>
      <c r="G503">
        <f t="shared" ca="1" si="67"/>
        <v>-5.377353155616299E-3</v>
      </c>
      <c r="H503">
        <f t="shared" ca="1" si="69"/>
        <v>-5.3781025352535681E-3</v>
      </c>
      <c r="I503">
        <f t="shared" ca="1" si="70"/>
        <v>1.0271398220814269E-2</v>
      </c>
      <c r="J503" s="5">
        <f t="shared" ca="1" si="71"/>
        <v>1.5649500756067837E-2</v>
      </c>
    </row>
    <row r="504" spans="1:10" x14ac:dyDescent="0.2">
      <c r="A504">
        <f t="shared" ca="1" si="63"/>
        <v>9.1519088212573152E-2</v>
      </c>
      <c r="B504">
        <f t="shared" ca="1" si="64"/>
        <v>-1.3314585458492587</v>
      </c>
      <c r="C504">
        <f t="shared" ca="1" si="68"/>
        <v>-6.6887920742889726</v>
      </c>
      <c r="D504" s="22">
        <f t="shared" ca="1" si="65"/>
        <v>0.16442027727745848</v>
      </c>
      <c r="F504">
        <f t="shared" si="66"/>
        <v>0.49800000000000039</v>
      </c>
      <c r="G504">
        <f t="shared" ca="1" si="67"/>
        <v>-2.0614251682802296E-3</v>
      </c>
      <c r="H504">
        <f t="shared" ca="1" si="69"/>
        <v>-2.0620086751941156E-3</v>
      </c>
      <c r="I504">
        <f t="shared" ca="1" si="70"/>
        <v>1.0306386141650912E-2</v>
      </c>
      <c r="J504" s="5">
        <f t="shared" ca="1" si="71"/>
        <v>1.2368394816845027E-2</v>
      </c>
    </row>
    <row r="505" spans="1:10" x14ac:dyDescent="0.2">
      <c r="A505">
        <f t="shared" ca="1" si="63"/>
        <v>0.54428586847232563</v>
      </c>
      <c r="B505">
        <f t="shared" ca="1" si="64"/>
        <v>0.11123718774073399</v>
      </c>
      <c r="C505">
        <f t="shared" ca="1" si="68"/>
        <v>-6.5775548865482385</v>
      </c>
      <c r="D505" s="22">
        <f t="shared" ca="1" si="65"/>
        <v>0.39648170144541506</v>
      </c>
      <c r="F505">
        <f t="shared" si="66"/>
        <v>0.49900000000000039</v>
      </c>
      <c r="G505">
        <f t="shared" ca="1" si="67"/>
        <v>-6.2614506377235259E-3</v>
      </c>
      <c r="H505">
        <f t="shared" ca="1" si="69"/>
        <v>-6.2622440893059829E-3</v>
      </c>
      <c r="I505">
        <f t="shared" ca="1" si="70"/>
        <v>1.0264057970524159E-2</v>
      </c>
      <c r="J505" s="5">
        <f t="shared" ca="1" si="71"/>
        <v>1.6526302059830141E-2</v>
      </c>
    </row>
    <row r="506" spans="1:10" x14ac:dyDescent="0.2">
      <c r="A506">
        <f t="shared" ca="1" si="63"/>
        <v>0.50384469680263877</v>
      </c>
      <c r="B506">
        <f t="shared" ca="1" si="64"/>
        <v>9.63737489574828E-3</v>
      </c>
      <c r="C506">
        <f t="shared" ca="1" si="68"/>
        <v>-6.5679175116524906</v>
      </c>
      <c r="D506" s="22">
        <f t="shared" ca="1" si="65"/>
        <v>0.39892375415260123</v>
      </c>
      <c r="F506">
        <f t="shared" si="66"/>
        <v>0.50000000000000033</v>
      </c>
      <c r="G506">
        <f t="shared" ca="1" si="67"/>
        <v>-5.899079737587699E-3</v>
      </c>
      <c r="H506">
        <f t="shared" ca="1" si="69"/>
        <v>-5.8998549911245734E-3</v>
      </c>
      <c r="I506">
        <f t="shared" ca="1" si="70"/>
        <v>1.0268644595050126E-2</v>
      </c>
      <c r="J506" s="5">
        <f t="shared" ca="1" si="71"/>
        <v>1.6168499586174698E-2</v>
      </c>
    </row>
    <row r="507" spans="1:10" x14ac:dyDescent="0.2">
      <c r="A507">
        <f t="shared" ca="1" si="63"/>
        <v>0.97511772755593273</v>
      </c>
      <c r="B507">
        <f t="shared" ca="1" si="64"/>
        <v>1.9619823009662067</v>
      </c>
      <c r="C507">
        <f t="shared" ca="1" si="68"/>
        <v>-4.6059352106862841</v>
      </c>
      <c r="D507" s="22">
        <f t="shared" ca="1" si="65"/>
        <v>5.8214209308058769E-2</v>
      </c>
      <c r="F507">
        <f t="shared" si="66"/>
        <v>0.50100000000000033</v>
      </c>
      <c r="G507">
        <f t="shared" ca="1" si="67"/>
        <v>-5.8580158274954743E-3</v>
      </c>
      <c r="H507">
        <f t="shared" ca="1" si="69"/>
        <v>-5.8587889502899693E-3</v>
      </c>
      <c r="I507">
        <f t="shared" ca="1" si="70"/>
        <v>1.0269933144906939E-2</v>
      </c>
      <c r="J507" s="5">
        <f t="shared" ca="1" si="71"/>
        <v>1.6128722095196907E-2</v>
      </c>
    </row>
    <row r="508" spans="1:10" x14ac:dyDescent="0.2">
      <c r="A508">
        <f t="shared" ca="1" si="63"/>
        <v>0.28885096596773396</v>
      </c>
      <c r="B508">
        <f t="shared" ca="1" si="64"/>
        <v>-0.55674461168005895</v>
      </c>
      <c r="C508">
        <f t="shared" ca="1" si="68"/>
        <v>-5.1626798223663428</v>
      </c>
      <c r="D508" s="22">
        <f t="shared" ca="1" si="65"/>
        <v>0.34166627769841063</v>
      </c>
      <c r="F508">
        <f t="shared" si="66"/>
        <v>0.50200000000000033</v>
      </c>
      <c r="G508">
        <f t="shared" ca="1" si="67"/>
        <v>3.5659204109115758E-4</v>
      </c>
      <c r="H508">
        <f t="shared" ca="1" si="69"/>
        <v>3.5612972859624947E-4</v>
      </c>
      <c r="I508">
        <f t="shared" ca="1" si="70"/>
        <v>1.0334831063810706E-2</v>
      </c>
      <c r="J508" s="5">
        <f t="shared" ca="1" si="71"/>
        <v>9.9787013352144564E-3</v>
      </c>
    </row>
    <row r="509" spans="1:10" x14ac:dyDescent="0.2">
      <c r="A509">
        <f t="shared" ca="1" si="63"/>
        <v>0.56996066275861768</v>
      </c>
      <c r="B509">
        <f t="shared" ca="1" si="64"/>
        <v>0.17627401615771637</v>
      </c>
      <c r="C509">
        <f t="shared" ca="1" si="68"/>
        <v>-4.9864058062086265</v>
      </c>
      <c r="D509" s="22">
        <f t="shared" ca="1" si="65"/>
        <v>0.39279210672833653</v>
      </c>
      <c r="F509">
        <f t="shared" si="66"/>
        <v>0.50300000000000034</v>
      </c>
      <c r="G509">
        <f t="shared" ca="1" si="67"/>
        <v>-1.3939371388636745E-3</v>
      </c>
      <c r="H509">
        <f t="shared" ca="1" si="69"/>
        <v>-1.3944869323115798E-3</v>
      </c>
      <c r="I509">
        <f t="shared" ca="1" si="70"/>
        <v>1.0317631892340338E-2</v>
      </c>
      <c r="J509" s="5">
        <f t="shared" ca="1" si="71"/>
        <v>1.1712118824651917E-2</v>
      </c>
    </row>
    <row r="510" spans="1:10" x14ac:dyDescent="0.2">
      <c r="A510">
        <f t="shared" ca="1" si="63"/>
        <v>0.37056916344860902</v>
      </c>
      <c r="B510">
        <f t="shared" ca="1" si="64"/>
        <v>-0.33034628071376726</v>
      </c>
      <c r="C510">
        <f t="shared" ca="1" si="68"/>
        <v>-5.3167520869223939</v>
      </c>
      <c r="D510" s="22">
        <f t="shared" ca="1" si="65"/>
        <v>0.37775748406994503</v>
      </c>
      <c r="F510">
        <f t="shared" si="66"/>
        <v>0.50400000000000034</v>
      </c>
      <c r="G510">
        <f t="shared" ca="1" si="67"/>
        <v>-8.2639873894678039E-4</v>
      </c>
      <c r="H510">
        <f t="shared" ca="1" si="69"/>
        <v>-8.2692010025464224E-4</v>
      </c>
      <c r="I510">
        <f t="shared" ca="1" si="70"/>
        <v>1.0324365594305288E-2</v>
      </c>
      <c r="J510" s="5">
        <f t="shared" ca="1" si="71"/>
        <v>1.1151285694559929E-2</v>
      </c>
    </row>
    <row r="511" spans="1:10" x14ac:dyDescent="0.2">
      <c r="A511">
        <f t="shared" ca="1" si="63"/>
        <v>0.11130587345350085</v>
      </c>
      <c r="B511">
        <f t="shared" ca="1" si="64"/>
        <v>-1.2196126546687267</v>
      </c>
      <c r="C511">
        <f t="shared" ca="1" si="68"/>
        <v>-6.5363647415911208</v>
      </c>
      <c r="D511" s="22">
        <f t="shared" ca="1" si="65"/>
        <v>0.18963273579488596</v>
      </c>
      <c r="F511">
        <f t="shared" si="66"/>
        <v>0.50500000000000034</v>
      </c>
      <c r="G511">
        <f t="shared" ca="1" si="67"/>
        <v>-1.860911036652005E-3</v>
      </c>
      <c r="H511">
        <f t="shared" ca="1" si="69"/>
        <v>-1.8614840718654754E-3</v>
      </c>
      <c r="I511">
        <f t="shared" ca="1" si="70"/>
        <v>1.0314565748896384E-2</v>
      </c>
      <c r="J511" s="5">
        <f t="shared" ca="1" si="71"/>
        <v>1.2176049820761859E-2</v>
      </c>
    </row>
    <row r="512" spans="1:10" x14ac:dyDescent="0.2">
      <c r="A512">
        <f t="shared" ca="1" si="63"/>
        <v>0.3733484080171221</v>
      </c>
      <c r="B512">
        <f t="shared" ca="1" si="64"/>
        <v>-0.32299792168639452</v>
      </c>
      <c r="C512">
        <f t="shared" ca="1" si="68"/>
        <v>-6.8593626632775155</v>
      </c>
      <c r="D512" s="22">
        <f t="shared" ca="1" si="65"/>
        <v>0.37866538164746288</v>
      </c>
      <c r="F512">
        <f t="shared" si="66"/>
        <v>0.50600000000000034</v>
      </c>
      <c r="G512">
        <f t="shared" ca="1" si="67"/>
        <v>-5.7072864770954428E-3</v>
      </c>
      <c r="H512">
        <f t="shared" ca="1" si="69"/>
        <v>-5.708051775375856E-3</v>
      </c>
      <c r="I512">
        <f t="shared" ca="1" si="70"/>
        <v>1.0275837779672593E-2</v>
      </c>
      <c r="J512" s="5">
        <f t="shared" ca="1" si="71"/>
        <v>1.5983889555048449E-2</v>
      </c>
    </row>
    <row r="513" spans="1:10" x14ac:dyDescent="0.2">
      <c r="A513">
        <f t="shared" ca="1" si="63"/>
        <v>0.24850722387422519</v>
      </c>
      <c r="B513">
        <f t="shared" ca="1" si="64"/>
        <v>-0.6791947904122384</v>
      </c>
      <c r="C513">
        <f t="shared" ca="1" si="68"/>
        <v>-7.5385574536897542</v>
      </c>
      <c r="D513" s="22">
        <f t="shared" ca="1" si="65"/>
        <v>0.3167662005660013</v>
      </c>
      <c r="F513">
        <f t="shared" si="66"/>
        <v>0.50700000000000034</v>
      </c>
      <c r="G513">
        <f t="shared" ca="1" si="67"/>
        <v>-6.7180743206684901E-3</v>
      </c>
      <c r="H513">
        <f t="shared" ca="1" si="69"/>
        <v>-6.7188900822280195E-3</v>
      </c>
      <c r="I513">
        <f t="shared" ca="1" si="70"/>
        <v>1.0266322558094277E-2</v>
      </c>
      <c r="J513" s="5">
        <f t="shared" ca="1" si="71"/>
        <v>1.6985212640322295E-2</v>
      </c>
    </row>
    <row r="514" spans="1:10" x14ac:dyDescent="0.2">
      <c r="A514">
        <f t="shared" ca="1" si="63"/>
        <v>4.9981995408197699E-2</v>
      </c>
      <c r="B514">
        <f t="shared" ca="1" si="64"/>
        <v>-1.6450282239898044</v>
      </c>
      <c r="C514">
        <f t="shared" ca="1" si="68"/>
        <v>-9.1835856776795595</v>
      </c>
      <c r="D514" s="22">
        <f t="shared" ca="1" si="65"/>
        <v>0.10310602388554461</v>
      </c>
      <c r="F514">
        <f t="shared" si="66"/>
        <v>0.50800000000000034</v>
      </c>
      <c r="G514">
        <f t="shared" ca="1" si="67"/>
        <v>-8.8550981737811375E-3</v>
      </c>
      <c r="H514">
        <f t="shared" ca="1" si="69"/>
        <v>-8.8560207058431626E-3</v>
      </c>
      <c r="I514">
        <f t="shared" ca="1" si="70"/>
        <v>1.0245269441689894E-2</v>
      </c>
      <c r="J514" s="5">
        <f t="shared" ca="1" si="71"/>
        <v>1.9101290147533055E-2</v>
      </c>
    </row>
    <row r="515" spans="1:10" x14ac:dyDescent="0.2">
      <c r="A515">
        <f t="shared" ca="1" si="63"/>
        <v>0.62914686189388691</v>
      </c>
      <c r="B515">
        <f t="shared" ca="1" si="64"/>
        <v>0.32959463596339644</v>
      </c>
      <c r="C515">
        <f t="shared" ca="1" si="68"/>
        <v>-8.8539910417161636</v>
      </c>
      <c r="D515" s="22">
        <f t="shared" ca="1" si="65"/>
        <v>0.37785118731342654</v>
      </c>
      <c r="F515">
        <f t="shared" si="66"/>
        <v>0.50900000000000034</v>
      </c>
      <c r="G515">
        <f t="shared" ca="1" si="67"/>
        <v>-1.4045989120327479E-2</v>
      </c>
      <c r="H515">
        <f t="shared" ca="1" si="69"/>
        <v>-1.4047171106842001E-2</v>
      </c>
      <c r="I515">
        <f t="shared" ca="1" si="70"/>
        <v>1.0193079862253823E-2</v>
      </c>
      <c r="J515" s="5">
        <f t="shared" ca="1" si="71"/>
        <v>2.4240250969095822E-2</v>
      </c>
    </row>
    <row r="516" spans="1:10" x14ac:dyDescent="0.2">
      <c r="A516">
        <f t="shared" ca="1" si="63"/>
        <v>0.44226805678327141</v>
      </c>
      <c r="B516">
        <f t="shared" ca="1" si="64"/>
        <v>-0.14522134517205643</v>
      </c>
      <c r="C516">
        <f t="shared" ca="1" si="68"/>
        <v>-8.9992123868882192</v>
      </c>
      <c r="D516" s="22">
        <f t="shared" ca="1" si="65"/>
        <v>0.39475768707906589</v>
      </c>
      <c r="F516">
        <f t="shared" si="66"/>
        <v>0.51000000000000034</v>
      </c>
      <c r="G516">
        <f t="shared" ca="1" si="67"/>
        <v>-1.2992367448724416E-2</v>
      </c>
      <c r="H516">
        <f t="shared" ca="1" si="69"/>
        <v>-1.2993496635512938E-2</v>
      </c>
      <c r="I516">
        <f t="shared" ca="1" si="70"/>
        <v>1.0204678737958607E-2</v>
      </c>
      <c r="J516" s="5">
        <f t="shared" ca="1" si="71"/>
        <v>2.3198175373471547E-2</v>
      </c>
    </row>
    <row r="517" spans="1:10" x14ac:dyDescent="0.2">
      <c r="A517">
        <f t="shared" ca="1" si="63"/>
        <v>0.73615026799976657</v>
      </c>
      <c r="B517">
        <f t="shared" ca="1" si="64"/>
        <v>0.63152170181273348</v>
      </c>
      <c r="C517">
        <f t="shared" ca="1" si="68"/>
        <v>-8.3676906850754857</v>
      </c>
      <c r="D517" s="22">
        <f t="shared" ca="1" si="65"/>
        <v>0.32681913563532022</v>
      </c>
      <c r="F517">
        <f t="shared" si="66"/>
        <v>0.51100000000000034</v>
      </c>
      <c r="G517">
        <f t="shared" ca="1" si="67"/>
        <v>-1.3440276031985651E-2</v>
      </c>
      <c r="H517">
        <f t="shared" ca="1" si="69"/>
        <v>-1.3441427501466582E-2</v>
      </c>
      <c r="I517">
        <f t="shared" ca="1" si="70"/>
        <v>1.0200962562434367E-2</v>
      </c>
      <c r="J517" s="5">
        <f t="shared" ca="1" si="71"/>
        <v>2.364239006390095E-2</v>
      </c>
    </row>
    <row r="518" spans="1:10" x14ac:dyDescent="0.2">
      <c r="A518">
        <f t="shared" ca="1" si="63"/>
        <v>3.8417754594246345E-2</v>
      </c>
      <c r="B518">
        <f t="shared" ca="1" si="64"/>
        <v>-1.7693498500049856</v>
      </c>
      <c r="C518">
        <f t="shared" ca="1" si="68"/>
        <v>-10.137040535080471</v>
      </c>
      <c r="D518" s="22">
        <f t="shared" ca="1" si="65"/>
        <v>8.3389074528091953E-2</v>
      </c>
      <c r="F518">
        <f t="shared" si="66"/>
        <v>0.51200000000000034</v>
      </c>
      <c r="G518">
        <f t="shared" ca="1" si="67"/>
        <v>-1.1431985450199146E-2</v>
      </c>
      <c r="H518">
        <f t="shared" ca="1" si="69"/>
        <v>-1.1433036389162512E-2</v>
      </c>
      <c r="I518">
        <f t="shared" ca="1" si="70"/>
        <v>1.022232579389983E-2</v>
      </c>
      <c r="J518" s="5">
        <f t="shared" ca="1" si="71"/>
        <v>2.1655362183062341E-2</v>
      </c>
    </row>
    <row r="519" spans="1:10" x14ac:dyDescent="0.2">
      <c r="A519">
        <f t="shared" ref="A519:A582" ca="1" si="72">RAND()</f>
        <v>0.2481962795323952</v>
      </c>
      <c r="B519">
        <f t="shared" ref="B519:B582" ca="1" si="73">NORMSINV(A519)</f>
        <v>-0.68017673890453889</v>
      </c>
      <c r="C519">
        <f t="shared" ca="1" si="68"/>
        <v>-10.81721727398501</v>
      </c>
      <c r="D519" s="22">
        <f t="shared" ref="D519:D582" ca="1" si="74">_xlfn.NORM.DIST(B519,0,1,FALSE)</f>
        <v>0.31655485614024026</v>
      </c>
      <c r="F519">
        <f t="shared" ref="F519:F582" si="75">F518+$M$2/$N$2</f>
        <v>0.51300000000000034</v>
      </c>
      <c r="G519">
        <f t="shared" ref="G519:G582" ca="1" si="76">G518*EXP(-$M$4*$O$2) + $O$4*(1-EXP(-$M$4*$O$2)) + $N$4* SQRT((1-EXP(-2*$M$4*$O$2))/(2*$M$4)) *B518</f>
        <v>-1.7015738565369441E-2</v>
      </c>
      <c r="H519">
        <f t="shared" ca="1" si="69"/>
        <v>-1.7017068589216634E-2</v>
      </c>
      <c r="I519">
        <f t="shared" ca="1" si="70"/>
        <v>1.0166255547428213E-2</v>
      </c>
      <c r="J519" s="5">
        <f t="shared" ca="1" si="71"/>
        <v>2.7183324136644847E-2</v>
      </c>
    </row>
    <row r="520" spans="1:10" x14ac:dyDescent="0.2">
      <c r="A520">
        <f t="shared" ca="1" si="72"/>
        <v>0.38032737330074839</v>
      </c>
      <c r="B520">
        <f t="shared" ca="1" si="73"/>
        <v>-0.30462110166387923</v>
      </c>
      <c r="C520">
        <f t="shared" ref="C520:C583" ca="1" si="77">B520+C519</f>
        <v>-11.12183837564889</v>
      </c>
      <c r="D520" s="22">
        <f t="shared" ca="1" si="74"/>
        <v>0.38085538570237343</v>
      </c>
      <c r="F520">
        <f t="shared" si="75"/>
        <v>0.51400000000000035</v>
      </c>
      <c r="G520">
        <f t="shared" ca="1" si="76"/>
        <v>-1.9154837742071641E-2</v>
      </c>
      <c r="H520">
        <f t="shared" ref="H520:H583" ca="1" si="78">H519+($M$6 + $N$6*H519)*$O$2 + $O$6*H519^$P$6*SQRT($O$2)*B519</f>
        <v>-1.9156274588761717E-2</v>
      </c>
      <c r="I520">
        <f t="shared" ref="I520:I583" ca="1" si="79">I519*EXP(($M$8-0.5*($N$8^2))*$O$2 + $N$8*SQRT($O$2)*B519)</f>
        <v>1.0145376134730067E-2</v>
      </c>
      <c r="J520" s="5">
        <f t="shared" ref="J520:J583" ca="1" si="80">ABS(H520-I520)</f>
        <v>2.9301650723491786E-2</v>
      </c>
    </row>
    <row r="521" spans="1:10" x14ac:dyDescent="0.2">
      <c r="A521">
        <f t="shared" ca="1" si="72"/>
        <v>6.27219748251443E-2</v>
      </c>
      <c r="B521">
        <f t="shared" ca="1" si="73"/>
        <v>-1.5323181286655458</v>
      </c>
      <c r="C521">
        <f t="shared" ca="1" si="77"/>
        <v>-12.654156504314436</v>
      </c>
      <c r="D521" s="22">
        <f t="shared" ca="1" si="74"/>
        <v>0.12332428162645956</v>
      </c>
      <c r="F521">
        <f t="shared" si="75"/>
        <v>0.51500000000000035</v>
      </c>
      <c r="G521">
        <f t="shared" ca="1" si="76"/>
        <v>-2.0106171195840877E-2</v>
      </c>
      <c r="H521">
        <f t="shared" ca="1" si="78"/>
        <v>-2.0107655465910406E-2</v>
      </c>
      <c r="I521">
        <f t="shared" ca="1" si="79"/>
        <v>1.0136570763484115E-2</v>
      </c>
      <c r="J521" s="5">
        <f t="shared" ca="1" si="80"/>
        <v>3.0244226229394523E-2</v>
      </c>
    </row>
    <row r="522" spans="1:10" x14ac:dyDescent="0.2">
      <c r="A522">
        <f t="shared" ca="1" si="72"/>
        <v>0.52807780686693839</v>
      </c>
      <c r="B522">
        <f t="shared" ca="1" si="73"/>
        <v>7.0438829810528208E-2</v>
      </c>
      <c r="C522">
        <f t="shared" ca="1" si="77"/>
        <v>-12.583717674503907</v>
      </c>
      <c r="D522" s="22">
        <f t="shared" ca="1" si="74"/>
        <v>0.39795380527700658</v>
      </c>
      <c r="F522">
        <f t="shared" si="75"/>
        <v>0.51600000000000035</v>
      </c>
      <c r="G522">
        <f t="shared" ca="1" si="76"/>
        <v>-2.4939534295107469E-2</v>
      </c>
      <c r="H522">
        <f t="shared" ca="1" si="78"/>
        <v>-2.4941260086913886E-2</v>
      </c>
      <c r="I522">
        <f t="shared" ca="1" si="79"/>
        <v>1.0088530016354487E-2</v>
      </c>
      <c r="J522" s="5">
        <f t="shared" ca="1" si="80"/>
        <v>3.5029790103268371E-2</v>
      </c>
    </row>
    <row r="523" spans="1:10" x14ac:dyDescent="0.2">
      <c r="A523">
        <f t="shared" ca="1" si="72"/>
        <v>0.71395531673868851</v>
      </c>
      <c r="B523">
        <f t="shared" ca="1" si="73"/>
        <v>0.56497706146043469</v>
      </c>
      <c r="C523">
        <f t="shared" ca="1" si="77"/>
        <v>-12.018740613043473</v>
      </c>
      <c r="D523" s="22">
        <f t="shared" ca="1" si="74"/>
        <v>0.34009235252122683</v>
      </c>
      <c r="F523">
        <f t="shared" si="75"/>
        <v>0.51700000000000035</v>
      </c>
      <c r="G523">
        <f t="shared" ca="1" si="76"/>
        <v>-2.4704304965329431E-2</v>
      </c>
      <c r="H523">
        <f t="shared" ca="1" si="78"/>
        <v>-2.470601882298696E-2</v>
      </c>
      <c r="I523">
        <f t="shared" ca="1" si="79"/>
        <v>1.0091736127232289E-2</v>
      </c>
      <c r="J523" s="5">
        <f t="shared" ca="1" si="80"/>
        <v>3.4797754950219251E-2</v>
      </c>
    </row>
    <row r="524" spans="1:10" x14ac:dyDescent="0.2">
      <c r="A524">
        <f t="shared" ca="1" si="72"/>
        <v>0.50561522425940841</v>
      </c>
      <c r="B524">
        <f t="shared" ca="1" si="73"/>
        <v>1.4075744679759267E-2</v>
      </c>
      <c r="C524">
        <f t="shared" ca="1" si="77"/>
        <v>-12.004664868363713</v>
      </c>
      <c r="D524" s="22">
        <f t="shared" ca="1" si="74"/>
        <v>0.39890276182241508</v>
      </c>
      <c r="F524">
        <f t="shared" si="75"/>
        <v>0.51800000000000035</v>
      </c>
      <c r="G524">
        <f t="shared" ca="1" si="76"/>
        <v>-2.2905310145364774E-2</v>
      </c>
      <c r="H524">
        <f t="shared" ca="1" si="78"/>
        <v>-2.2906933881140751E-2</v>
      </c>
      <c r="I524">
        <f t="shared" ca="1" si="79"/>
        <v>1.0110742758611797E-2</v>
      </c>
      <c r="J524" s="5">
        <f t="shared" ca="1" si="80"/>
        <v>3.3017676639752552E-2</v>
      </c>
    </row>
    <row r="525" spans="1:10" x14ac:dyDescent="0.2">
      <c r="A525">
        <f t="shared" ca="1" si="72"/>
        <v>0.45174382621062947</v>
      </c>
      <c r="B525">
        <f t="shared" ca="1" si="73"/>
        <v>-0.12125677935804904</v>
      </c>
      <c r="C525">
        <f t="shared" ca="1" si="77"/>
        <v>-12.125921647721762</v>
      </c>
      <c r="D525" s="22">
        <f t="shared" ca="1" si="74"/>
        <v>0.3960201692897441</v>
      </c>
      <c r="F525">
        <f t="shared" si="75"/>
        <v>0.51900000000000035</v>
      </c>
      <c r="G525">
        <f t="shared" ca="1" si="76"/>
        <v>-2.2848511041383184E-2</v>
      </c>
      <c r="H525">
        <f t="shared" ca="1" si="78"/>
        <v>-2.2850131774801604E-2</v>
      </c>
      <c r="I525">
        <f t="shared" ca="1" si="79"/>
        <v>1.0112153421019499E-2</v>
      </c>
      <c r="J525" s="5">
        <f t="shared" ca="1" si="80"/>
        <v>3.2962285195821103E-2</v>
      </c>
    </row>
    <row r="526" spans="1:10" x14ac:dyDescent="0.2">
      <c r="A526">
        <f t="shared" ca="1" si="72"/>
        <v>0.47613469011579224</v>
      </c>
      <c r="B526">
        <f t="shared" ca="1" si="73"/>
        <v>-5.985718488122381E-2</v>
      </c>
      <c r="C526">
        <f t="shared" ca="1" si="77"/>
        <v>-12.185778832602987</v>
      </c>
      <c r="D526" s="22">
        <f t="shared" ca="1" si="74"/>
        <v>0.39822823850064937</v>
      </c>
      <c r="F526">
        <f t="shared" si="75"/>
        <v>0.52000000000000035</v>
      </c>
      <c r="G526">
        <f t="shared" ca="1" si="76"/>
        <v>-2.3219655237427639E-2</v>
      </c>
      <c r="H526">
        <f t="shared" ca="1" si="78"/>
        <v>-2.3221294366132048E-2</v>
      </c>
      <c r="I526">
        <f t="shared" ca="1" si="79"/>
        <v>1.0109237015224143E-2</v>
      </c>
      <c r="J526" s="5">
        <f t="shared" ca="1" si="80"/>
        <v>3.3330531381356193E-2</v>
      </c>
    </row>
    <row r="527" spans="1:10" x14ac:dyDescent="0.2">
      <c r="A527">
        <f t="shared" ca="1" si="72"/>
        <v>0.68382976627067893</v>
      </c>
      <c r="B527">
        <f t="shared" ca="1" si="73"/>
        <v>0.47843522486302353</v>
      </c>
      <c r="C527">
        <f t="shared" ca="1" si="77"/>
        <v>-11.707343607739963</v>
      </c>
      <c r="D527" s="22">
        <f t="shared" ca="1" si="74"/>
        <v>0.35579923088606857</v>
      </c>
      <c r="F527">
        <f t="shared" si="75"/>
        <v>0.52100000000000035</v>
      </c>
      <c r="G527">
        <f t="shared" ca="1" si="76"/>
        <v>-2.3396609462674498E-2</v>
      </c>
      <c r="H527">
        <f t="shared" ca="1" si="78"/>
        <v>-2.3398257275245898E-2</v>
      </c>
      <c r="I527">
        <f t="shared" ca="1" si="79"/>
        <v>1.0108283910354919E-2</v>
      </c>
      <c r="J527" s="5">
        <f t="shared" ca="1" si="80"/>
        <v>3.3506541185600813E-2</v>
      </c>
    </row>
    <row r="528" spans="1:10" x14ac:dyDescent="0.2">
      <c r="A528">
        <f t="shared" ca="1" si="72"/>
        <v>0.96474086763420652</v>
      </c>
      <c r="B528">
        <f t="shared" ca="1" si="73"/>
        <v>1.808567221265966</v>
      </c>
      <c r="C528">
        <f t="shared" ca="1" si="77"/>
        <v>-9.8987763864739975</v>
      </c>
      <c r="D528" s="22">
        <f t="shared" ca="1" si="74"/>
        <v>7.7739154460399307E-2</v>
      </c>
      <c r="F528">
        <f t="shared" si="75"/>
        <v>0.52200000000000035</v>
      </c>
      <c r="G528">
        <f t="shared" ca="1" si="76"/>
        <v>-2.1871401039368077E-2</v>
      </c>
      <c r="H528">
        <f t="shared" ca="1" si="78"/>
        <v>-2.1872972426096399E-2</v>
      </c>
      <c r="I528">
        <f t="shared" ca="1" si="79"/>
        <v>1.0124550549589948E-2</v>
      </c>
      <c r="J528" s="5">
        <f t="shared" ca="1" si="80"/>
        <v>3.1997522975686345E-2</v>
      </c>
    </row>
    <row r="529" spans="1:10" x14ac:dyDescent="0.2">
      <c r="A529">
        <f t="shared" ca="1" si="72"/>
        <v>0.89752432439430219</v>
      </c>
      <c r="B529">
        <f t="shared" ca="1" si="73"/>
        <v>1.2675705590639577</v>
      </c>
      <c r="C529">
        <f t="shared" ca="1" si="77"/>
        <v>-8.6312058274100405</v>
      </c>
      <c r="D529" s="22">
        <f t="shared" ca="1" si="74"/>
        <v>0.17865368026456388</v>
      </c>
      <c r="F529">
        <f t="shared" si="75"/>
        <v>0.52300000000000035</v>
      </c>
      <c r="G529">
        <f t="shared" ca="1" si="76"/>
        <v>-1.6140308735550241E-2</v>
      </c>
      <c r="H529">
        <f t="shared" ca="1" si="78"/>
        <v>-1.6141593408131621E-2</v>
      </c>
      <c r="I529">
        <f t="shared" ca="1" si="79"/>
        <v>1.0183588089045247E-2</v>
      </c>
      <c r="J529" s="5">
        <f t="shared" ca="1" si="80"/>
        <v>2.6325181497176869E-2</v>
      </c>
    </row>
    <row r="530" spans="1:10" x14ac:dyDescent="0.2">
      <c r="A530">
        <f t="shared" ca="1" si="72"/>
        <v>0.48078491393534428</v>
      </c>
      <c r="B530">
        <f t="shared" ca="1" si="73"/>
        <v>-4.8183715989878619E-2</v>
      </c>
      <c r="C530">
        <f t="shared" ca="1" si="77"/>
        <v>-8.6793895433999193</v>
      </c>
      <c r="D530" s="22">
        <f t="shared" ca="1" si="74"/>
        <v>0.39847944283335635</v>
      </c>
      <c r="F530">
        <f t="shared" si="75"/>
        <v>0.52400000000000035</v>
      </c>
      <c r="G530">
        <f t="shared" ca="1" si="76"/>
        <v>-1.2120485635896367E-2</v>
      </c>
      <c r="H530">
        <f t="shared" ca="1" si="78"/>
        <v>-1.2121569187175715E-2</v>
      </c>
      <c r="I530">
        <f t="shared" ca="1" si="79"/>
        <v>1.0225461379759295E-2</v>
      </c>
      <c r="J530" s="5">
        <f t="shared" ca="1" si="80"/>
        <v>2.234703056693501E-2</v>
      </c>
    </row>
    <row r="531" spans="1:10" x14ac:dyDescent="0.2">
      <c r="A531">
        <f t="shared" ca="1" si="72"/>
        <v>0.54922804212669629</v>
      </c>
      <c r="B531">
        <f t="shared" ca="1" si="73"/>
        <v>0.12371123501256337</v>
      </c>
      <c r="C531">
        <f t="shared" ca="1" si="77"/>
        <v>-8.5556783083873551</v>
      </c>
      <c r="D531" s="22">
        <f t="shared" ca="1" si="74"/>
        <v>0.39590113102109264</v>
      </c>
      <c r="F531">
        <f t="shared" si="75"/>
        <v>0.52500000000000036</v>
      </c>
      <c r="G531">
        <f t="shared" ca="1" si="76"/>
        <v>-1.2261636818378201E-2</v>
      </c>
      <c r="H531">
        <f t="shared" ca="1" si="78"/>
        <v>-1.2262727318915688E-2</v>
      </c>
      <c r="I531">
        <f t="shared" ca="1" si="79"/>
        <v>1.0224874758915734E-2</v>
      </c>
      <c r="J531" s="5">
        <f t="shared" ca="1" si="80"/>
        <v>2.2487602077831424E-2</v>
      </c>
    </row>
    <row r="532" spans="1:10" x14ac:dyDescent="0.2">
      <c r="A532">
        <f t="shared" ca="1" si="72"/>
        <v>0.16518228581465733</v>
      </c>
      <c r="B532">
        <f t="shared" ca="1" si="73"/>
        <v>-0.97337980598490925</v>
      </c>
      <c r="C532">
        <f t="shared" ca="1" si="77"/>
        <v>-9.5290581143722637</v>
      </c>
      <c r="D532" s="22">
        <f t="shared" ca="1" si="74"/>
        <v>0.24841050067828577</v>
      </c>
      <c r="F532">
        <f t="shared" si="75"/>
        <v>0.52600000000000036</v>
      </c>
      <c r="G532">
        <f t="shared" ca="1" si="76"/>
        <v>-1.1859221500842525E-2</v>
      </c>
      <c r="H532">
        <f t="shared" ca="1" si="78"/>
        <v>-1.1860291771391727E-2</v>
      </c>
      <c r="I532">
        <f t="shared" ca="1" si="79"/>
        <v>1.0229847396630434E-2</v>
      </c>
      <c r="J532" s="5">
        <f t="shared" ca="1" si="80"/>
        <v>2.209013916802216E-2</v>
      </c>
    </row>
    <row r="533" spans="1:10" x14ac:dyDescent="0.2">
      <c r="A533">
        <f t="shared" ca="1" si="72"/>
        <v>7.8153865738056383E-2</v>
      </c>
      <c r="B533">
        <f t="shared" ca="1" si="73"/>
        <v>-1.4175994819978273</v>
      </c>
      <c r="C533">
        <f t="shared" ca="1" si="77"/>
        <v>-10.946657596370091</v>
      </c>
      <c r="D533" s="22">
        <f t="shared" ca="1" si="74"/>
        <v>0.14606074547830275</v>
      </c>
      <c r="F533">
        <f t="shared" si="75"/>
        <v>0.52700000000000036</v>
      </c>
      <c r="G533">
        <f t="shared" ca="1" si="76"/>
        <v>-1.4925979454846671E-2</v>
      </c>
      <c r="H533">
        <f t="shared" ca="1" si="78"/>
        <v>-1.4927202957539697E-2</v>
      </c>
      <c r="I533">
        <f t="shared" ca="1" si="79"/>
        <v>1.0199376239157414E-2</v>
      </c>
      <c r="J533" s="5">
        <f t="shared" ca="1" si="80"/>
        <v>2.5126579196697113E-2</v>
      </c>
    </row>
    <row r="534" spans="1:10" x14ac:dyDescent="0.2">
      <c r="A534">
        <f t="shared" ca="1" si="72"/>
        <v>0.60824940300449548</v>
      </c>
      <c r="B534">
        <f t="shared" ca="1" si="73"/>
        <v>0.27475926734299316</v>
      </c>
      <c r="C534">
        <f t="shared" ca="1" si="77"/>
        <v>-10.671898329027098</v>
      </c>
      <c r="D534" s="22">
        <f t="shared" ca="1" si="74"/>
        <v>0.38416433558088608</v>
      </c>
      <c r="F534">
        <f t="shared" si="75"/>
        <v>0.52800000000000036</v>
      </c>
      <c r="G534">
        <f t="shared" ca="1" si="76"/>
        <v>-1.9397106471680123E-2</v>
      </c>
      <c r="H534">
        <f t="shared" ca="1" si="78"/>
        <v>-1.9398553410231938E-2</v>
      </c>
      <c r="I534">
        <f t="shared" ca="1" si="79"/>
        <v>1.0154721017458708E-2</v>
      </c>
      <c r="J534" s="5">
        <f t="shared" ca="1" si="80"/>
        <v>2.9553274427690644E-2</v>
      </c>
    </row>
    <row r="535" spans="1:10" x14ac:dyDescent="0.2">
      <c r="A535">
        <f t="shared" ca="1" si="72"/>
        <v>0.60832892643753456</v>
      </c>
      <c r="B535">
        <f t="shared" ca="1" si="73"/>
        <v>0.27496627691629766</v>
      </c>
      <c r="C535">
        <f t="shared" ca="1" si="77"/>
        <v>-10.396932052110801</v>
      </c>
      <c r="D535" s="22">
        <f t="shared" ca="1" si="74"/>
        <v>0.3841424775497097</v>
      </c>
      <c r="F535">
        <f t="shared" si="75"/>
        <v>0.52900000000000036</v>
      </c>
      <c r="G535">
        <f t="shared" ca="1" si="76"/>
        <v>-1.8516345706400206E-2</v>
      </c>
      <c r="H535">
        <f t="shared" ca="1" si="78"/>
        <v>-1.8517748461847935E-2</v>
      </c>
      <c r="I535">
        <f t="shared" ca="1" si="79"/>
        <v>1.0164513517143205E-2</v>
      </c>
      <c r="J535" s="5">
        <f t="shared" ca="1" si="80"/>
        <v>2.8682261978991139E-2</v>
      </c>
    </row>
    <row r="536" spans="1:10" x14ac:dyDescent="0.2">
      <c r="A536">
        <f t="shared" ca="1" si="72"/>
        <v>0.10260503117529318</v>
      </c>
      <c r="B536">
        <f t="shared" ca="1" si="73"/>
        <v>-1.2668468333837011</v>
      </c>
      <c r="C536">
        <f t="shared" ca="1" si="77"/>
        <v>-11.663778885494501</v>
      </c>
      <c r="D536" s="22">
        <f t="shared" ca="1" si="74"/>
        <v>0.17881760076010528</v>
      </c>
      <c r="F536">
        <f t="shared" si="75"/>
        <v>0.53000000000000036</v>
      </c>
      <c r="G536">
        <f t="shared" ca="1" si="76"/>
        <v>-1.7635018423773779E-2</v>
      </c>
      <c r="H536">
        <f t="shared" ca="1" si="78"/>
        <v>-1.7636376972209673E-2</v>
      </c>
      <c r="I536">
        <f t="shared" ca="1" si="79"/>
        <v>1.0174322120356936E-2</v>
      </c>
      <c r="J536" s="5">
        <f t="shared" ca="1" si="80"/>
        <v>2.7810699092566608E-2</v>
      </c>
    </row>
    <row r="537" spans="1:10" x14ac:dyDescent="0.2">
      <c r="A537">
        <f t="shared" ca="1" si="72"/>
        <v>0.30923589733232504</v>
      </c>
      <c r="B537">
        <f t="shared" ca="1" si="73"/>
        <v>-0.49801737654256251</v>
      </c>
      <c r="C537">
        <f t="shared" ca="1" si="77"/>
        <v>-12.161796262037065</v>
      </c>
      <c r="D537" s="22">
        <f t="shared" ca="1" si="74"/>
        <v>0.35241381366223867</v>
      </c>
      <c r="F537">
        <f t="shared" si="75"/>
        <v>0.53100000000000036</v>
      </c>
      <c r="G537">
        <f t="shared" ca="1" si="76"/>
        <v>-2.1629176652424937E-2</v>
      </c>
      <c r="H537">
        <f t="shared" ca="1" si="78"/>
        <v>-2.1630734774576783E-2</v>
      </c>
      <c r="I537">
        <f t="shared" ca="1" si="79"/>
        <v>1.0134606827267667E-2</v>
      </c>
      <c r="J537" s="5">
        <f t="shared" ca="1" si="80"/>
        <v>3.1765341601844452E-2</v>
      </c>
    </row>
    <row r="538" spans="1:10" x14ac:dyDescent="0.2">
      <c r="A538">
        <f t="shared" ca="1" si="72"/>
        <v>0.78473649103031207</v>
      </c>
      <c r="B538">
        <f t="shared" ca="1" si="73"/>
        <v>0.78829013281665605</v>
      </c>
      <c r="C538">
        <f t="shared" ca="1" si="77"/>
        <v>-11.373506129220409</v>
      </c>
      <c r="D538" s="22">
        <f t="shared" ca="1" si="74"/>
        <v>0.29239805588383139</v>
      </c>
      <c r="F538">
        <f t="shared" si="75"/>
        <v>0.53200000000000036</v>
      </c>
      <c r="G538">
        <f t="shared" ca="1" si="76"/>
        <v>-2.3191804826921139E-2</v>
      </c>
      <c r="H538">
        <f t="shared" ca="1" si="78"/>
        <v>-2.3193440925315535E-2</v>
      </c>
      <c r="I538">
        <f t="shared" ca="1" si="79"/>
        <v>1.0119620026512172E-2</v>
      </c>
      <c r="J538" s="5">
        <f t="shared" ca="1" si="80"/>
        <v>3.3313060951827705E-2</v>
      </c>
    </row>
    <row r="539" spans="1:10" x14ac:dyDescent="0.2">
      <c r="A539">
        <f t="shared" ca="1" si="72"/>
        <v>0.29606346400030126</v>
      </c>
      <c r="B539">
        <f t="shared" ca="1" si="73"/>
        <v>-0.53575638652154611</v>
      </c>
      <c r="C539">
        <f t="shared" ca="1" si="77"/>
        <v>-11.909262515741956</v>
      </c>
      <c r="D539" s="22">
        <f t="shared" ca="1" si="74"/>
        <v>0.34560596372445063</v>
      </c>
      <c r="F539">
        <f t="shared" si="75"/>
        <v>0.53300000000000036</v>
      </c>
      <c r="G539">
        <f t="shared" ca="1" si="76"/>
        <v>-2.0686818620060408E-2</v>
      </c>
      <c r="H539">
        <f t="shared" ca="1" si="78"/>
        <v>-2.0688329304485727E-2</v>
      </c>
      <c r="I539">
        <f t="shared" ca="1" si="79"/>
        <v>1.0145841414179547E-2</v>
      </c>
      <c r="J539" s="5">
        <f t="shared" ca="1" si="80"/>
        <v>3.0834170718665274E-2</v>
      </c>
    </row>
    <row r="540" spans="1:10" x14ac:dyDescent="0.2">
      <c r="A540">
        <f t="shared" ca="1" si="72"/>
        <v>0.15841310504667505</v>
      </c>
      <c r="B540">
        <f t="shared" ca="1" si="73"/>
        <v>-1.0010012375267126</v>
      </c>
      <c r="C540">
        <f t="shared" ca="1" si="77"/>
        <v>-12.910263753268669</v>
      </c>
      <c r="D540" s="22">
        <f t="shared" ca="1" si="74"/>
        <v>0.24172845443032542</v>
      </c>
      <c r="F540">
        <f t="shared" si="75"/>
        <v>0.53400000000000036</v>
      </c>
      <c r="G540">
        <f t="shared" ca="1" si="76"/>
        <v>-2.2368876287008836E-2</v>
      </c>
      <c r="H540">
        <f t="shared" ca="1" si="78"/>
        <v>-2.23704709239449E-2</v>
      </c>
      <c r="I540">
        <f t="shared" ca="1" si="79"/>
        <v>1.0129629045491662E-2</v>
      </c>
      <c r="J540" s="5">
        <f t="shared" ca="1" si="80"/>
        <v>3.2500099969436563E-2</v>
      </c>
    </row>
    <row r="541" spans="1:10" x14ac:dyDescent="0.2">
      <c r="A541">
        <f t="shared" ca="1" si="72"/>
        <v>0.20034065859171202</v>
      </c>
      <c r="B541">
        <f t="shared" ca="1" si="73"/>
        <v>-0.84040505259364451</v>
      </c>
      <c r="C541">
        <f t="shared" ca="1" si="77"/>
        <v>-13.750668805862313</v>
      </c>
      <c r="D541" s="22">
        <f t="shared" ca="1" si="74"/>
        <v>0.28024841872542916</v>
      </c>
      <c r="F541">
        <f t="shared" si="75"/>
        <v>0.53500000000000036</v>
      </c>
      <c r="G541">
        <f t="shared" ca="1" si="76"/>
        <v>-2.5521925596837573E-2</v>
      </c>
      <c r="H541">
        <f t="shared" ca="1" si="78"/>
        <v>-2.5523677728084129E-2</v>
      </c>
      <c r="I541">
        <f t="shared" ca="1" si="79"/>
        <v>1.0098574288615041E-2</v>
      </c>
      <c r="J541" s="5">
        <f t="shared" ca="1" si="80"/>
        <v>3.562225201669917E-2</v>
      </c>
    </row>
    <row r="542" spans="1:10" x14ac:dyDescent="0.2">
      <c r="A542">
        <f t="shared" ca="1" si="72"/>
        <v>0.90636313670106117</v>
      </c>
      <c r="B542">
        <f t="shared" ca="1" si="73"/>
        <v>1.3186871436452643</v>
      </c>
      <c r="C542">
        <f t="shared" ca="1" si="77"/>
        <v>-12.431981662217048</v>
      </c>
      <c r="D542" s="22">
        <f t="shared" ca="1" si="74"/>
        <v>0.16722644539301545</v>
      </c>
      <c r="F542">
        <f t="shared" si="75"/>
        <v>0.53600000000000037</v>
      </c>
      <c r="G542">
        <f t="shared" ca="1" si="76"/>
        <v>-2.8166835281006358E-2</v>
      </c>
      <c r="H542">
        <f t="shared" ca="1" si="78"/>
        <v>-2.8168719483620836E-2</v>
      </c>
      <c r="I542">
        <f t="shared" ca="1" si="79"/>
        <v>1.007272887129017E-2</v>
      </c>
      <c r="J542" s="5">
        <f t="shared" ca="1" si="80"/>
        <v>3.8241448354911008E-2</v>
      </c>
    </row>
    <row r="543" spans="1:10" x14ac:dyDescent="0.2">
      <c r="A543">
        <f t="shared" ca="1" si="72"/>
        <v>0.8446523482386884</v>
      </c>
      <c r="B543">
        <f t="shared" ca="1" si="73"/>
        <v>1.0137641541829969</v>
      </c>
      <c r="C543">
        <f t="shared" ca="1" si="77"/>
        <v>-11.418217508034051</v>
      </c>
      <c r="D543" s="22">
        <f t="shared" ca="1" si="74"/>
        <v>0.23864041175405609</v>
      </c>
      <c r="F543">
        <f t="shared" si="75"/>
        <v>0.53700000000000037</v>
      </c>
      <c r="G543">
        <f t="shared" ca="1" si="76"/>
        <v>-2.3984172837247922E-2</v>
      </c>
      <c r="H543">
        <f t="shared" ca="1" si="78"/>
        <v>-2.3985847716571803E-2</v>
      </c>
      <c r="I543">
        <f t="shared" ca="1" si="79"/>
        <v>1.0115781358216882E-2</v>
      </c>
      <c r="J543" s="5">
        <f t="shared" ca="1" si="80"/>
        <v>3.4101629074788684E-2</v>
      </c>
    </row>
    <row r="544" spans="1:10" x14ac:dyDescent="0.2">
      <c r="A544">
        <f t="shared" ca="1" si="72"/>
        <v>0.2299535143402095</v>
      </c>
      <c r="B544">
        <f t="shared" ca="1" si="73"/>
        <v>-0.73899994841957239</v>
      </c>
      <c r="C544">
        <f t="shared" ca="1" si="77"/>
        <v>-12.157217456453623</v>
      </c>
      <c r="D544" s="22">
        <f t="shared" ca="1" si="74"/>
        <v>0.30361373468098835</v>
      </c>
      <c r="F544">
        <f t="shared" si="75"/>
        <v>0.53800000000000037</v>
      </c>
      <c r="G544">
        <f t="shared" ca="1" si="76"/>
        <v>-2.076613158592042E-2</v>
      </c>
      <c r="H544">
        <f t="shared" ca="1" si="78"/>
        <v>-2.0767645394347761E-2</v>
      </c>
      <c r="I544">
        <f t="shared" ca="1" si="79"/>
        <v>1.0149226735077345E-2</v>
      </c>
      <c r="J544" s="5">
        <f t="shared" ca="1" si="80"/>
        <v>3.0916872129425108E-2</v>
      </c>
    </row>
    <row r="545" spans="1:10" x14ac:dyDescent="0.2">
      <c r="A545">
        <f t="shared" ca="1" si="72"/>
        <v>0.67829441283445147</v>
      </c>
      <c r="B545">
        <f t="shared" ca="1" si="73"/>
        <v>0.46293469958717959</v>
      </c>
      <c r="C545">
        <f t="shared" ca="1" si="77"/>
        <v>-11.694282756866443</v>
      </c>
      <c r="D545" s="22">
        <f t="shared" ca="1" si="74"/>
        <v>0.35840458634359862</v>
      </c>
      <c r="F545">
        <f t="shared" si="75"/>
        <v>0.53900000000000037</v>
      </c>
      <c r="G545">
        <f t="shared" ca="1" si="76"/>
        <v>-2.3090861763042144E-2</v>
      </c>
      <c r="H545">
        <f t="shared" ca="1" si="78"/>
        <v>-2.3092491657561123E-2</v>
      </c>
      <c r="I545">
        <f t="shared" ca="1" si="79"/>
        <v>1.0126498437013279E-2</v>
      </c>
      <c r="J545" s="5">
        <f t="shared" ca="1" si="80"/>
        <v>3.3218990094574401E-2</v>
      </c>
    </row>
    <row r="546" spans="1:10" x14ac:dyDescent="0.2">
      <c r="A546">
        <f t="shared" ca="1" si="72"/>
        <v>0.13582666385372844</v>
      </c>
      <c r="B546">
        <f t="shared" ca="1" si="73"/>
        <v>-1.0992630882084247</v>
      </c>
      <c r="C546">
        <f t="shared" ca="1" si="77"/>
        <v>-12.793545845074867</v>
      </c>
      <c r="D546" s="22">
        <f t="shared" ca="1" si="74"/>
        <v>0.218028781047551</v>
      </c>
      <c r="F546">
        <f t="shared" si="75"/>
        <v>0.54000000000000037</v>
      </c>
      <c r="G546">
        <f t="shared" ca="1" si="76"/>
        <v>-2.1614698427031551E-2</v>
      </c>
      <c r="H546">
        <f t="shared" ca="1" si="78"/>
        <v>-2.1616254349774069E-2</v>
      </c>
      <c r="I546">
        <f t="shared" ca="1" si="79"/>
        <v>1.0142297230954314E-2</v>
      </c>
      <c r="J546" s="5">
        <f t="shared" ca="1" si="80"/>
        <v>3.1758551580728385E-2</v>
      </c>
    </row>
    <row r="547" spans="1:10" x14ac:dyDescent="0.2">
      <c r="A547">
        <f t="shared" ca="1" si="72"/>
        <v>0.30433396307063509</v>
      </c>
      <c r="B547">
        <f t="shared" ca="1" si="73"/>
        <v>-0.5119758290607167</v>
      </c>
      <c r="C547">
        <f t="shared" ca="1" si="77"/>
        <v>-13.305521674135584</v>
      </c>
      <c r="D547" s="22">
        <f t="shared" ca="1" si="74"/>
        <v>0.34993839370552454</v>
      </c>
      <c r="F547">
        <f t="shared" si="75"/>
        <v>0.54100000000000037</v>
      </c>
      <c r="G547">
        <f t="shared" ca="1" si="76"/>
        <v>-2.5078538870217666E-2</v>
      </c>
      <c r="H547">
        <f t="shared" ca="1" si="78"/>
        <v>-2.5080267830828295E-2</v>
      </c>
      <c r="I547">
        <f t="shared" ca="1" si="79"/>
        <v>1.0108062257869276E-2</v>
      </c>
      <c r="J547" s="5">
        <f t="shared" ca="1" si="80"/>
        <v>3.5188330088697567E-2</v>
      </c>
    </row>
    <row r="548" spans="1:10" x14ac:dyDescent="0.2">
      <c r="A548">
        <f t="shared" ca="1" si="72"/>
        <v>0.54847248357327982</v>
      </c>
      <c r="B548">
        <f t="shared" ca="1" si="73"/>
        <v>0.12180300648238018</v>
      </c>
      <c r="C548">
        <f t="shared" ca="1" si="77"/>
        <v>-13.183718667653203</v>
      </c>
      <c r="D548" s="22">
        <f t="shared" ca="1" si="74"/>
        <v>0.39599388118552159</v>
      </c>
      <c r="F548">
        <f t="shared" si="75"/>
        <v>0.54200000000000037</v>
      </c>
      <c r="G548">
        <f t="shared" ca="1" si="76"/>
        <v>-2.6684960421373832E-2</v>
      </c>
      <c r="H548">
        <f t="shared" ca="1" si="78"/>
        <v>-2.6686769530830101E-2</v>
      </c>
      <c r="I548">
        <f t="shared" ca="1" si="79"/>
        <v>1.0092669205229641E-2</v>
      </c>
      <c r="J548" s="5">
        <f t="shared" ca="1" si="80"/>
        <v>3.6779438736059739E-2</v>
      </c>
    </row>
    <row r="549" spans="1:10" x14ac:dyDescent="0.2">
      <c r="A549">
        <f t="shared" ca="1" si="72"/>
        <v>2.0414641719146531E-2</v>
      </c>
      <c r="B549">
        <f t="shared" ca="1" si="73"/>
        <v>-2.0452594778783006</v>
      </c>
      <c r="C549">
        <f t="shared" ca="1" si="77"/>
        <v>-15.228978145531503</v>
      </c>
      <c r="D549" s="22">
        <f t="shared" ca="1" si="74"/>
        <v>4.9267940719433891E-2</v>
      </c>
      <c r="F549">
        <f t="shared" si="75"/>
        <v>0.54300000000000037</v>
      </c>
      <c r="G549">
        <f t="shared" ca="1" si="76"/>
        <v>-2.6287136890338712E-2</v>
      </c>
      <c r="H549">
        <f t="shared" ca="1" si="78"/>
        <v>-2.6288925927536441E-2</v>
      </c>
      <c r="I549">
        <f t="shared" ca="1" si="79"/>
        <v>1.0097516615631168E-2</v>
      </c>
      <c r="J549" s="5">
        <f t="shared" ca="1" si="80"/>
        <v>3.6386442543167613E-2</v>
      </c>
    </row>
    <row r="550" spans="1:10" x14ac:dyDescent="0.2">
      <c r="A550">
        <f t="shared" ca="1" si="72"/>
        <v>0.11032396022660229</v>
      </c>
      <c r="B550">
        <f t="shared" ca="1" si="73"/>
        <v>-1.2248070702082428</v>
      </c>
      <c r="C550">
        <f t="shared" ca="1" si="77"/>
        <v>-16.453785215739746</v>
      </c>
      <c r="D550" s="22">
        <f t="shared" ca="1" si="74"/>
        <v>0.18843263446333677</v>
      </c>
      <c r="F550">
        <f t="shared" si="75"/>
        <v>0.54400000000000037</v>
      </c>
      <c r="G550">
        <f t="shared" ca="1" si="76"/>
        <v>-3.2741863793762441E-2</v>
      </c>
      <c r="H550">
        <f t="shared" ca="1" si="78"/>
        <v>-3.2743975391085881E-2</v>
      </c>
      <c r="I550">
        <f t="shared" ca="1" si="79"/>
        <v>1.0033372990467904E-2</v>
      </c>
      <c r="J550" s="5">
        <f t="shared" ca="1" si="80"/>
        <v>4.2777348381553781E-2</v>
      </c>
    </row>
    <row r="551" spans="1:10" x14ac:dyDescent="0.2">
      <c r="A551">
        <f t="shared" ca="1" si="72"/>
        <v>0.1575007407630129</v>
      </c>
      <c r="B551">
        <f t="shared" ca="1" si="73"/>
        <v>-1.0047827299794414</v>
      </c>
      <c r="C551">
        <f t="shared" ca="1" si="77"/>
        <v>-17.458567945719189</v>
      </c>
      <c r="D551" s="22">
        <f t="shared" ca="1" si="74"/>
        <v>0.24081345269433183</v>
      </c>
      <c r="F551">
        <f t="shared" si="75"/>
        <v>0.54500000000000037</v>
      </c>
      <c r="G551">
        <f t="shared" ca="1" si="76"/>
        <v>-3.660157665627304E-2</v>
      </c>
      <c r="H551">
        <f t="shared" ca="1" si="78"/>
        <v>-3.6603881029682581E-2</v>
      </c>
      <c r="I551">
        <f t="shared" ca="1" si="79"/>
        <v>9.9955366222541069E-3</v>
      </c>
      <c r="J551" s="5">
        <f t="shared" ca="1" si="80"/>
        <v>4.6599417651936689E-2</v>
      </c>
    </row>
    <row r="552" spans="1:10" x14ac:dyDescent="0.2">
      <c r="A552">
        <f t="shared" ca="1" si="72"/>
        <v>0.67488855462268027</v>
      </c>
      <c r="B552">
        <f t="shared" ca="1" si="73"/>
        <v>0.45345256793881561</v>
      </c>
      <c r="C552">
        <f t="shared" ca="1" si="77"/>
        <v>-17.005115377780374</v>
      </c>
      <c r="D552" s="22">
        <f t="shared" ca="1" si="74"/>
        <v>0.35996511720129859</v>
      </c>
      <c r="F552">
        <f t="shared" si="75"/>
        <v>0.54600000000000037</v>
      </c>
      <c r="G552">
        <f t="shared" ca="1" si="76"/>
        <v>-3.9765160298449793E-2</v>
      </c>
      <c r="H552">
        <f t="shared" ca="1" si="78"/>
        <v>-3.9767622621916597E-2</v>
      </c>
      <c r="I552">
        <f t="shared" ca="1" si="79"/>
        <v>9.964773796429743E-3</v>
      </c>
      <c r="J552" s="5">
        <f t="shared" ca="1" si="80"/>
        <v>4.9732396418346342E-2</v>
      </c>
    </row>
    <row r="553" spans="1:10" x14ac:dyDescent="0.2">
      <c r="A553">
        <f t="shared" ca="1" si="72"/>
        <v>0.94526649575863475</v>
      </c>
      <c r="B553">
        <f t="shared" ca="1" si="73"/>
        <v>1.6005933844348461</v>
      </c>
      <c r="C553">
        <f t="shared" ca="1" si="77"/>
        <v>-15.404521993345528</v>
      </c>
      <c r="D553" s="22">
        <f t="shared" ca="1" si="74"/>
        <v>0.11081555523080952</v>
      </c>
      <c r="F553">
        <f t="shared" si="75"/>
        <v>0.54700000000000037</v>
      </c>
      <c r="G553">
        <f t="shared" ca="1" si="76"/>
        <v>-3.8317313249842583E-2</v>
      </c>
      <c r="H553">
        <f t="shared" ca="1" si="78"/>
        <v>-3.8319702934115504E-2</v>
      </c>
      <c r="I553">
        <f t="shared" ca="1" si="79"/>
        <v>9.9800210199273952E-3</v>
      </c>
      <c r="J553" s="5">
        <f t="shared" ca="1" si="80"/>
        <v>4.8299723954042903E-2</v>
      </c>
    </row>
    <row r="554" spans="1:10" x14ac:dyDescent="0.2">
      <c r="A554">
        <f t="shared" ca="1" si="72"/>
        <v>0.15950350108655786</v>
      </c>
      <c r="B554">
        <f t="shared" ca="1" si="73"/>
        <v>-0.99650054546458522</v>
      </c>
      <c r="C554">
        <f t="shared" ca="1" si="77"/>
        <v>-16.401022538810114</v>
      </c>
      <c r="D554" s="22">
        <f t="shared" ca="1" si="74"/>
        <v>0.24281748660893349</v>
      </c>
      <c r="F554">
        <f t="shared" si="75"/>
        <v>0.54800000000000038</v>
      </c>
      <c r="G554">
        <f t="shared" ca="1" si="76"/>
        <v>-3.3242214572960255E-2</v>
      </c>
      <c r="H554">
        <f t="shared" ca="1" si="78"/>
        <v>-3.3244350261210476E-2</v>
      </c>
      <c r="I554">
        <f t="shared" ca="1" si="79"/>
        <v>1.0031616116195361E-2</v>
      </c>
      <c r="J554" s="5">
        <f t="shared" ca="1" si="80"/>
        <v>4.3275966377405835E-2</v>
      </c>
    </row>
    <row r="555" spans="1:10" x14ac:dyDescent="0.2">
      <c r="A555">
        <f t="shared" ca="1" si="72"/>
        <v>0.36100097854826441</v>
      </c>
      <c r="B555">
        <f t="shared" ca="1" si="73"/>
        <v>-0.35578450091428621</v>
      </c>
      <c r="C555">
        <f t="shared" ca="1" si="77"/>
        <v>-16.7568070397244</v>
      </c>
      <c r="D555" s="22">
        <f t="shared" ca="1" si="74"/>
        <v>0.37447514798403664</v>
      </c>
      <c r="F555">
        <f t="shared" si="75"/>
        <v>0.54900000000000038</v>
      </c>
      <c r="G555">
        <f t="shared" ca="1" si="76"/>
        <v>-3.6379944876954166E-2</v>
      </c>
      <c r="H555">
        <f t="shared" ca="1" si="78"/>
        <v>-3.6382237239452615E-2</v>
      </c>
      <c r="I555">
        <f t="shared" ca="1" si="79"/>
        <v>1.0001004178631381E-2</v>
      </c>
      <c r="J555" s="5">
        <f t="shared" ca="1" si="80"/>
        <v>4.6383241418083997E-2</v>
      </c>
    </row>
    <row r="556" spans="1:10" x14ac:dyDescent="0.2">
      <c r="A556">
        <f t="shared" ca="1" si="72"/>
        <v>0.90013816856146378</v>
      </c>
      <c r="B556">
        <f t="shared" ca="1" si="73"/>
        <v>1.2823392557988416</v>
      </c>
      <c r="C556">
        <f t="shared" ca="1" si="77"/>
        <v>-15.474467783925558</v>
      </c>
      <c r="D556" s="22">
        <f t="shared" ca="1" si="74"/>
        <v>0.17532120738837725</v>
      </c>
      <c r="F556">
        <f t="shared" si="75"/>
        <v>0.55000000000000038</v>
      </c>
      <c r="G556">
        <f t="shared" ca="1" si="76"/>
        <v>-3.7491340691293749E-2</v>
      </c>
      <c r="H556">
        <f t="shared" ca="1" si="78"/>
        <v>-3.7493688394804076E-2</v>
      </c>
      <c r="I556">
        <f t="shared" ca="1" si="79"/>
        <v>9.9907075545788895E-3</v>
      </c>
      <c r="J556" s="5">
        <f t="shared" ca="1" si="80"/>
        <v>4.7484395949382967E-2</v>
      </c>
    </row>
    <row r="557" spans="1:10" x14ac:dyDescent="0.2">
      <c r="A557">
        <f t="shared" ca="1" si="72"/>
        <v>1.2796701729421822E-2</v>
      </c>
      <c r="B557">
        <f t="shared" ca="1" si="73"/>
        <v>-2.2323263214299351</v>
      </c>
      <c r="C557">
        <f t="shared" ca="1" si="77"/>
        <v>-17.706794105355492</v>
      </c>
      <c r="D557" s="22">
        <f t="shared" ca="1" si="74"/>
        <v>3.3022077175587465E-2</v>
      </c>
      <c r="F557">
        <f t="shared" si="75"/>
        <v>0.55100000000000038</v>
      </c>
      <c r="G557">
        <f t="shared" ca="1" si="76"/>
        <v>-3.3422682210480073E-2</v>
      </c>
      <c r="H557">
        <f t="shared" ca="1" si="78"/>
        <v>-3.3424826244594974E-2</v>
      </c>
      <c r="I557">
        <f t="shared" ca="1" si="79"/>
        <v>1.0032256273997535E-2</v>
      </c>
      <c r="J557" s="5">
        <f t="shared" ca="1" si="80"/>
        <v>4.345708251859251E-2</v>
      </c>
    </row>
    <row r="558" spans="1:10" x14ac:dyDescent="0.2">
      <c r="A558">
        <f t="shared" ca="1" si="72"/>
        <v>0.71409925789034523</v>
      </c>
      <c r="B558">
        <f t="shared" ca="1" si="73"/>
        <v>0.56540035344967376</v>
      </c>
      <c r="C558">
        <f t="shared" ca="1" si="77"/>
        <v>-17.141393751905817</v>
      </c>
      <c r="D558" s="22">
        <f t="shared" ca="1" si="74"/>
        <v>0.34001099860898709</v>
      </c>
      <c r="F558">
        <f t="shared" si="75"/>
        <v>0.55200000000000038</v>
      </c>
      <c r="G558">
        <f t="shared" ca="1" si="76"/>
        <v>-4.0468223318737222E-2</v>
      </c>
      <c r="H558">
        <f t="shared" ca="1" si="78"/>
        <v>-4.0470719418434255E-2</v>
      </c>
      <c r="I558">
        <f t="shared" ca="1" si="79"/>
        <v>9.9626319984717077E-3</v>
      </c>
      <c r="J558" s="5">
        <f t="shared" ca="1" si="80"/>
        <v>5.0433351416905962E-2</v>
      </c>
    </row>
    <row r="559" spans="1:10" x14ac:dyDescent="0.2">
      <c r="A559">
        <f t="shared" ca="1" si="72"/>
        <v>0.55998587165730407</v>
      </c>
      <c r="B559">
        <f t="shared" ca="1" si="73"/>
        <v>0.15093339520358964</v>
      </c>
      <c r="C559">
        <f t="shared" ca="1" si="77"/>
        <v>-16.990460356702226</v>
      </c>
      <c r="D559" s="22">
        <f t="shared" ca="1" si="74"/>
        <v>0.39442393219046146</v>
      </c>
      <c r="F559">
        <f t="shared" si="75"/>
        <v>0.55300000000000038</v>
      </c>
      <c r="G559">
        <f t="shared" ca="1" si="76"/>
        <v>-3.8666313685878452E-2</v>
      </c>
      <c r="H559">
        <f t="shared" ca="1" si="78"/>
        <v>-3.8668719439727203E-2</v>
      </c>
      <c r="I559">
        <f t="shared" ca="1" si="79"/>
        <v>9.9814088377565245E-3</v>
      </c>
      <c r="J559" s="5">
        <f t="shared" ca="1" si="80"/>
        <v>4.8650128277483731E-2</v>
      </c>
    </row>
    <row r="560" spans="1:10" x14ac:dyDescent="0.2">
      <c r="A560">
        <f t="shared" ca="1" si="72"/>
        <v>0.20577681729309294</v>
      </c>
      <c r="B560">
        <f t="shared" ca="1" si="73"/>
        <v>-0.82116263864909866</v>
      </c>
      <c r="C560">
        <f t="shared" ca="1" si="77"/>
        <v>-17.811622995351325</v>
      </c>
      <c r="D560" s="22">
        <f t="shared" ca="1" si="74"/>
        <v>0.28476455220553598</v>
      </c>
      <c r="F560">
        <f t="shared" si="75"/>
        <v>0.55400000000000038</v>
      </c>
      <c r="G560">
        <f t="shared" ca="1" si="76"/>
        <v>-3.8175178307663524E-2</v>
      </c>
      <c r="H560">
        <f t="shared" ca="1" si="78"/>
        <v>-3.8177559263957557E-2</v>
      </c>
      <c r="I560">
        <f t="shared" ca="1" si="79"/>
        <v>9.9871227660626206E-3</v>
      </c>
      <c r="J560" s="5">
        <f t="shared" ca="1" si="80"/>
        <v>4.8164682030020181E-2</v>
      </c>
    </row>
    <row r="561" spans="1:10" x14ac:dyDescent="0.2">
      <c r="A561">
        <f t="shared" ca="1" si="72"/>
        <v>1.2254208607726524E-2</v>
      </c>
      <c r="B561">
        <f t="shared" ca="1" si="73"/>
        <v>-2.2490641151309636</v>
      </c>
      <c r="C561">
        <f t="shared" ca="1" si="77"/>
        <v>-20.060687110482288</v>
      </c>
      <c r="D561" s="22">
        <f t="shared" ca="1" si="74"/>
        <v>3.1806543809604987E-2</v>
      </c>
      <c r="F561">
        <f t="shared" si="75"/>
        <v>0.55500000000000038</v>
      </c>
      <c r="G561">
        <f t="shared" ca="1" si="76"/>
        <v>-4.0757975916446858E-2</v>
      </c>
      <c r="H561">
        <f t="shared" ca="1" si="78"/>
        <v>-4.0760485775596121E-2</v>
      </c>
      <c r="I561">
        <f t="shared" ca="1" si="79"/>
        <v>9.9621687662112129E-3</v>
      </c>
      <c r="J561" s="5">
        <f t="shared" ca="1" si="80"/>
        <v>5.0722654541807334E-2</v>
      </c>
    </row>
    <row r="562" spans="1:10" x14ac:dyDescent="0.2">
      <c r="A562">
        <f t="shared" ca="1" si="72"/>
        <v>0.77318485127445591</v>
      </c>
      <c r="B562">
        <f t="shared" ca="1" si="73"/>
        <v>0.7493765223560539</v>
      </c>
      <c r="C562">
        <f t="shared" ca="1" si="77"/>
        <v>-19.311310588126233</v>
      </c>
      <c r="D562" s="22">
        <f t="shared" ca="1" si="74"/>
        <v>0.30127822086833822</v>
      </c>
      <c r="F562">
        <f t="shared" si="75"/>
        <v>0.55600000000000038</v>
      </c>
      <c r="G562">
        <f t="shared" ca="1" si="76"/>
        <v>-4.7855710436742631E-2</v>
      </c>
      <c r="H562">
        <f t="shared" ca="1" si="78"/>
        <v>-4.7858574934583571E-2</v>
      </c>
      <c r="I562">
        <f t="shared" ca="1" si="79"/>
        <v>9.8925072810755518E-3</v>
      </c>
      <c r="J562" s="5">
        <f t="shared" ca="1" si="80"/>
        <v>5.7751082215659125E-2</v>
      </c>
    </row>
    <row r="563" spans="1:10" x14ac:dyDescent="0.2">
      <c r="A563">
        <f t="shared" ca="1" si="72"/>
        <v>0.93056229548282698</v>
      </c>
      <c r="B563">
        <f t="shared" ca="1" si="73"/>
        <v>1.4799918973665396</v>
      </c>
      <c r="C563">
        <f t="shared" ca="1" si="77"/>
        <v>-17.831318690759694</v>
      </c>
      <c r="D563" s="22">
        <f t="shared" ca="1" si="74"/>
        <v>0.13343690409870718</v>
      </c>
      <c r="F563">
        <f t="shared" si="75"/>
        <v>0.55700000000000038</v>
      </c>
      <c r="G563">
        <f t="shared" ca="1" si="76"/>
        <v>-4.5471307451146699E-2</v>
      </c>
      <c r="H563">
        <f t="shared" ca="1" si="78"/>
        <v>-4.5474052441388892E-2</v>
      </c>
      <c r="I563">
        <f t="shared" ca="1" si="79"/>
        <v>9.9169197790205093E-3</v>
      </c>
      <c r="J563" s="5">
        <f t="shared" ca="1" si="80"/>
        <v>5.5390972220409403E-2</v>
      </c>
    </row>
    <row r="564" spans="1:10" x14ac:dyDescent="0.2">
      <c r="A564">
        <f t="shared" ca="1" si="72"/>
        <v>0.424897773558638</v>
      </c>
      <c r="B564">
        <f t="shared" ca="1" si="73"/>
        <v>-0.18937929999520958</v>
      </c>
      <c r="C564">
        <f t="shared" ca="1" si="77"/>
        <v>-18.020697990754904</v>
      </c>
      <c r="D564" s="22">
        <f t="shared" ca="1" si="74"/>
        <v>0.39185210527669784</v>
      </c>
      <c r="F564">
        <f t="shared" si="75"/>
        <v>0.55800000000000038</v>
      </c>
      <c r="G564">
        <f t="shared" ca="1" si="76"/>
        <v>-4.0776849730977296E-2</v>
      </c>
      <c r="H564">
        <f t="shared" ca="1" si="78"/>
        <v>-4.0779359721872327E-2</v>
      </c>
      <c r="I564">
        <f t="shared" ca="1" si="79"/>
        <v>9.964387755079962E-3</v>
      </c>
      <c r="J564" s="5">
        <f t="shared" ca="1" si="80"/>
        <v>5.0743747476952289E-2</v>
      </c>
    </row>
    <row r="565" spans="1:10" x14ac:dyDescent="0.2">
      <c r="A565">
        <f t="shared" ca="1" si="72"/>
        <v>0.60540251554370028</v>
      </c>
      <c r="B565">
        <f t="shared" ca="1" si="73"/>
        <v>0.26735613599158159</v>
      </c>
      <c r="C565">
        <f t="shared" ca="1" si="77"/>
        <v>-17.753341854763324</v>
      </c>
      <c r="D565" s="22">
        <f t="shared" ca="1" si="74"/>
        <v>0.38493600282854951</v>
      </c>
      <c r="F565">
        <f t="shared" si="75"/>
        <v>0.55900000000000039</v>
      </c>
      <c r="G565">
        <f t="shared" ca="1" si="76"/>
        <v>-4.136161273728927E-2</v>
      </c>
      <c r="H565">
        <f t="shared" ca="1" si="78"/>
        <v>-4.1364151715573311E-2</v>
      </c>
      <c r="I565">
        <f t="shared" ca="1" si="79"/>
        <v>9.9593682644139765E-3</v>
      </c>
      <c r="J565" s="5">
        <f t="shared" ca="1" si="80"/>
        <v>5.1323519979987284E-2</v>
      </c>
    </row>
    <row r="566" spans="1:10" x14ac:dyDescent="0.2">
      <c r="A566">
        <f t="shared" ca="1" si="72"/>
        <v>0.34777448156400859</v>
      </c>
      <c r="B566">
        <f t="shared" ca="1" si="73"/>
        <v>-0.39133590399831764</v>
      </c>
      <c r="C566">
        <f t="shared" ca="1" si="77"/>
        <v>-18.144677758761642</v>
      </c>
      <c r="D566" s="22">
        <f t="shared" ca="1" si="74"/>
        <v>0.36953477546983138</v>
      </c>
      <c r="F566">
        <f t="shared" si="75"/>
        <v>0.56000000000000039</v>
      </c>
      <c r="G566">
        <f t="shared" ca="1" si="76"/>
        <v>-4.0502065217600448E-2</v>
      </c>
      <c r="H566">
        <f t="shared" ca="1" si="78"/>
        <v>-4.0504560964246636E-2</v>
      </c>
      <c r="I566">
        <f t="shared" ca="1" si="79"/>
        <v>9.9687390011679502E-3</v>
      </c>
      <c r="J566" s="5">
        <f t="shared" ca="1" si="80"/>
        <v>5.0473299965414588E-2</v>
      </c>
    </row>
    <row r="567" spans="1:10" x14ac:dyDescent="0.2">
      <c r="A567">
        <f t="shared" ca="1" si="72"/>
        <v>0.5703102955391387</v>
      </c>
      <c r="B567">
        <f t="shared" ca="1" si="73"/>
        <v>0.17716420782197551</v>
      </c>
      <c r="C567">
        <f t="shared" ca="1" si="77"/>
        <v>-17.967513550939668</v>
      </c>
      <c r="D567" s="22">
        <f t="shared" ca="1" si="74"/>
        <v>0.39273031993792051</v>
      </c>
      <c r="F567">
        <f t="shared" si="75"/>
        <v>0.56100000000000039</v>
      </c>
      <c r="G567">
        <f t="shared" ca="1" si="76"/>
        <v>-4.1725466627339974E-2</v>
      </c>
      <c r="H567">
        <f t="shared" ca="1" si="78"/>
        <v>-4.1728023294985886E-2</v>
      </c>
      <c r="I567">
        <f t="shared" ca="1" si="79"/>
        <v>9.957356093187656E-3</v>
      </c>
      <c r="J567" s="5">
        <f t="shared" ca="1" si="80"/>
        <v>5.1685379388173538E-2</v>
      </c>
    </row>
    <row r="568" spans="1:10" x14ac:dyDescent="0.2">
      <c r="A568">
        <f t="shared" ca="1" si="72"/>
        <v>0.44889941720752036</v>
      </c>
      <c r="B568">
        <f t="shared" ca="1" si="73"/>
        <v>-0.12844245592440806</v>
      </c>
      <c r="C568">
        <f t="shared" ca="1" si="77"/>
        <v>-18.095956006864075</v>
      </c>
      <c r="D568" s="22">
        <f t="shared" ca="1" si="74"/>
        <v>0.39566504744132314</v>
      </c>
      <c r="F568">
        <f t="shared" si="75"/>
        <v>0.56200000000000039</v>
      </c>
      <c r="G568">
        <f t="shared" ca="1" si="76"/>
        <v>-4.11510803836578E-2</v>
      </c>
      <c r="H568">
        <f t="shared" ca="1" si="78"/>
        <v>-4.1153608076079526E-2</v>
      </c>
      <c r="I568">
        <f t="shared" ca="1" si="79"/>
        <v>9.9638827132825219E-3</v>
      </c>
      <c r="J568" s="5">
        <f t="shared" ca="1" si="80"/>
        <v>5.1117490789362049E-2</v>
      </c>
    </row>
    <row r="569" spans="1:10" x14ac:dyDescent="0.2">
      <c r="A569">
        <f t="shared" ca="1" si="72"/>
        <v>0.88625424613928072</v>
      </c>
      <c r="B569">
        <f t="shared" ca="1" si="73"/>
        <v>1.2068458684292627</v>
      </c>
      <c r="C569">
        <f t="shared" ca="1" si="77"/>
        <v>-16.889110138434813</v>
      </c>
      <c r="D569" s="22">
        <f t="shared" ca="1" si="74"/>
        <v>0.19259282989375351</v>
      </c>
      <c r="F569">
        <f t="shared" si="75"/>
        <v>0.56300000000000039</v>
      </c>
      <c r="G569">
        <f t="shared" ca="1" si="76"/>
        <v>-4.1543116382648931E-2</v>
      </c>
      <c r="H569">
        <f t="shared" ca="1" si="78"/>
        <v>-4.1545663424258833E-2</v>
      </c>
      <c r="I569">
        <f t="shared" ca="1" si="79"/>
        <v>9.9607827271718189E-3</v>
      </c>
      <c r="J569" s="5">
        <f t="shared" ca="1" si="80"/>
        <v>5.150644615143065E-2</v>
      </c>
    </row>
    <row r="570" spans="1:10" x14ac:dyDescent="0.2">
      <c r="A570">
        <f t="shared" ca="1" si="72"/>
        <v>0.26769652450857184</v>
      </c>
      <c r="B570">
        <f t="shared" ca="1" si="73"/>
        <v>-0.6197945624906136</v>
      </c>
      <c r="C570">
        <f t="shared" ca="1" si="77"/>
        <v>-17.508904700925427</v>
      </c>
      <c r="D570" s="22">
        <f t="shared" ca="1" si="74"/>
        <v>0.32922588506818617</v>
      </c>
      <c r="F570">
        <f t="shared" si="75"/>
        <v>0.56400000000000039</v>
      </c>
      <c r="G570">
        <f t="shared" ca="1" si="76"/>
        <v>-3.7712771860838296E-2</v>
      </c>
      <c r="H570">
        <f t="shared" ca="1" si="78"/>
        <v>-3.7715127128916039E-2</v>
      </c>
      <c r="I570">
        <f t="shared" ca="1" si="79"/>
        <v>9.9998194447210656E-3</v>
      </c>
      <c r="J570" s="5">
        <f t="shared" ca="1" si="80"/>
        <v>4.7714946573637104E-2</v>
      </c>
    </row>
    <row r="571" spans="1:10" x14ac:dyDescent="0.2">
      <c r="A571">
        <f t="shared" ca="1" si="72"/>
        <v>5.7672475555440639E-2</v>
      </c>
      <c r="B571">
        <f t="shared" ca="1" si="73"/>
        <v>-1.5746166767406662</v>
      </c>
      <c r="C571">
        <f t="shared" ca="1" si="77"/>
        <v>-19.083521377666095</v>
      </c>
      <c r="D571" s="22">
        <f t="shared" ca="1" si="74"/>
        <v>0.11548121851071892</v>
      </c>
      <c r="F571">
        <f t="shared" si="75"/>
        <v>0.56500000000000039</v>
      </c>
      <c r="G571">
        <f t="shared" ca="1" si="76"/>
        <v>-3.965886577700916E-2</v>
      </c>
      <c r="H571">
        <f t="shared" ca="1" si="78"/>
        <v>-3.9661318115061052E-2</v>
      </c>
      <c r="I571">
        <f t="shared" ca="1" si="79"/>
        <v>9.9811875357673305E-3</v>
      </c>
      <c r="J571" s="5">
        <f t="shared" ca="1" si="80"/>
        <v>4.9642505650828381E-2</v>
      </c>
    </row>
    <row r="572" spans="1:10" x14ac:dyDescent="0.2">
      <c r="A572">
        <f t="shared" ca="1" si="72"/>
        <v>0.34722774023677727</v>
      </c>
      <c r="B572">
        <f t="shared" ca="1" si="73"/>
        <v>-0.39281587261051931</v>
      </c>
      <c r="C572">
        <f t="shared" ca="1" si="77"/>
        <v>-19.476337250276615</v>
      </c>
      <c r="D572" s="22">
        <f t="shared" ca="1" si="74"/>
        <v>0.3693204114174114</v>
      </c>
      <c r="F572">
        <f t="shared" si="75"/>
        <v>0.56600000000000039</v>
      </c>
      <c r="G572">
        <f t="shared" ca="1" si="76"/>
        <v>-4.4624026770504331E-2</v>
      </c>
      <c r="H572">
        <f t="shared" ca="1" si="78"/>
        <v>-4.4626727123435128E-2</v>
      </c>
      <c r="I572">
        <f t="shared" ca="1" si="79"/>
        <v>9.9325545390849933E-3</v>
      </c>
      <c r="J572" s="5">
        <f t="shared" ca="1" si="80"/>
        <v>5.4559281662520123E-2</v>
      </c>
    </row>
    <row r="573" spans="1:10" x14ac:dyDescent="0.2">
      <c r="A573">
        <f t="shared" ca="1" si="72"/>
        <v>0.30561294375072134</v>
      </c>
      <c r="B573">
        <f t="shared" ca="1" si="73"/>
        <v>-0.50832436236527545</v>
      </c>
      <c r="C573">
        <f t="shared" ca="1" si="77"/>
        <v>-19.98466161264189</v>
      </c>
      <c r="D573" s="22">
        <f t="shared" ca="1" si="74"/>
        <v>0.35059086509692367</v>
      </c>
      <c r="F573">
        <f t="shared" si="75"/>
        <v>0.56700000000000039</v>
      </c>
      <c r="G573">
        <f t="shared" ca="1" si="76"/>
        <v>-4.5851695842383973E-2</v>
      </c>
      <c r="H573">
        <f t="shared" ca="1" si="78"/>
        <v>-4.585445730923858E-2</v>
      </c>
      <c r="I573">
        <f t="shared" ca="1" si="79"/>
        <v>9.9211665168287746E-3</v>
      </c>
      <c r="J573" s="5">
        <f t="shared" ca="1" si="80"/>
        <v>5.5775623826067357E-2</v>
      </c>
    </row>
    <row r="574" spans="1:10" x14ac:dyDescent="0.2">
      <c r="A574">
        <f t="shared" ca="1" si="72"/>
        <v>0.31578185988029317</v>
      </c>
      <c r="B574">
        <f t="shared" ca="1" si="73"/>
        <v>-0.47952706357297764</v>
      </c>
      <c r="C574">
        <f t="shared" ca="1" si="77"/>
        <v>-20.464188676214867</v>
      </c>
      <c r="D574" s="22">
        <f t="shared" ca="1" si="74"/>
        <v>0.35561320715395689</v>
      </c>
      <c r="F574">
        <f t="shared" si="75"/>
        <v>0.56800000000000039</v>
      </c>
      <c r="G574">
        <f t="shared" ca="1" si="76"/>
        <v>-4.7444493807470928E-2</v>
      </c>
      <c r="H574">
        <f t="shared" ca="1" si="78"/>
        <v>-4.7447334638734705E-2</v>
      </c>
      <c r="I574">
        <f t="shared" ca="1" si="79"/>
        <v>9.9061724636172032E-3</v>
      </c>
      <c r="J574" s="5">
        <f t="shared" ca="1" si="80"/>
        <v>5.735350710235191E-2</v>
      </c>
    </row>
    <row r="575" spans="1:10" x14ac:dyDescent="0.2">
      <c r="A575">
        <f t="shared" ca="1" si="72"/>
        <v>8.1973411492901493E-2</v>
      </c>
      <c r="B575">
        <f t="shared" ca="1" si="73"/>
        <v>-1.3919193454136933</v>
      </c>
      <c r="C575">
        <f t="shared" ca="1" si="77"/>
        <v>-21.856108021628561</v>
      </c>
      <c r="D575" s="22">
        <f t="shared" ca="1" si="74"/>
        <v>0.15142599347876057</v>
      </c>
      <c r="F575">
        <f t="shared" si="75"/>
        <v>0.56900000000000039</v>
      </c>
      <c r="G575">
        <f t="shared" ca="1" si="76"/>
        <v>-4.8946071999144039E-2</v>
      </c>
      <c r="H575">
        <f t="shared" ca="1" si="78"/>
        <v>-4.8948987625853806E-2</v>
      </c>
      <c r="I575">
        <f t="shared" ca="1" si="79"/>
        <v>9.892101854992218E-3</v>
      </c>
      <c r="J575" s="5">
        <f t="shared" ca="1" si="80"/>
        <v>5.8841089480846022E-2</v>
      </c>
    </row>
    <row r="576" spans="1:10" x14ac:dyDescent="0.2">
      <c r="A576">
        <f t="shared" ca="1" si="72"/>
        <v>0.10043971272426055</v>
      </c>
      <c r="B576">
        <f t="shared" ca="1" si="73"/>
        <v>-1.2790500674450946</v>
      </c>
      <c r="C576">
        <f t="shared" ca="1" si="77"/>
        <v>-23.135158089073656</v>
      </c>
      <c r="D576" s="22">
        <f t="shared" ca="1" si="74"/>
        <v>0.17606129619881866</v>
      </c>
      <c r="F576">
        <f t="shared" si="75"/>
        <v>0.5700000000000004</v>
      </c>
      <c r="G576">
        <f t="shared" ca="1" si="76"/>
        <v>-5.3332593514804717E-2</v>
      </c>
      <c r="H576">
        <f t="shared" ca="1" si="78"/>
        <v>-5.3335728177849137E-2</v>
      </c>
      <c r="I576">
        <f t="shared" ca="1" si="79"/>
        <v>9.8495917818582131E-3</v>
      </c>
      <c r="J576" s="5">
        <f t="shared" ca="1" si="80"/>
        <v>6.3185319959707345E-2</v>
      </c>
    </row>
    <row r="577" spans="1:10" x14ac:dyDescent="0.2">
      <c r="A577">
        <f t="shared" ca="1" si="72"/>
        <v>6.8296580266349327E-3</v>
      </c>
      <c r="B577">
        <f t="shared" ca="1" si="73"/>
        <v>-2.466100088482134</v>
      </c>
      <c r="C577">
        <f t="shared" ca="1" si="77"/>
        <v>-25.601258177555788</v>
      </c>
      <c r="D577" s="22">
        <f t="shared" ca="1" si="74"/>
        <v>1.9067625989216373E-2</v>
      </c>
      <c r="F577">
        <f t="shared" si="75"/>
        <v>0.5710000000000004</v>
      </c>
      <c r="G577">
        <f t="shared" ca="1" si="76"/>
        <v>-5.7361770249462526E-2</v>
      </c>
      <c r="H577">
        <f t="shared" ca="1" si="78"/>
        <v>-5.7365106059549836E-2</v>
      </c>
      <c r="I577">
        <f t="shared" ca="1" si="79"/>
        <v>9.810765463227707E-3</v>
      </c>
      <c r="J577" s="5">
        <f t="shared" ca="1" si="80"/>
        <v>6.7175871522777542E-2</v>
      </c>
    </row>
    <row r="578" spans="1:10" x14ac:dyDescent="0.2">
      <c r="A578">
        <f t="shared" ca="1" si="72"/>
        <v>0.22288174840896113</v>
      </c>
      <c r="B578">
        <f t="shared" ca="1" si="73"/>
        <v>-0.76249689298704082</v>
      </c>
      <c r="C578">
        <f t="shared" ca="1" si="77"/>
        <v>-26.36375507054283</v>
      </c>
      <c r="D578" s="22">
        <f t="shared" ca="1" si="74"/>
        <v>0.29830486183722088</v>
      </c>
      <c r="F578">
        <f t="shared" si="75"/>
        <v>0.5720000000000004</v>
      </c>
      <c r="G578">
        <f t="shared" ca="1" si="76"/>
        <v>-6.5144138168351795E-2</v>
      </c>
      <c r="H578">
        <f t="shared" ca="1" si="78"/>
        <v>-6.5147862766490192E-2</v>
      </c>
      <c r="I578">
        <f t="shared" ca="1" si="79"/>
        <v>9.7354786560438344E-3</v>
      </c>
      <c r="J578" s="5">
        <f t="shared" ca="1" si="80"/>
        <v>7.4883341422534028E-2</v>
      </c>
    </row>
    <row r="579" spans="1:10" x14ac:dyDescent="0.2">
      <c r="A579">
        <f t="shared" ca="1" si="72"/>
        <v>0.88059640622912005</v>
      </c>
      <c r="B579">
        <f t="shared" ca="1" si="73"/>
        <v>1.1779734585629407</v>
      </c>
      <c r="C579">
        <f t="shared" ca="1" si="77"/>
        <v>-25.185781611979888</v>
      </c>
      <c r="D579" s="22">
        <f t="shared" ca="1" si="74"/>
        <v>0.19933882423610352</v>
      </c>
      <c r="F579">
        <f t="shared" si="75"/>
        <v>0.5730000000000004</v>
      </c>
      <c r="G579">
        <f t="shared" ca="1" si="76"/>
        <v>-6.7538730914547485E-2</v>
      </c>
      <c r="H579">
        <f t="shared" ca="1" si="78"/>
        <v>-6.7542574870854258E-2</v>
      </c>
      <c r="I579">
        <f t="shared" ca="1" si="79"/>
        <v>9.7129551734052248E-3</v>
      </c>
      <c r="J579" s="5">
        <f t="shared" ca="1" si="80"/>
        <v>7.7255530044259488E-2</v>
      </c>
    </row>
    <row r="580" spans="1:10" x14ac:dyDescent="0.2">
      <c r="A580">
        <f t="shared" ca="1" si="72"/>
        <v>0.28530894846021548</v>
      </c>
      <c r="B580">
        <f t="shared" ca="1" si="73"/>
        <v>-0.56714172455387823</v>
      </c>
      <c r="C580">
        <f t="shared" ca="1" si="77"/>
        <v>-25.752923336533765</v>
      </c>
      <c r="D580" s="22">
        <f t="shared" ca="1" si="74"/>
        <v>0.33967588308892749</v>
      </c>
      <c r="F580">
        <f t="shared" si="75"/>
        <v>0.5740000000000004</v>
      </c>
      <c r="G580">
        <f t="shared" ca="1" si="76"/>
        <v>-6.3797084973034254E-2</v>
      </c>
      <c r="H580">
        <f t="shared" ca="1" si="78"/>
        <v>-6.3800741461082305E-2</v>
      </c>
      <c r="I580">
        <f t="shared" ca="1" si="79"/>
        <v>9.7501303919006379E-3</v>
      </c>
      <c r="J580" s="5">
        <f t="shared" ca="1" si="80"/>
        <v>7.3550871852982938E-2</v>
      </c>
    </row>
    <row r="581" spans="1:10" x14ac:dyDescent="0.2">
      <c r="A581">
        <f t="shared" ca="1" si="72"/>
        <v>1.9170458310576621E-2</v>
      </c>
      <c r="B581">
        <f t="shared" ca="1" si="73"/>
        <v>-2.0711913608995838</v>
      </c>
      <c r="C581">
        <f t="shared" ca="1" si="77"/>
        <v>-27.824114697433348</v>
      </c>
      <c r="D581" s="22">
        <f t="shared" ca="1" si="74"/>
        <v>4.6707274295569583E-2</v>
      </c>
      <c r="F581">
        <f t="shared" si="75"/>
        <v>0.5750000000000004</v>
      </c>
      <c r="G581">
        <f t="shared" ca="1" si="76"/>
        <v>-6.55740760199571E-2</v>
      </c>
      <c r="H581">
        <f t="shared" ca="1" si="78"/>
        <v>-6.5577820992642297E-2</v>
      </c>
      <c r="I581">
        <f t="shared" ca="1" si="79"/>
        <v>9.7335842447385645E-3</v>
      </c>
      <c r="J581" s="5">
        <f t="shared" ca="1" si="80"/>
        <v>7.5311405237380863E-2</v>
      </c>
    </row>
    <row r="582" spans="1:10" x14ac:dyDescent="0.2">
      <c r="A582">
        <f t="shared" ca="1" si="72"/>
        <v>0.66823403600150977</v>
      </c>
      <c r="B582">
        <f t="shared" ca="1" si="73"/>
        <v>0.43504201897699785</v>
      </c>
      <c r="C582">
        <f t="shared" ca="1" si="77"/>
        <v>-27.389072678456351</v>
      </c>
      <c r="D582" s="22">
        <f t="shared" ca="1" si="74"/>
        <v>0.36292128558767284</v>
      </c>
      <c r="F582">
        <f t="shared" si="75"/>
        <v>0.5760000000000004</v>
      </c>
      <c r="G582">
        <f t="shared" ca="1" si="76"/>
        <v>-7.2106874140240432E-2</v>
      </c>
      <c r="H582">
        <f t="shared" ca="1" si="78"/>
        <v>-7.2110945381049535E-2</v>
      </c>
      <c r="I582">
        <f t="shared" ca="1" si="79"/>
        <v>9.6709593812814697E-3</v>
      </c>
      <c r="J582" s="5">
        <f t="shared" ca="1" si="80"/>
        <v>8.1781904762331006E-2</v>
      </c>
    </row>
    <row r="583" spans="1:10" x14ac:dyDescent="0.2">
      <c r="A583">
        <f t="shared" ref="A583:A646" ca="1" si="81">RAND()</f>
        <v>0.4397705294939348</v>
      </c>
      <c r="B583">
        <f t="shared" ref="B583:B646" ca="1" si="82">NORMSINV(A583)</f>
        <v>-0.15155103069400466</v>
      </c>
      <c r="C583">
        <f t="shared" ca="1" si="77"/>
        <v>-27.540623709150356</v>
      </c>
      <c r="D583" s="22">
        <f t="shared" ref="D583:D646" ca="1" si="83">_xlfn.NORM.DIST(B583,0,1,FALSE)</f>
        <v>0.39438708976267428</v>
      </c>
      <c r="F583">
        <f t="shared" ref="F583:F646" si="84">F582+$M$2/$N$2</f>
        <v>0.5770000000000004</v>
      </c>
      <c r="G583">
        <f t="shared" ref="G583:G646" ca="1" si="85">G582*EXP(-$M$4*$O$2) + $O$4*(1-EXP(-$M$4*$O$2)) + $N$4* SQRT((1-EXP(-2*$M$4*$O$2))/(2*$M$4)) *B582</f>
        <v>-7.0714009438803516E-2</v>
      </c>
      <c r="H583">
        <f t="shared" ca="1" si="78"/>
        <v>-7.0718010628665923E-2</v>
      </c>
      <c r="I583">
        <f t="shared" ca="1" si="79"/>
        <v>9.68519315444538E-3</v>
      </c>
      <c r="J583" s="5">
        <f t="shared" ca="1" si="80"/>
        <v>8.0403203783111304E-2</v>
      </c>
    </row>
    <row r="584" spans="1:10" x14ac:dyDescent="0.2">
      <c r="A584">
        <f t="shared" ca="1" si="81"/>
        <v>0.9947346103945307</v>
      </c>
      <c r="B584">
        <f t="shared" ca="1" si="82"/>
        <v>2.5578953034413057</v>
      </c>
      <c r="C584">
        <f t="shared" ref="C584:C647" ca="1" si="86">B584+C583</f>
        <v>-24.98272840570905</v>
      </c>
      <c r="D584" s="22">
        <f t="shared" ca="1" si="83"/>
        <v>1.5140943343508817E-2</v>
      </c>
      <c r="F584">
        <f t="shared" si="84"/>
        <v>0.5780000000000004</v>
      </c>
      <c r="G584">
        <f t="shared" ca="1" si="85"/>
        <v>-7.1176161368816826E-2</v>
      </c>
      <c r="H584">
        <f t="shared" ref="H584:H647" ca="1" si="87">H583+($M$6 + $N$6*H583)*$O$2 + $O$6*H583^$P$6*SQRT($O$2)*B583</f>
        <v>-7.1180185266342205E-2</v>
      </c>
      <c r="I584">
        <f t="shared" ref="I584:I647" ca="1" si="88">I583*EXP(($M$8-0.5*($N$8^2))*$O$2 + $N$8*SQRT($O$2)*B583)</f>
        <v>9.6814723683624638E-3</v>
      </c>
      <c r="J584" s="5">
        <f t="shared" ref="J584:J647" ca="1" si="89">ABS(H584-I584)</f>
        <v>8.0861657634704667E-2</v>
      </c>
    </row>
    <row r="585" spans="1:10" x14ac:dyDescent="0.2">
      <c r="A585">
        <f t="shared" ca="1" si="81"/>
        <v>0.50009088150383552</v>
      </c>
      <c r="B585">
        <f t="shared" ca="1" si="82"/>
        <v>2.2780614912544774E-4</v>
      </c>
      <c r="C585">
        <f t="shared" ca="1" si="86"/>
        <v>-24.982500599559923</v>
      </c>
      <c r="D585" s="22">
        <f t="shared" ca="1" si="83"/>
        <v>0.39894227004975003</v>
      </c>
      <c r="F585">
        <f t="shared" si="84"/>
        <v>0.5790000000000004</v>
      </c>
      <c r="G585">
        <f t="shared" ca="1" si="85"/>
        <v>-6.3070673855318046E-2</v>
      </c>
      <c r="H585">
        <f t="shared" ca="1" si="87"/>
        <v>-6.3074292072693508E-2</v>
      </c>
      <c r="I585">
        <f t="shared" ca="1" si="88"/>
        <v>9.7610284521245233E-3</v>
      </c>
      <c r="J585" s="5">
        <f t="shared" ca="1" si="89"/>
        <v>7.2835320524818031E-2</v>
      </c>
    </row>
    <row r="586" spans="1:10" x14ac:dyDescent="0.2">
      <c r="A586">
        <f t="shared" ca="1" si="81"/>
        <v>0.90795964596506706</v>
      </c>
      <c r="B586">
        <f t="shared" ca="1" si="82"/>
        <v>1.3282948873789453</v>
      </c>
      <c r="C586">
        <f t="shared" ca="1" si="86"/>
        <v>-23.654205712180978</v>
      </c>
      <c r="D586" s="22">
        <f t="shared" ca="1" si="83"/>
        <v>0.1651134959795946</v>
      </c>
      <c r="F586">
        <f t="shared" si="84"/>
        <v>0.5800000000000004</v>
      </c>
      <c r="G586">
        <f t="shared" ca="1" si="85"/>
        <v>-6.3053647252980294E-2</v>
      </c>
      <c r="H586">
        <f t="shared" ca="1" si="87"/>
        <v>-6.3057264257190007E-2</v>
      </c>
      <c r="I586">
        <f t="shared" ca="1" si="88"/>
        <v>9.7619628262572214E-3</v>
      </c>
      <c r="J586" s="5">
        <f t="shared" ca="1" si="89"/>
        <v>7.2819227083447235E-2</v>
      </c>
    </row>
    <row r="587" spans="1:10" x14ac:dyDescent="0.2">
      <c r="A587">
        <f t="shared" ca="1" si="81"/>
        <v>0.62433656446516705</v>
      </c>
      <c r="B587">
        <f t="shared" ca="1" si="82"/>
        <v>0.31689026234308548</v>
      </c>
      <c r="C587">
        <f t="shared" ca="1" si="86"/>
        <v>-23.337315449837892</v>
      </c>
      <c r="D587" s="22">
        <f t="shared" ca="1" si="83"/>
        <v>0.37940605872211441</v>
      </c>
      <c r="F587">
        <f t="shared" si="84"/>
        <v>0.58100000000000041</v>
      </c>
      <c r="G587">
        <f t="shared" ca="1" si="85"/>
        <v>-5.8837115468133645E-2</v>
      </c>
      <c r="H587">
        <f t="shared" ca="1" si="87"/>
        <v>-5.8840521282289976E-2</v>
      </c>
      <c r="I587">
        <f t="shared" ca="1" si="88"/>
        <v>9.803984912003863E-3</v>
      </c>
      <c r="J587" s="5">
        <f t="shared" ca="1" si="89"/>
        <v>6.8644506194293839E-2</v>
      </c>
    </row>
    <row r="588" spans="1:10" x14ac:dyDescent="0.2">
      <c r="A588">
        <f t="shared" ca="1" si="81"/>
        <v>0.37480022786600575</v>
      </c>
      <c r="B588">
        <f t="shared" ca="1" si="82"/>
        <v>-0.31916624007102234</v>
      </c>
      <c r="C588">
        <f t="shared" ca="1" si="86"/>
        <v>-23.656481689908915</v>
      </c>
      <c r="D588" s="22">
        <f t="shared" ca="1" si="83"/>
        <v>0.37913153441527353</v>
      </c>
      <c r="F588">
        <f t="shared" si="84"/>
        <v>0.58200000000000041</v>
      </c>
      <c r="G588">
        <f t="shared" ca="1" si="85"/>
        <v>-5.7819187656075764E-2</v>
      </c>
      <c r="H588">
        <f t="shared" ca="1" si="87"/>
        <v>-5.7822542232829316E-2</v>
      </c>
      <c r="I588">
        <f t="shared" ca="1" si="88"/>
        <v>9.8147467170865785E-3</v>
      </c>
      <c r="J588" s="5">
        <f t="shared" ca="1" si="89"/>
        <v>6.76372889499159E-2</v>
      </c>
    </row>
    <row r="589" spans="1:10" x14ac:dyDescent="0.2">
      <c r="A589">
        <f t="shared" ca="1" si="81"/>
        <v>0.52150592000527496</v>
      </c>
      <c r="B589">
        <f t="shared" ca="1" si="82"/>
        <v>5.393348288999128E-2</v>
      </c>
      <c r="C589">
        <f t="shared" ca="1" si="86"/>
        <v>-23.602548207018923</v>
      </c>
      <c r="D589" s="22">
        <f t="shared" ca="1" si="83"/>
        <v>0.39836247638304023</v>
      </c>
      <c r="F589">
        <f t="shared" si="84"/>
        <v>0.58300000000000041</v>
      </c>
      <c r="G589">
        <f t="shared" ca="1" si="85"/>
        <v>-5.8812648334725381E-2</v>
      </c>
      <c r="H589">
        <f t="shared" ca="1" si="87"/>
        <v>-5.8816052249462569E-2</v>
      </c>
      <c r="I589">
        <f t="shared" ca="1" si="88"/>
        <v>9.8057772709951689E-3</v>
      </c>
      <c r="J589" s="5">
        <f t="shared" ca="1" si="89"/>
        <v>6.8621829520457742E-2</v>
      </c>
    </row>
    <row r="590" spans="1:10" x14ac:dyDescent="0.2">
      <c r="A590">
        <f t="shared" ca="1" si="81"/>
        <v>0.75432356801656963</v>
      </c>
      <c r="B590">
        <f t="shared" ca="1" si="82"/>
        <v>0.68815867558908639</v>
      </c>
      <c r="C590">
        <f t="shared" ca="1" si="86"/>
        <v>-22.914389531429837</v>
      </c>
      <c r="D590" s="22">
        <f t="shared" ca="1" si="83"/>
        <v>0.31483086697321261</v>
      </c>
      <c r="F590">
        <f t="shared" si="84"/>
        <v>0.58400000000000041</v>
      </c>
      <c r="G590">
        <f t="shared" ca="1" si="85"/>
        <v>-5.8626223743127696E-2</v>
      </c>
      <c r="H590">
        <f t="shared" ca="1" si="87"/>
        <v>-5.8629617996159525E-2</v>
      </c>
      <c r="I590">
        <f t="shared" ca="1" si="88"/>
        <v>9.808381566889476E-3</v>
      </c>
      <c r="J590" s="5">
        <f t="shared" ca="1" si="89"/>
        <v>6.8437999563048996E-2</v>
      </c>
    </row>
    <row r="591" spans="1:10" x14ac:dyDescent="0.2">
      <c r="A591">
        <f t="shared" ca="1" si="81"/>
        <v>2.7156167112940666E-2</v>
      </c>
      <c r="B591">
        <f t="shared" ca="1" si="82"/>
        <v>-1.9243371709693846</v>
      </c>
      <c r="C591">
        <f t="shared" ca="1" si="86"/>
        <v>-24.838726702399221</v>
      </c>
      <c r="D591" s="22">
        <f t="shared" ca="1" si="83"/>
        <v>6.263222813024924E-2</v>
      </c>
      <c r="F591">
        <f t="shared" si="84"/>
        <v>0.58500000000000041</v>
      </c>
      <c r="G591">
        <f t="shared" ca="1" si="85"/>
        <v>-5.6434321910298513E-2</v>
      </c>
      <c r="H591">
        <f t="shared" ca="1" si="87"/>
        <v>-5.6437606227893483E-2</v>
      </c>
      <c r="I591">
        <f t="shared" ca="1" si="88"/>
        <v>9.8306831765293499E-3</v>
      </c>
      <c r="J591" s="5">
        <f t="shared" ca="1" si="89"/>
        <v>6.6268289404422837E-2</v>
      </c>
    </row>
    <row r="592" spans="1:10" x14ac:dyDescent="0.2">
      <c r="A592">
        <f t="shared" ca="1" si="81"/>
        <v>0.80741637804096544</v>
      </c>
      <c r="B592">
        <f t="shared" ca="1" si="82"/>
        <v>0.86841489448830678</v>
      </c>
      <c r="C592">
        <f t="shared" ca="1" si="86"/>
        <v>-23.970311807910914</v>
      </c>
      <c r="D592" s="22">
        <f t="shared" ca="1" si="83"/>
        <v>0.27362116255937963</v>
      </c>
      <c r="F592">
        <f t="shared" si="84"/>
        <v>0.58600000000000041</v>
      </c>
      <c r="G592">
        <f t="shared" ca="1" si="85"/>
        <v>-6.2503663454895941E-2</v>
      </c>
      <c r="H592">
        <f t="shared" ca="1" si="87"/>
        <v>-6.2507250913658802E-2</v>
      </c>
      <c r="I592">
        <f t="shared" ca="1" si="88"/>
        <v>9.7719705769483134E-3</v>
      </c>
      <c r="J592" s="5">
        <f t="shared" ca="1" si="89"/>
        <v>7.2279221490607115E-2</v>
      </c>
    </row>
    <row r="593" spans="1:10" x14ac:dyDescent="0.2">
      <c r="A593">
        <f t="shared" ca="1" si="81"/>
        <v>0.63862354571340763</v>
      </c>
      <c r="B593">
        <f t="shared" ca="1" si="82"/>
        <v>0.35478200756739692</v>
      </c>
      <c r="C593">
        <f t="shared" ca="1" si="86"/>
        <v>-23.615529800343516</v>
      </c>
      <c r="D593" s="22">
        <f t="shared" ca="1" si="83"/>
        <v>0.37460854821506606</v>
      </c>
      <c r="F593">
        <f t="shared" si="84"/>
        <v>0.58700000000000041</v>
      </c>
      <c r="G593">
        <f t="shared" ca="1" si="85"/>
        <v>-5.974138218317393E-2</v>
      </c>
      <c r="H593">
        <f t="shared" ca="1" si="87"/>
        <v>-5.9744831167969581E-2</v>
      </c>
      <c r="I593">
        <f t="shared" ca="1" si="88"/>
        <v>9.7997738752537318E-3</v>
      </c>
      <c r="J593" s="5">
        <f t="shared" ca="1" si="89"/>
        <v>6.9544605043223309E-2</v>
      </c>
    </row>
    <row r="594" spans="1:10" x14ac:dyDescent="0.2">
      <c r="A594">
        <f t="shared" ca="1" si="81"/>
        <v>0.62213434890837682</v>
      </c>
      <c r="B594">
        <f t="shared" ca="1" si="82"/>
        <v>0.31109118510248718</v>
      </c>
      <c r="C594">
        <f t="shared" ca="1" si="86"/>
        <v>-23.304438615241029</v>
      </c>
      <c r="D594" s="22">
        <f t="shared" ca="1" si="83"/>
        <v>0.38009753204076802</v>
      </c>
      <c r="F594">
        <f t="shared" si="84"/>
        <v>0.58800000000000041</v>
      </c>
      <c r="G594">
        <f t="shared" ca="1" si="85"/>
        <v>-5.8603545720499445E-2</v>
      </c>
      <c r="H594">
        <f t="shared" ca="1" si="87"/>
        <v>-5.8606937468092715E-2</v>
      </c>
      <c r="I594">
        <f t="shared" ca="1" si="88"/>
        <v>9.8117066675519615E-3</v>
      </c>
      <c r="J594" s="5">
        <f t="shared" ca="1" si="89"/>
        <v>6.8418644135644677E-2</v>
      </c>
    </row>
    <row r="595" spans="1:10" x14ac:dyDescent="0.2">
      <c r="A595">
        <f t="shared" ca="1" si="81"/>
        <v>6.6235393062706649E-2</v>
      </c>
      <c r="B595">
        <f t="shared" ca="1" si="82"/>
        <v>-1.5044296054408415</v>
      </c>
      <c r="C595">
        <f t="shared" ca="1" si="86"/>
        <v>-24.80886822068187</v>
      </c>
      <c r="D595" s="22">
        <f t="shared" ca="1" si="83"/>
        <v>0.12865861831882294</v>
      </c>
      <c r="F595">
        <f t="shared" si="84"/>
        <v>0.58900000000000041</v>
      </c>
      <c r="G595">
        <f t="shared" ca="1" si="85"/>
        <v>-5.7603978639779632E-2</v>
      </c>
      <c r="H595">
        <f t="shared" ca="1" si="87"/>
        <v>-5.7607320069421007E-2</v>
      </c>
      <c r="I595">
        <f t="shared" ca="1" si="88"/>
        <v>9.8222968229799319E-3</v>
      </c>
      <c r="J595" s="5">
        <f t="shared" ca="1" si="89"/>
        <v>6.7429616892400943E-2</v>
      </c>
    </row>
    <row r="596" spans="1:10" x14ac:dyDescent="0.2">
      <c r="A596">
        <f t="shared" ca="1" si="81"/>
        <v>0.86495109870515663</v>
      </c>
      <c r="B596">
        <f t="shared" ca="1" si="82"/>
        <v>1.1028373555657445</v>
      </c>
      <c r="C596">
        <f t="shared" ca="1" si="86"/>
        <v>-23.706030865116126</v>
      </c>
      <c r="D596" s="22">
        <f t="shared" ca="1" si="83"/>
        <v>0.21717242632120404</v>
      </c>
      <c r="F596">
        <f t="shared" si="84"/>
        <v>0.59000000000000041</v>
      </c>
      <c r="G596">
        <f t="shared" ca="1" si="85"/>
        <v>-6.2345405301195027E-2</v>
      </c>
      <c r="H596">
        <f t="shared" ca="1" si="87"/>
        <v>-6.2348983469995567E-2</v>
      </c>
      <c r="I596">
        <f t="shared" ca="1" si="88"/>
        <v>9.7766077030293861E-3</v>
      </c>
      <c r="J596" s="5">
        <f t="shared" ca="1" si="89"/>
        <v>7.2125591173024958E-2</v>
      </c>
    </row>
    <row r="597" spans="1:10" x14ac:dyDescent="0.2">
      <c r="A597">
        <f t="shared" ca="1" si="81"/>
        <v>0.27955365318447645</v>
      </c>
      <c r="B597">
        <f t="shared" ca="1" si="82"/>
        <v>-0.58416797352831085</v>
      </c>
      <c r="C597">
        <f t="shared" ca="1" si="86"/>
        <v>-24.290198838644436</v>
      </c>
      <c r="D597" s="22">
        <f t="shared" ca="1" si="83"/>
        <v>0.336362899491089</v>
      </c>
      <c r="F597">
        <f t="shared" si="84"/>
        <v>0.59100000000000041</v>
      </c>
      <c r="G597">
        <f t="shared" ca="1" si="85"/>
        <v>-5.8841868006691507E-2</v>
      </c>
      <c r="H597">
        <f t="shared" ca="1" si="87"/>
        <v>-5.8845270639343847E-2</v>
      </c>
      <c r="I597">
        <f t="shared" ca="1" si="88"/>
        <v>9.8116949965794276E-3</v>
      </c>
      <c r="J597" s="5">
        <f t="shared" ca="1" si="89"/>
        <v>6.8656965635923273E-2</v>
      </c>
    </row>
    <row r="598" spans="1:10" x14ac:dyDescent="0.2">
      <c r="A598">
        <f t="shared" ca="1" si="81"/>
        <v>0.91369189515233462</v>
      </c>
      <c r="B598">
        <f t="shared" ca="1" si="82"/>
        <v>1.3638454584553135</v>
      </c>
      <c r="C598">
        <f t="shared" ca="1" si="86"/>
        <v>-22.926353380189123</v>
      </c>
      <c r="D598" s="22">
        <f t="shared" ca="1" si="83"/>
        <v>0.15739829891177248</v>
      </c>
      <c r="F598">
        <f t="shared" si="84"/>
        <v>0.59200000000000041</v>
      </c>
      <c r="G598">
        <f t="shared" ca="1" si="85"/>
        <v>-6.0673193585329868E-2</v>
      </c>
      <c r="H598">
        <f t="shared" ca="1" si="87"/>
        <v>-6.0676687444754324E-2</v>
      </c>
      <c r="I598">
        <f t="shared" ca="1" si="88"/>
        <v>9.7945170052671261E-3</v>
      </c>
      <c r="J598" s="5">
        <f t="shared" ca="1" si="89"/>
        <v>7.0471204450021446E-2</v>
      </c>
    </row>
    <row r="599" spans="1:10" x14ac:dyDescent="0.2">
      <c r="A599">
        <f t="shared" ca="1" si="81"/>
        <v>0.57475280312221866</v>
      </c>
      <c r="B599">
        <f t="shared" ca="1" si="82"/>
        <v>0.1884876527133979</v>
      </c>
      <c r="C599">
        <f t="shared" ca="1" si="86"/>
        <v>-22.737865727475725</v>
      </c>
      <c r="D599" s="22">
        <f t="shared" ca="1" si="83"/>
        <v>0.39191812303472895</v>
      </c>
      <c r="F599">
        <f t="shared" si="84"/>
        <v>0.59300000000000042</v>
      </c>
      <c r="G599">
        <f t="shared" ca="1" si="85"/>
        <v>-5.6344484678031721E-2</v>
      </c>
      <c r="H599">
        <f t="shared" ca="1" si="87"/>
        <v>-5.6347761750814504E-2</v>
      </c>
      <c r="I599">
        <f t="shared" ca="1" si="88"/>
        <v>9.8377851354837578E-3</v>
      </c>
      <c r="J599" s="5">
        <f t="shared" ca="1" si="89"/>
        <v>6.6185546886298269E-2</v>
      </c>
    </row>
    <row r="600" spans="1:10" x14ac:dyDescent="0.2">
      <c r="A600">
        <f t="shared" ca="1" si="81"/>
        <v>0.92981321197396982</v>
      </c>
      <c r="B600">
        <f t="shared" ca="1" si="82"/>
        <v>1.4744012947854568</v>
      </c>
      <c r="C600">
        <f t="shared" ca="1" si="86"/>
        <v>-21.26346443269027</v>
      </c>
      <c r="D600" s="22">
        <f t="shared" ca="1" si="83"/>
        <v>0.13454344482610389</v>
      </c>
      <c r="F600">
        <f t="shared" si="84"/>
        <v>0.59400000000000042</v>
      </c>
      <c r="G600">
        <f t="shared" ca="1" si="85"/>
        <v>-5.5732830519140089E-2</v>
      </c>
      <c r="H600">
        <f t="shared" ca="1" si="87"/>
        <v>-5.573607668124627E-2</v>
      </c>
      <c r="I600">
        <f t="shared" ca="1" si="88"/>
        <v>9.8445858893488076E-3</v>
      </c>
      <c r="J600" s="5">
        <f t="shared" ca="1" si="89"/>
        <v>6.5580662570595083E-2</v>
      </c>
    </row>
    <row r="601" spans="1:10" x14ac:dyDescent="0.2">
      <c r="A601">
        <f t="shared" ca="1" si="81"/>
        <v>0.70952789147236295</v>
      </c>
      <c r="B601">
        <f t="shared" ca="1" si="82"/>
        <v>0.55200603711435481</v>
      </c>
      <c r="C601">
        <f t="shared" ca="1" si="86"/>
        <v>-20.711458395575914</v>
      </c>
      <c r="D601" s="22">
        <f t="shared" ca="1" si="83"/>
        <v>0.34256499744928826</v>
      </c>
      <c r="F601">
        <f t="shared" si="84"/>
        <v>0.59500000000000042</v>
      </c>
      <c r="G601">
        <f t="shared" ca="1" si="85"/>
        <v>-5.1055024851703781E-2</v>
      </c>
      <c r="H601">
        <f t="shared" ca="1" si="87"/>
        <v>-5.1058036796954767E-2</v>
      </c>
      <c r="I601">
        <f t="shared" ca="1" si="88"/>
        <v>9.8915327602546958E-3</v>
      </c>
      <c r="J601" s="5">
        <f t="shared" ca="1" si="89"/>
        <v>6.0949569557209461E-2</v>
      </c>
    </row>
    <row r="602" spans="1:10" x14ac:dyDescent="0.2">
      <c r="A602">
        <f t="shared" ca="1" si="81"/>
        <v>4.9066799895177926E-2</v>
      </c>
      <c r="B602">
        <f t="shared" ca="1" si="82"/>
        <v>-1.6539700420779069</v>
      </c>
      <c r="C602">
        <f t="shared" ca="1" si="86"/>
        <v>-22.365428437653822</v>
      </c>
      <c r="D602" s="22">
        <f t="shared" ca="1" si="83"/>
        <v>0.10159641973877215</v>
      </c>
      <c r="F602">
        <f t="shared" si="84"/>
        <v>0.59600000000000042</v>
      </c>
      <c r="G602">
        <f t="shared" ca="1" si="85"/>
        <v>-4.9294411021205228E-2</v>
      </c>
      <c r="H602">
        <f t="shared" ca="1" si="87"/>
        <v>-4.9297334633830271E-2</v>
      </c>
      <c r="I602">
        <f t="shared" ca="1" si="88"/>
        <v>9.9097558449695693E-3</v>
      </c>
      <c r="J602" s="5">
        <f t="shared" ca="1" si="89"/>
        <v>5.9207090478799837E-2</v>
      </c>
    </row>
    <row r="603" spans="1:10" x14ac:dyDescent="0.2">
      <c r="A603">
        <f t="shared" ca="1" si="81"/>
        <v>0.22366645288695264</v>
      </c>
      <c r="B603">
        <f t="shared" ca="1" si="82"/>
        <v>-0.75986897920642971</v>
      </c>
      <c r="C603">
        <f t="shared" ca="1" si="86"/>
        <v>-23.125297416860253</v>
      </c>
      <c r="D603" s="22">
        <f t="shared" ca="1" si="83"/>
        <v>0.29890216515200208</v>
      </c>
      <c r="F603">
        <f t="shared" si="84"/>
        <v>0.59700000000000042</v>
      </c>
      <c r="G603">
        <f t="shared" ca="1" si="85"/>
        <v>-5.450953333647128E-2</v>
      </c>
      <c r="H603">
        <f t="shared" ca="1" si="87"/>
        <v>-5.4512717415017606E-2</v>
      </c>
      <c r="I603">
        <f t="shared" ca="1" si="88"/>
        <v>9.8589965956154546E-3</v>
      </c>
      <c r="J603" s="5">
        <f t="shared" ca="1" si="89"/>
        <v>6.437171401063306E-2</v>
      </c>
    </row>
    <row r="604" spans="1:10" x14ac:dyDescent="0.2">
      <c r="A604">
        <f t="shared" ca="1" si="81"/>
        <v>0.52953075879354539</v>
      </c>
      <c r="B604">
        <f t="shared" ca="1" si="82"/>
        <v>7.4090364237826375E-2</v>
      </c>
      <c r="C604">
        <f t="shared" ca="1" si="86"/>
        <v>-23.051207052622427</v>
      </c>
      <c r="D604" s="22">
        <f t="shared" ca="1" si="83"/>
        <v>0.39784880840820136</v>
      </c>
      <c r="F604">
        <f t="shared" si="84"/>
        <v>0.59800000000000042</v>
      </c>
      <c r="G604">
        <f t="shared" ca="1" si="85"/>
        <v>-5.6896879712429974E-2</v>
      </c>
      <c r="H604">
        <f t="shared" ca="1" si="87"/>
        <v>-5.6900182840875543E-2</v>
      </c>
      <c r="I604">
        <f t="shared" ca="1" si="88"/>
        <v>9.8362690894344944E-3</v>
      </c>
      <c r="J604" s="5">
        <f t="shared" ca="1" si="89"/>
        <v>6.673645193031004E-2</v>
      </c>
    </row>
    <row r="605" spans="1:10" x14ac:dyDescent="0.2">
      <c r="A605">
        <f t="shared" ca="1" si="81"/>
        <v>0.9716697273127104</v>
      </c>
      <c r="B605">
        <f t="shared" ca="1" si="82"/>
        <v>1.9059203114239991</v>
      </c>
      <c r="C605">
        <f t="shared" ca="1" si="86"/>
        <v>-21.145286741198429</v>
      </c>
      <c r="D605" s="22">
        <f t="shared" ca="1" si="83"/>
        <v>6.4880727907143693E-2</v>
      </c>
      <c r="F605">
        <f t="shared" si="84"/>
        <v>0.59900000000000042</v>
      </c>
      <c r="G605">
        <f t="shared" ca="1" si="85"/>
        <v>-5.6646908219481054E-2</v>
      </c>
      <c r="H605">
        <f t="shared" ca="1" si="87"/>
        <v>-5.6650198518928441E-2</v>
      </c>
      <c r="I605">
        <f t="shared" ca="1" si="88"/>
        <v>9.8395086501701177E-3</v>
      </c>
      <c r="J605" s="5">
        <f t="shared" ca="1" si="89"/>
        <v>6.6489707169098564E-2</v>
      </c>
    </row>
    <row r="606" spans="1:10" x14ac:dyDescent="0.2">
      <c r="A606">
        <f t="shared" ca="1" si="81"/>
        <v>0.88747667675787567</v>
      </c>
      <c r="B606">
        <f t="shared" ca="1" si="82"/>
        <v>1.2132175748569343</v>
      </c>
      <c r="C606">
        <f t="shared" ca="1" si="86"/>
        <v>-19.932069166341496</v>
      </c>
      <c r="D606" s="22">
        <f t="shared" ca="1" si="83"/>
        <v>0.19111365507212516</v>
      </c>
      <c r="F606">
        <f t="shared" si="84"/>
        <v>0.60000000000000042</v>
      </c>
      <c r="G606">
        <f t="shared" ca="1" si="85"/>
        <v>-5.0604496428895612E-2</v>
      </c>
      <c r="H606">
        <f t="shared" ca="1" si="87"/>
        <v>-5.0607484276199273E-2</v>
      </c>
      <c r="I606">
        <f t="shared" ca="1" si="88"/>
        <v>9.8999313731800067E-3</v>
      </c>
      <c r="J606" s="5">
        <f t="shared" ca="1" si="89"/>
        <v>6.0507415649379281E-2</v>
      </c>
    </row>
    <row r="607" spans="1:10" x14ac:dyDescent="0.2">
      <c r="A607">
        <f t="shared" ca="1" si="81"/>
        <v>0.77674626318325368</v>
      </c>
      <c r="B607">
        <f t="shared" ca="1" si="82"/>
        <v>0.76125047761466669</v>
      </c>
      <c r="C607">
        <f t="shared" ca="1" si="86"/>
        <v>-19.170818688726829</v>
      </c>
      <c r="D607" s="22">
        <f t="shared" ca="1" si="83"/>
        <v>0.29858826997965876</v>
      </c>
      <c r="F607">
        <f t="shared" si="84"/>
        <v>0.60100000000000042</v>
      </c>
      <c r="G607">
        <f t="shared" ca="1" si="85"/>
        <v>-4.6753097716905639E-2</v>
      </c>
      <c r="H607">
        <f t="shared" ca="1" si="87"/>
        <v>-4.6755892693877907E-2</v>
      </c>
      <c r="I607">
        <f t="shared" ca="1" si="88"/>
        <v>9.9389298702909409E-3</v>
      </c>
      <c r="J607" s="5">
        <f t="shared" ca="1" si="89"/>
        <v>5.6694822564168849E-2</v>
      </c>
    </row>
    <row r="608" spans="1:10" x14ac:dyDescent="0.2">
      <c r="A608">
        <f t="shared" ca="1" si="81"/>
        <v>0.80115013230686549</v>
      </c>
      <c r="B608">
        <f t="shared" ca="1" si="82"/>
        <v>0.84573653775966939</v>
      </c>
      <c r="C608">
        <f t="shared" ca="1" si="86"/>
        <v>-18.325082150967159</v>
      </c>
      <c r="D608" s="22">
        <f t="shared" ca="1" si="83"/>
        <v>0.27899157943423675</v>
      </c>
      <c r="F608">
        <f t="shared" si="84"/>
        <v>0.60200000000000042</v>
      </c>
      <c r="G608">
        <f t="shared" ca="1" si="85"/>
        <v>-4.433125812097561E-2</v>
      </c>
      <c r="H608">
        <f t="shared" ca="1" si="87"/>
        <v>-4.4333931725455147E-2</v>
      </c>
      <c r="I608">
        <f t="shared" ca="1" si="88"/>
        <v>9.9638310511270794E-3</v>
      </c>
      <c r="J608" s="5">
        <f t="shared" ca="1" si="89"/>
        <v>5.4297762776582228E-2</v>
      </c>
    </row>
    <row r="609" spans="1:10" x14ac:dyDescent="0.2">
      <c r="A609">
        <f t="shared" ca="1" si="81"/>
        <v>0.10487023972514775</v>
      </c>
      <c r="B609">
        <f t="shared" ca="1" si="82"/>
        <v>-1.2542793706190729</v>
      </c>
      <c r="C609">
        <f t="shared" ca="1" si="86"/>
        <v>-19.579361521586232</v>
      </c>
      <c r="D609" s="22">
        <f t="shared" ca="1" si="83"/>
        <v>0.18167300149415122</v>
      </c>
      <c r="F609">
        <f t="shared" si="84"/>
        <v>0.60300000000000042</v>
      </c>
      <c r="G609">
        <f t="shared" ca="1" si="85"/>
        <v>-4.1642505674166649E-2</v>
      </c>
      <c r="H609">
        <f t="shared" ca="1" si="87"/>
        <v>-4.1645044572537052E-2</v>
      </c>
      <c r="I609">
        <f t="shared" ca="1" si="88"/>
        <v>9.9914636664567465E-3</v>
      </c>
      <c r="J609" s="5">
        <f t="shared" ca="1" si="89"/>
        <v>5.1636508238993795E-2</v>
      </c>
    </row>
    <row r="610" spans="1:10" x14ac:dyDescent="0.2">
      <c r="A610">
        <f t="shared" ca="1" si="81"/>
        <v>0.6715702132899336</v>
      </c>
      <c r="B610">
        <f t="shared" ca="1" si="82"/>
        <v>0.44425314413837913</v>
      </c>
      <c r="C610">
        <f t="shared" ca="1" si="86"/>
        <v>-19.135108377447853</v>
      </c>
      <c r="D610" s="22">
        <f t="shared" ca="1" si="83"/>
        <v>0.36145455368159529</v>
      </c>
      <c r="F610">
        <f t="shared" si="84"/>
        <v>0.60400000000000043</v>
      </c>
      <c r="G610">
        <f t="shared" ca="1" si="85"/>
        <v>-4.5594523454388171E-2</v>
      </c>
      <c r="H610">
        <f t="shared" ca="1" si="87"/>
        <v>-4.5597259701398551E-2</v>
      </c>
      <c r="I610">
        <f t="shared" ca="1" si="88"/>
        <v>9.9528576949148538E-3</v>
      </c>
      <c r="J610" s="5">
        <f t="shared" ca="1" si="89"/>
        <v>5.5550117396313409E-2</v>
      </c>
    </row>
    <row r="611" spans="1:10" x14ac:dyDescent="0.2">
      <c r="A611">
        <f t="shared" ca="1" si="81"/>
        <v>0.76555789287903442</v>
      </c>
      <c r="B611">
        <f t="shared" ca="1" si="82"/>
        <v>0.72429570337064375</v>
      </c>
      <c r="C611">
        <f t="shared" ca="1" si="86"/>
        <v>-18.41081267407721</v>
      </c>
      <c r="D611" s="22">
        <f t="shared" ca="1" si="83"/>
        <v>0.30689774465886205</v>
      </c>
      <c r="F611">
        <f t="shared" si="84"/>
        <v>0.60500000000000043</v>
      </c>
      <c r="G611">
        <f t="shared" ca="1" si="85"/>
        <v>-4.4175183176485742E-2</v>
      </c>
      <c r="H611">
        <f t="shared" ca="1" si="87"/>
        <v>-4.4177848182260053E-2</v>
      </c>
      <c r="I611">
        <f t="shared" ca="1" si="88"/>
        <v>9.9677967067270373E-3</v>
      </c>
      <c r="J611" s="5">
        <f t="shared" ca="1" si="89"/>
        <v>5.4145644888987092E-2</v>
      </c>
    </row>
    <row r="612" spans="1:10" x14ac:dyDescent="0.2">
      <c r="A612">
        <f t="shared" ca="1" si="81"/>
        <v>0.76933125518636325</v>
      </c>
      <c r="B612">
        <f t="shared" ca="1" si="82"/>
        <v>0.73664626936142474</v>
      </c>
      <c r="C612">
        <f t="shared" ca="1" si="86"/>
        <v>-17.674166404715784</v>
      </c>
      <c r="D612" s="22">
        <f t="shared" ca="1" si="83"/>
        <v>0.30414144800884668</v>
      </c>
      <c r="F612">
        <f t="shared" si="84"/>
        <v>0.60600000000000043</v>
      </c>
      <c r="G612">
        <f t="shared" ca="1" si="85"/>
        <v>-4.1870456773329651E-2</v>
      </c>
      <c r="H612">
        <f t="shared" ca="1" si="87"/>
        <v>-4.1873006275316899E-2</v>
      </c>
      <c r="I612">
        <f t="shared" ca="1" si="88"/>
        <v>9.9916025116179065E-3</v>
      </c>
      <c r="J612" s="5">
        <f t="shared" ca="1" si="89"/>
        <v>5.1864608786934802E-2</v>
      </c>
    </row>
    <row r="613" spans="1:10" x14ac:dyDescent="0.2">
      <c r="A613">
        <f t="shared" ca="1" si="81"/>
        <v>0.24027329743690184</v>
      </c>
      <c r="B613">
        <f t="shared" ca="1" si="82"/>
        <v>-0.70542370720493319</v>
      </c>
      <c r="C613">
        <f t="shared" ca="1" si="86"/>
        <v>-18.379590111920717</v>
      </c>
      <c r="D613" s="22">
        <f t="shared" ca="1" si="83"/>
        <v>0.31106610393355388</v>
      </c>
      <c r="F613">
        <f t="shared" si="84"/>
        <v>0.60700000000000043</v>
      </c>
      <c r="G613">
        <f t="shared" ca="1" si="85"/>
        <v>-3.9526906865082131E-2</v>
      </c>
      <c r="H613">
        <f t="shared" ca="1" si="87"/>
        <v>-3.9529338933641356E-2</v>
      </c>
      <c r="I613">
        <f t="shared" ca="1" si="88"/>
        <v>1.0015856342068792E-2</v>
      </c>
      <c r="J613" s="5">
        <f t="shared" ca="1" si="89"/>
        <v>4.9545195275710149E-2</v>
      </c>
    </row>
    <row r="614" spans="1:10" x14ac:dyDescent="0.2">
      <c r="A614">
        <f t="shared" ca="1" si="81"/>
        <v>0.72021052132914964</v>
      </c>
      <c r="B614">
        <f t="shared" ca="1" si="82"/>
        <v>0.5834670126715773</v>
      </c>
      <c r="C614">
        <f t="shared" ca="1" si="86"/>
        <v>-17.79612309924914</v>
      </c>
      <c r="D614" s="22">
        <f t="shared" ca="1" si="83"/>
        <v>0.33650057852971554</v>
      </c>
      <c r="F614">
        <f t="shared" si="84"/>
        <v>0.60800000000000043</v>
      </c>
      <c r="G614">
        <f t="shared" ca="1" si="85"/>
        <v>-4.1743588969619896E-2</v>
      </c>
      <c r="H614">
        <f t="shared" ca="1" si="87"/>
        <v>-4.1746131629995312E-2</v>
      </c>
      <c r="I614">
        <f t="shared" ca="1" si="88"/>
        <v>9.994487847609904E-3</v>
      </c>
      <c r="J614" s="5">
        <f t="shared" ca="1" si="89"/>
        <v>5.1740619477605214E-2</v>
      </c>
    </row>
    <row r="615" spans="1:10" x14ac:dyDescent="0.2">
      <c r="A615">
        <f t="shared" ca="1" si="81"/>
        <v>5.3031953858744707E-2</v>
      </c>
      <c r="B615">
        <f t="shared" ca="1" si="82"/>
        <v>-1.6161406473631372</v>
      </c>
      <c r="C615">
        <f t="shared" ca="1" si="86"/>
        <v>-19.412263746612279</v>
      </c>
      <c r="D615" s="22">
        <f t="shared" ca="1" si="83"/>
        <v>0.10807889284451037</v>
      </c>
      <c r="F615">
        <f t="shared" si="84"/>
        <v>0.60900000000000043</v>
      </c>
      <c r="G615">
        <f t="shared" ca="1" si="85"/>
        <v>-3.988442287019197E-2</v>
      </c>
      <c r="H615">
        <f t="shared" ca="1" si="87"/>
        <v>-3.9886872317215806E-2</v>
      </c>
      <c r="I615">
        <f t="shared" ca="1" si="88"/>
        <v>1.0013896822002851E-2</v>
      </c>
      <c r="J615" s="5">
        <f t="shared" ca="1" si="89"/>
        <v>4.9900769139218655E-2</v>
      </c>
    </row>
    <row r="616" spans="1:10" x14ac:dyDescent="0.2">
      <c r="A616">
        <f t="shared" ca="1" si="81"/>
        <v>0.30516159777320229</v>
      </c>
      <c r="B616">
        <f t="shared" ca="1" si="82"/>
        <v>-0.50961217073223308</v>
      </c>
      <c r="C616">
        <f t="shared" ca="1" si="86"/>
        <v>-19.921875917344511</v>
      </c>
      <c r="D616" s="22">
        <f t="shared" ca="1" si="83"/>
        <v>0.35036114434888044</v>
      </c>
      <c r="F616">
        <f t="shared" si="84"/>
        <v>0.61000000000000043</v>
      </c>
      <c r="G616">
        <f t="shared" ca="1" si="85"/>
        <v>-4.498086506852382E-2</v>
      </c>
      <c r="H616">
        <f t="shared" ca="1" si="87"/>
        <v>-4.4983569094830596E-2</v>
      </c>
      <c r="I616">
        <f t="shared" ca="1" si="88"/>
        <v>9.9637960152429237E-3</v>
      </c>
      <c r="J616" s="5">
        <f t="shared" ca="1" si="89"/>
        <v>5.4947365110073518E-2</v>
      </c>
    </row>
    <row r="617" spans="1:10" x14ac:dyDescent="0.2">
      <c r="A617">
        <f t="shared" ca="1" si="81"/>
        <v>0.78997826104639091</v>
      </c>
      <c r="B617">
        <f t="shared" ca="1" si="82"/>
        <v>0.80634581955194629</v>
      </c>
      <c r="C617">
        <f t="shared" ca="1" si="86"/>
        <v>-19.115530097792565</v>
      </c>
      <c r="D617" s="22">
        <f t="shared" ca="1" si="83"/>
        <v>0.28821881196329746</v>
      </c>
      <c r="F617">
        <f t="shared" si="84"/>
        <v>0.61100000000000043</v>
      </c>
      <c r="G617">
        <f t="shared" ca="1" si="85"/>
        <v>-4.6577822316351658E-2</v>
      </c>
      <c r="H617">
        <f t="shared" ca="1" si="87"/>
        <v>-4.6580605920777569E-2</v>
      </c>
      <c r="I617">
        <f t="shared" ca="1" si="88"/>
        <v>9.9486970200035781E-3</v>
      </c>
      <c r="J617" s="5">
        <f t="shared" ca="1" si="89"/>
        <v>5.6529302940781151E-2</v>
      </c>
    </row>
    <row r="618" spans="1:10" x14ac:dyDescent="0.2">
      <c r="A618">
        <f t="shared" ca="1" si="81"/>
        <v>0.35361412661249103</v>
      </c>
      <c r="B618">
        <f t="shared" ca="1" si="82"/>
        <v>-0.37558122177827752</v>
      </c>
      <c r="C618">
        <f t="shared" ca="1" si="86"/>
        <v>-19.491111319570841</v>
      </c>
      <c r="D618" s="22">
        <f t="shared" ca="1" si="83"/>
        <v>0.37177399105104314</v>
      </c>
      <c r="F618">
        <f t="shared" si="84"/>
        <v>0.61200000000000043</v>
      </c>
      <c r="G618">
        <f t="shared" ca="1" si="85"/>
        <v>-4.4013403384601968E-2</v>
      </c>
      <c r="H618">
        <f t="shared" ca="1" si="87"/>
        <v>-4.4016058488646204E-2</v>
      </c>
      <c r="I618">
        <f t="shared" ca="1" si="88"/>
        <v>9.9750450514669679E-3</v>
      </c>
      <c r="J618" s="5">
        <f t="shared" ca="1" si="89"/>
        <v>5.3991103540113175E-2</v>
      </c>
    </row>
    <row r="619" spans="1:10" x14ac:dyDescent="0.2">
      <c r="A619">
        <f t="shared" ca="1" si="81"/>
        <v>0.96969853895503022</v>
      </c>
      <c r="B619">
        <f t="shared" ca="1" si="82"/>
        <v>1.8763814341278355</v>
      </c>
      <c r="C619">
        <f t="shared" ca="1" si="86"/>
        <v>-17.614729885443005</v>
      </c>
      <c r="D619" s="22">
        <f t="shared" ca="1" si="83"/>
        <v>6.8608271454906306E-2</v>
      </c>
      <c r="F619">
        <f t="shared" si="84"/>
        <v>0.61300000000000043</v>
      </c>
      <c r="G619">
        <f t="shared" ca="1" si="85"/>
        <v>-4.5186635489383606E-2</v>
      </c>
      <c r="H619">
        <f t="shared" ca="1" si="87"/>
        <v>-4.5189348990005533E-2</v>
      </c>
      <c r="I619">
        <f t="shared" ca="1" si="88"/>
        <v>9.9641513512841885E-3</v>
      </c>
      <c r="J619" s="5">
        <f t="shared" ca="1" si="89"/>
        <v>5.515350034128972E-2</v>
      </c>
    </row>
    <row r="620" spans="1:10" x14ac:dyDescent="0.2">
      <c r="A620">
        <f t="shared" ca="1" si="81"/>
        <v>0.19756576390586778</v>
      </c>
      <c r="B620">
        <f t="shared" ca="1" si="82"/>
        <v>-0.85034819713614129</v>
      </c>
      <c r="C620">
        <f t="shared" ca="1" si="86"/>
        <v>-18.465078082579147</v>
      </c>
      <c r="D620" s="22">
        <f t="shared" ca="1" si="83"/>
        <v>0.27790260694840385</v>
      </c>
      <c r="F620">
        <f t="shared" si="84"/>
        <v>0.61400000000000043</v>
      </c>
      <c r="G620">
        <f t="shared" ca="1" si="85"/>
        <v>-3.9238775130239836E-2</v>
      </c>
      <c r="H620">
        <f t="shared" ca="1" si="87"/>
        <v>-3.9241190964009368E-2</v>
      </c>
      <c r="I620">
        <f t="shared" ca="1" si="88"/>
        <v>1.0024403059045823E-2</v>
      </c>
      <c r="J620" s="5">
        <f t="shared" ca="1" si="89"/>
        <v>4.9265594023055193E-2</v>
      </c>
    </row>
    <row r="621" spans="1:10" x14ac:dyDescent="0.2">
      <c r="A621">
        <f t="shared" ca="1" si="81"/>
        <v>0.94760259776791866</v>
      </c>
      <c r="B621">
        <f t="shared" ca="1" si="82"/>
        <v>1.6220399031936443</v>
      </c>
      <c r="C621">
        <f t="shared" ca="1" si="86"/>
        <v>-16.843038179385502</v>
      </c>
      <c r="D621" s="22">
        <f t="shared" ca="1" si="83"/>
        <v>0.10705149945616341</v>
      </c>
      <c r="F621">
        <f t="shared" si="84"/>
        <v>0.61500000000000044</v>
      </c>
      <c r="G621">
        <f t="shared" ca="1" si="85"/>
        <v>-4.1913754609812122E-2</v>
      </c>
      <c r="H621">
        <f t="shared" ca="1" si="87"/>
        <v>-4.1916303952081048E-2</v>
      </c>
      <c r="I621">
        <f t="shared" ca="1" si="88"/>
        <v>9.9984330836361164E-3</v>
      </c>
      <c r="J621" s="5">
        <f t="shared" ca="1" si="89"/>
        <v>5.1914737035717168E-2</v>
      </c>
    </row>
    <row r="622" spans="1:10" x14ac:dyDescent="0.2">
      <c r="A622">
        <f t="shared" ca="1" si="81"/>
        <v>0.38403406039182375</v>
      </c>
      <c r="B622">
        <f t="shared" ca="1" si="82"/>
        <v>-0.29490281590083695</v>
      </c>
      <c r="C622">
        <f t="shared" ca="1" si="86"/>
        <v>-17.137940995286339</v>
      </c>
      <c r="D622" s="22">
        <f t="shared" ca="1" si="83"/>
        <v>0.38196650074040184</v>
      </c>
      <c r="F622">
        <f t="shared" si="84"/>
        <v>0.61600000000000044</v>
      </c>
      <c r="G622">
        <f t="shared" ca="1" si="85"/>
        <v>-3.6770479850467157E-2</v>
      </c>
      <c r="H622">
        <f t="shared" ca="1" si="87"/>
        <v>-3.6772771771914903E-2</v>
      </c>
      <c r="I622">
        <f t="shared" ca="1" si="88"/>
        <v>1.0050804988242899E-2</v>
      </c>
      <c r="J622" s="5">
        <f t="shared" ca="1" si="89"/>
        <v>4.6823576760157803E-2</v>
      </c>
    </row>
    <row r="623" spans="1:10" x14ac:dyDescent="0.2">
      <c r="A623">
        <f t="shared" ca="1" si="81"/>
        <v>0.19186428665084787</v>
      </c>
      <c r="B623">
        <f t="shared" ca="1" si="82"/>
        <v>-0.87104684924024078</v>
      </c>
      <c r="C623">
        <f t="shared" ca="1" si="86"/>
        <v>-18.00898784452658</v>
      </c>
      <c r="D623" s="22">
        <f t="shared" ca="1" si="83"/>
        <v>0.27299553479578137</v>
      </c>
      <c r="F623">
        <f t="shared" si="84"/>
        <v>0.61700000000000044</v>
      </c>
      <c r="G623">
        <f t="shared" ca="1" si="85"/>
        <v>-3.7689321446669109E-2</v>
      </c>
      <c r="H623">
        <f t="shared" ca="1" si="87"/>
        <v>-3.7691659081381675E-2</v>
      </c>
      <c r="I623">
        <f t="shared" ca="1" si="88"/>
        <v>1.004239031432584E-2</v>
      </c>
      <c r="J623" s="5">
        <f t="shared" ca="1" si="89"/>
        <v>4.7734049395707516E-2</v>
      </c>
    </row>
    <row r="624" spans="1:10" x14ac:dyDescent="0.2">
      <c r="A624">
        <f t="shared" ca="1" si="81"/>
        <v>0.35536198876894476</v>
      </c>
      <c r="B624">
        <f t="shared" ca="1" si="82"/>
        <v>-0.37088393988687374</v>
      </c>
      <c r="C624">
        <f t="shared" ca="1" si="86"/>
        <v>-18.379871784413453</v>
      </c>
      <c r="D624" s="22">
        <f t="shared" ca="1" si="83"/>
        <v>0.3724263489551411</v>
      </c>
      <c r="F624">
        <f t="shared" si="84"/>
        <v>0.61800000000000044</v>
      </c>
      <c r="G624">
        <f t="shared" ca="1" si="85"/>
        <v>-4.0429907476399227E-2</v>
      </c>
      <c r="H624">
        <f t="shared" ca="1" si="87"/>
        <v>-4.0432381907786002E-2</v>
      </c>
      <c r="I624">
        <f t="shared" ca="1" si="88"/>
        <v>1.0015718140638178E-2</v>
      </c>
      <c r="J624" s="5">
        <f t="shared" ca="1" si="89"/>
        <v>5.0448100048424177E-2</v>
      </c>
    </row>
    <row r="625" spans="1:10" x14ac:dyDescent="0.2">
      <c r="A625">
        <f t="shared" ca="1" si="81"/>
        <v>0.26130236446895139</v>
      </c>
      <c r="B625">
        <f t="shared" ca="1" si="82"/>
        <v>-0.63933545393631608</v>
      </c>
      <c r="C625">
        <f t="shared" ca="1" si="86"/>
        <v>-19.019207238349768</v>
      </c>
      <c r="D625" s="22">
        <f t="shared" ca="1" si="83"/>
        <v>0.32520047374319494</v>
      </c>
      <c r="F625">
        <f t="shared" si="84"/>
        <v>0.61900000000000044</v>
      </c>
      <c r="G625">
        <f t="shared" ca="1" si="85"/>
        <v>-4.1588644545940634E-2</v>
      </c>
      <c r="H625">
        <f t="shared" ca="1" si="87"/>
        <v>-4.1591176667214715E-2</v>
      </c>
      <c r="I625">
        <f t="shared" ca="1" si="88"/>
        <v>1.0004928634766999E-2</v>
      </c>
      <c r="J625" s="5">
        <f t="shared" ca="1" si="89"/>
        <v>5.1596105301981714E-2</v>
      </c>
    </row>
    <row r="626" spans="1:10" x14ac:dyDescent="0.2">
      <c r="A626">
        <f t="shared" ca="1" si="81"/>
        <v>8.2358190787023444E-2</v>
      </c>
      <c r="B626">
        <f t="shared" ca="1" si="82"/>
        <v>-1.3893827872564932</v>
      </c>
      <c r="C626">
        <f t="shared" ca="1" si="86"/>
        <v>-20.408590025606262</v>
      </c>
      <c r="D626" s="22">
        <f t="shared" ca="1" si="83"/>
        <v>0.15196108692753013</v>
      </c>
      <c r="F626">
        <f t="shared" si="84"/>
        <v>0.62000000000000044</v>
      </c>
      <c r="G626">
        <f t="shared" ca="1" si="85"/>
        <v>-4.3596141529142735E-2</v>
      </c>
      <c r="H626">
        <f t="shared" ca="1" si="87"/>
        <v>-4.3598773772884417E-2</v>
      </c>
      <c r="I626">
        <f t="shared" ca="1" si="88"/>
        <v>9.9856701354305698E-3</v>
      </c>
      <c r="J626" s="5">
        <f t="shared" ca="1" si="89"/>
        <v>5.3584443908314988E-2</v>
      </c>
    </row>
    <row r="627" spans="1:10" x14ac:dyDescent="0.2">
      <c r="A627">
        <f t="shared" ca="1" si="81"/>
        <v>0.67547344050298852</v>
      </c>
      <c r="B627">
        <f t="shared" ca="1" si="82"/>
        <v>0.45507800797287962</v>
      </c>
      <c r="C627">
        <f t="shared" ca="1" si="86"/>
        <v>-19.953512017633383</v>
      </c>
      <c r="D627" s="22">
        <f t="shared" ca="1" si="83"/>
        <v>0.35969942390695708</v>
      </c>
      <c r="F627">
        <f t="shared" si="84"/>
        <v>0.62100000000000044</v>
      </c>
      <c r="G627">
        <f t="shared" ca="1" si="85"/>
        <v>-4.7975177110955766E-2</v>
      </c>
      <c r="H627">
        <f t="shared" ca="1" si="87"/>
        <v>-4.7978028045070814E-2</v>
      </c>
      <c r="I627">
        <f t="shared" ca="1" si="88"/>
        <v>9.9428377184654082E-3</v>
      </c>
      <c r="J627" s="5">
        <f t="shared" ca="1" si="89"/>
        <v>5.7920865763536222E-2</v>
      </c>
    </row>
    <row r="628" spans="1:10" x14ac:dyDescent="0.2">
      <c r="A628">
        <f t="shared" ca="1" si="81"/>
        <v>0.39614919218129496</v>
      </c>
      <c r="B628">
        <f t="shared" ca="1" si="82"/>
        <v>-0.26332721600378017</v>
      </c>
      <c r="C628">
        <f t="shared" ca="1" si="86"/>
        <v>-20.216839233637163</v>
      </c>
      <c r="D628" s="22">
        <f t="shared" ca="1" si="83"/>
        <v>0.38534773500001474</v>
      </c>
      <c r="F628">
        <f t="shared" si="84"/>
        <v>0.62200000000000044</v>
      </c>
      <c r="G628">
        <f t="shared" ca="1" si="85"/>
        <v>-4.6521369266002283E-2</v>
      </c>
      <c r="H628">
        <f t="shared" ca="1" si="87"/>
        <v>-4.6524147224019742E-2</v>
      </c>
      <c r="I628">
        <f t="shared" ca="1" si="88"/>
        <v>9.9581025627379707E-3</v>
      </c>
      <c r="J628" s="5">
        <f t="shared" ca="1" si="89"/>
        <v>5.6482249786757713E-2</v>
      </c>
    </row>
    <row r="629" spans="1:10" x14ac:dyDescent="0.2">
      <c r="A629">
        <f t="shared" ca="1" si="81"/>
        <v>6.5241197530026884E-2</v>
      </c>
      <c r="B629">
        <f t="shared" ca="1" si="82"/>
        <v>-1.5122023434487302</v>
      </c>
      <c r="C629">
        <f t="shared" ca="1" si="86"/>
        <v>-21.729041577085894</v>
      </c>
      <c r="D629" s="22">
        <f t="shared" ca="1" si="83"/>
        <v>0.12715906486484979</v>
      </c>
      <c r="F629">
        <f t="shared" si="84"/>
        <v>0.62300000000000044</v>
      </c>
      <c r="G629">
        <f t="shared" ca="1" si="85"/>
        <v>-4.7339390000187317E-2</v>
      </c>
      <c r="H629">
        <f t="shared" ca="1" si="87"/>
        <v>-4.7342208581780433E-2</v>
      </c>
      <c r="I629">
        <f t="shared" ca="1" si="88"/>
        <v>9.9507590423707371E-3</v>
      </c>
      <c r="J629" s="5">
        <f t="shared" ca="1" si="89"/>
        <v>5.7292967624151168E-2</v>
      </c>
    </row>
    <row r="630" spans="1:10" x14ac:dyDescent="0.2">
      <c r="A630">
        <f t="shared" ca="1" si="81"/>
        <v>0.11924075643922527</v>
      </c>
      <c r="B630">
        <f t="shared" ca="1" si="82"/>
        <v>-1.178790739128192</v>
      </c>
      <c r="C630">
        <f t="shared" ca="1" si="86"/>
        <v>-22.907832316214087</v>
      </c>
      <c r="D630" s="22">
        <f t="shared" ca="1" si="83"/>
        <v>0.1991469396501386</v>
      </c>
      <c r="F630">
        <f t="shared" si="84"/>
        <v>0.62400000000000044</v>
      </c>
      <c r="G630">
        <f t="shared" ca="1" si="85"/>
        <v>-5.2106421395979541E-2</v>
      </c>
      <c r="H630">
        <f t="shared" ca="1" si="87"/>
        <v>-5.210947804926444E-2</v>
      </c>
      <c r="I630">
        <f t="shared" ca="1" si="88"/>
        <v>9.9042289266305025E-3</v>
      </c>
      <c r="J630" s="5">
        <f t="shared" ca="1" si="89"/>
        <v>6.2013706975894943E-2</v>
      </c>
    </row>
    <row r="631" spans="1:10" x14ac:dyDescent="0.2">
      <c r="A631">
        <f t="shared" ca="1" si="81"/>
        <v>0.52160775939061732</v>
      </c>
      <c r="B631">
        <f t="shared" ca="1" si="82"/>
        <v>5.4189129680458775E-2</v>
      </c>
      <c r="C631">
        <f t="shared" ca="1" si="86"/>
        <v>-22.853643186533628</v>
      </c>
      <c r="D631" s="22">
        <f t="shared" ca="1" si="83"/>
        <v>0.39835697081286731</v>
      </c>
      <c r="F631">
        <f t="shared" si="84"/>
        <v>0.62500000000000044</v>
      </c>
      <c r="G631">
        <f t="shared" ca="1" si="85"/>
        <v>-5.5818688759289768E-2</v>
      </c>
      <c r="H631">
        <f t="shared" ca="1" si="87"/>
        <v>-5.5821930721817965E-2</v>
      </c>
      <c r="I631">
        <f t="shared" ca="1" si="88"/>
        <v>9.8683154647777674E-3</v>
      </c>
      <c r="J631" s="5">
        <f t="shared" ca="1" si="89"/>
        <v>6.5690246186595733E-2</v>
      </c>
    </row>
    <row r="632" spans="1:10" x14ac:dyDescent="0.2">
      <c r="A632">
        <f t="shared" ca="1" si="81"/>
        <v>0.50437803885793586</v>
      </c>
      <c r="B632">
        <f t="shared" ca="1" si="82"/>
        <v>1.0974336269053021E-2</v>
      </c>
      <c r="C632">
        <f t="shared" ca="1" si="86"/>
        <v>-22.842668850264573</v>
      </c>
      <c r="D632" s="22">
        <f t="shared" ca="1" si="83"/>
        <v>0.39891825760722205</v>
      </c>
      <c r="F632">
        <f t="shared" si="84"/>
        <v>0.62600000000000044</v>
      </c>
      <c r="G632">
        <f t="shared" ca="1" si="85"/>
        <v>-5.5631755162965556E-2</v>
      </c>
      <c r="H632">
        <f t="shared" ca="1" si="87"/>
        <v>-5.5634987454533297E-2</v>
      </c>
      <c r="I632">
        <f t="shared" ca="1" si="88"/>
        <v>9.8709443499864352E-3</v>
      </c>
      <c r="J632" s="5">
        <f t="shared" ca="1" si="89"/>
        <v>6.5505931804519732E-2</v>
      </c>
    </row>
    <row r="633" spans="1:10" x14ac:dyDescent="0.2">
      <c r="A633">
        <f t="shared" ca="1" si="81"/>
        <v>0.32769294054155229</v>
      </c>
      <c r="B633">
        <f t="shared" ca="1" si="82"/>
        <v>-0.44629262747296167</v>
      </c>
      <c r="C633">
        <f t="shared" ca="1" si="86"/>
        <v>-23.288961477737534</v>
      </c>
      <c r="D633" s="22">
        <f t="shared" ca="1" si="83"/>
        <v>0.36112645617547279</v>
      </c>
      <c r="F633">
        <f t="shared" si="84"/>
        <v>0.62700000000000045</v>
      </c>
      <c r="G633">
        <f t="shared" ca="1" si="85"/>
        <v>-5.558149060228592E-2</v>
      </c>
      <c r="H633">
        <f t="shared" ca="1" si="87"/>
        <v>-5.5584720057369044E-2</v>
      </c>
      <c r="I633">
        <f t="shared" ca="1" si="88"/>
        <v>9.8722247329832424E-3</v>
      </c>
      <c r="J633" s="5">
        <f t="shared" ca="1" si="89"/>
        <v>6.5456944790352287E-2</v>
      </c>
    </row>
    <row r="634" spans="1:10" x14ac:dyDescent="0.2">
      <c r="A634">
        <f t="shared" ca="1" si="81"/>
        <v>0.60122322838587072</v>
      </c>
      <c r="B634">
        <f t="shared" ca="1" si="82"/>
        <v>0.25651455478819118</v>
      </c>
      <c r="C634">
        <f t="shared" ca="1" si="86"/>
        <v>-23.032446922949344</v>
      </c>
      <c r="D634" s="22">
        <f t="shared" ca="1" si="83"/>
        <v>0.38603069513115712</v>
      </c>
      <c r="F634">
        <f t="shared" si="84"/>
        <v>0.62800000000000045</v>
      </c>
      <c r="G634">
        <f t="shared" ca="1" si="85"/>
        <v>-5.6977163874742602E-2</v>
      </c>
      <c r="H634">
        <f t="shared" ca="1" si="87"/>
        <v>-5.6980462791118902E-2</v>
      </c>
      <c r="I634">
        <f t="shared" ca="1" si="88"/>
        <v>9.8592384604618694E-3</v>
      </c>
      <c r="J634" s="5">
        <f t="shared" ca="1" si="89"/>
        <v>6.6839701251580771E-2</v>
      </c>
    </row>
    <row r="635" spans="1:10" x14ac:dyDescent="0.2">
      <c r="A635">
        <f t="shared" ca="1" si="81"/>
        <v>0.97151947978021624</v>
      </c>
      <c r="B635">
        <f t="shared" ca="1" si="82"/>
        <v>1.9036096550221164</v>
      </c>
      <c r="C635">
        <f t="shared" ca="1" si="86"/>
        <v>-21.128837267927228</v>
      </c>
      <c r="D635" s="22">
        <f t="shared" ca="1" si="83"/>
        <v>6.5166914018522135E-2</v>
      </c>
      <c r="F635">
        <f t="shared" si="84"/>
        <v>0.62900000000000045</v>
      </c>
      <c r="G635">
        <f t="shared" ca="1" si="85"/>
        <v>-5.6150337253922496E-2</v>
      </c>
      <c r="H635">
        <f t="shared" ca="1" si="87"/>
        <v>-5.6153594498725055E-2</v>
      </c>
      <c r="I635">
        <f t="shared" ca="1" si="88"/>
        <v>9.8681766581568634E-3</v>
      </c>
      <c r="J635" s="5">
        <f t="shared" ca="1" si="89"/>
        <v>6.6021771156881917E-2</v>
      </c>
    </row>
    <row r="636" spans="1:10" x14ac:dyDescent="0.2">
      <c r="A636">
        <f t="shared" ca="1" si="81"/>
        <v>0.48352794262670851</v>
      </c>
      <c r="B636">
        <f t="shared" ca="1" si="82"/>
        <v>-4.1301063489374824E-2</v>
      </c>
      <c r="C636">
        <f t="shared" ca="1" si="86"/>
        <v>-21.170138331416602</v>
      </c>
      <c r="D636" s="22">
        <f t="shared" ca="1" si="83"/>
        <v>0.39860217200764853</v>
      </c>
      <c r="F636">
        <f t="shared" si="84"/>
        <v>0.63000000000000045</v>
      </c>
      <c r="G636">
        <f t="shared" ca="1" si="85"/>
        <v>-5.0115281689739194E-2</v>
      </c>
      <c r="H636">
        <f t="shared" ca="1" si="87"/>
        <v>-5.0118236853517913E-2</v>
      </c>
      <c r="I636">
        <f t="shared" ca="1" si="88"/>
        <v>9.928702877779215E-3</v>
      </c>
      <c r="J636" s="5">
        <f t="shared" ca="1" si="89"/>
        <v>6.0046939731297128E-2</v>
      </c>
    </row>
    <row r="637" spans="1:10" x14ac:dyDescent="0.2">
      <c r="A637">
        <f t="shared" ca="1" si="81"/>
        <v>0.14801595538999368</v>
      </c>
      <c r="B637">
        <f t="shared" ca="1" si="82"/>
        <v>-1.0449806543041802</v>
      </c>
      <c r="C637">
        <f t="shared" ca="1" si="86"/>
        <v>-22.215118985720782</v>
      </c>
      <c r="D637" s="22">
        <f t="shared" ca="1" si="83"/>
        <v>0.23109397866675352</v>
      </c>
      <c r="F637">
        <f t="shared" si="84"/>
        <v>0.63100000000000045</v>
      </c>
      <c r="G637">
        <f t="shared" ca="1" si="85"/>
        <v>-5.0230869812535821E-2</v>
      </c>
      <c r="H637">
        <f t="shared" ca="1" si="87"/>
        <v>-5.0233830460246209E-2</v>
      </c>
      <c r="I637">
        <f t="shared" ca="1" si="88"/>
        <v>9.9283493683332679E-3</v>
      </c>
      <c r="J637" s="5">
        <f t="shared" ca="1" si="89"/>
        <v>6.0162179828579479E-2</v>
      </c>
    </row>
    <row r="638" spans="1:10" x14ac:dyDescent="0.2">
      <c r="A638">
        <f t="shared" ca="1" si="81"/>
        <v>0.97078695772212831</v>
      </c>
      <c r="B638">
        <f t="shared" ca="1" si="82"/>
        <v>1.8924872971841982</v>
      </c>
      <c r="C638">
        <f t="shared" ca="1" si="86"/>
        <v>-20.322631688536582</v>
      </c>
      <c r="D638" s="22">
        <f t="shared" ca="1" si="83"/>
        <v>6.6557262061641614E-2</v>
      </c>
      <c r="F638">
        <f t="shared" si="84"/>
        <v>0.63200000000000045</v>
      </c>
      <c r="G638">
        <f t="shared" ca="1" si="85"/>
        <v>-5.3520201236033321E-2</v>
      </c>
      <c r="H638">
        <f t="shared" ca="1" si="87"/>
        <v>-5.3523326055614433E-2</v>
      </c>
      <c r="I638">
        <f t="shared" ca="1" si="88"/>
        <v>9.8965352239711504E-3</v>
      </c>
      <c r="J638" s="5">
        <f t="shared" ca="1" si="89"/>
        <v>6.3419861279585585E-2</v>
      </c>
    </row>
    <row r="639" spans="1:10" x14ac:dyDescent="0.2">
      <c r="A639">
        <f t="shared" ca="1" si="81"/>
        <v>0.74524250176922102</v>
      </c>
      <c r="B639">
        <f t="shared" ca="1" si="82"/>
        <v>0.6595930795962377</v>
      </c>
      <c r="C639">
        <f t="shared" ca="1" si="86"/>
        <v>-19.663038608940344</v>
      </c>
      <c r="D639" s="22">
        <f t="shared" ca="1" si="83"/>
        <v>0.32094996235065848</v>
      </c>
      <c r="F639">
        <f t="shared" si="84"/>
        <v>0.63300000000000045</v>
      </c>
      <c r="G639">
        <f t="shared" ca="1" si="85"/>
        <v>-4.7520578897494906E-2</v>
      </c>
      <c r="H639">
        <f t="shared" ca="1" si="87"/>
        <v>-4.752340342097084E-2</v>
      </c>
      <c r="I639">
        <f t="shared" ca="1" si="88"/>
        <v>9.9568851705998749E-3</v>
      </c>
      <c r="J639" s="5">
        <f t="shared" ca="1" si="89"/>
        <v>5.7480288591570713E-2</v>
      </c>
    </row>
    <row r="640" spans="1:10" x14ac:dyDescent="0.2">
      <c r="A640">
        <f t="shared" ca="1" si="81"/>
        <v>0.16537270359775169</v>
      </c>
      <c r="B640">
        <f t="shared" ca="1" si="82"/>
        <v>-0.9726135469200794</v>
      </c>
      <c r="C640">
        <f t="shared" ca="1" si="86"/>
        <v>-20.635652155860424</v>
      </c>
      <c r="D640" s="22">
        <f t="shared" ca="1" si="83"/>
        <v>0.24859577653930831</v>
      </c>
      <c r="F640">
        <f t="shared" si="84"/>
        <v>0.63400000000000045</v>
      </c>
      <c r="G640">
        <f t="shared" ca="1" si="85"/>
        <v>-4.542011540325238E-2</v>
      </c>
      <c r="H640">
        <f t="shared" ca="1" si="87"/>
        <v>-4.5422834620219898E-2</v>
      </c>
      <c r="I640">
        <f t="shared" ca="1" si="88"/>
        <v>9.9786230041715961E-3</v>
      </c>
      <c r="J640" s="5">
        <f t="shared" ca="1" si="89"/>
        <v>5.5401457624391498E-2</v>
      </c>
    </row>
    <row r="641" spans="1:10" x14ac:dyDescent="0.2">
      <c r="A641">
        <f t="shared" ca="1" si="81"/>
        <v>0.37212858005161376</v>
      </c>
      <c r="B641">
        <f t="shared" ca="1" si="82"/>
        <v>-0.32622099196228027</v>
      </c>
      <c r="C641">
        <f t="shared" ca="1" si="86"/>
        <v>-20.961873147822704</v>
      </c>
      <c r="D641" s="22">
        <f t="shared" ca="1" si="83"/>
        <v>0.37826941429694205</v>
      </c>
      <c r="F641">
        <f t="shared" si="84"/>
        <v>0.63500000000000045</v>
      </c>
      <c r="G641">
        <f t="shared" ca="1" si="85"/>
        <v>-4.8481094432893702E-2</v>
      </c>
      <c r="H641">
        <f t="shared" ca="1" si="87"/>
        <v>-4.8483966428160372E-2</v>
      </c>
      <c r="I641">
        <f t="shared" ca="1" si="88"/>
        <v>9.9489242642355237E-3</v>
      </c>
      <c r="J641" s="5">
        <f t="shared" ca="1" si="89"/>
        <v>5.8432890692395892E-2</v>
      </c>
    </row>
    <row r="642" spans="1:10" x14ac:dyDescent="0.2">
      <c r="A642">
        <f t="shared" ca="1" si="81"/>
        <v>0.59454776286807842</v>
      </c>
      <c r="B642">
        <f t="shared" ca="1" si="82"/>
        <v>0.23925936265811051</v>
      </c>
      <c r="C642">
        <f t="shared" ca="1" si="86"/>
        <v>-20.722613785164594</v>
      </c>
      <c r="D642" s="22">
        <f t="shared" ca="1" si="83"/>
        <v>0.38768541491924113</v>
      </c>
      <c r="F642">
        <f t="shared" si="84"/>
        <v>0.63600000000000045</v>
      </c>
      <c r="G642">
        <f t="shared" ca="1" si="85"/>
        <v>-4.9497796843072747E-2</v>
      </c>
      <c r="H642">
        <f t="shared" ca="1" si="87"/>
        <v>-4.9500719386677848E-2</v>
      </c>
      <c r="I642">
        <f t="shared" ca="1" si="88"/>
        <v>9.9396104506333325E-3</v>
      </c>
      <c r="J642" s="5">
        <f t="shared" ca="1" si="89"/>
        <v>5.9440329837311179E-2</v>
      </c>
    </row>
    <row r="643" spans="1:10" x14ac:dyDescent="0.2">
      <c r="A643">
        <f t="shared" ca="1" si="81"/>
        <v>0.62921702869033769</v>
      </c>
      <c r="B643">
        <f t="shared" ca="1" si="82"/>
        <v>0.32978034120026556</v>
      </c>
      <c r="C643">
        <f t="shared" ca="1" si="86"/>
        <v>-20.392833443964328</v>
      </c>
      <c r="D643" s="22">
        <f t="shared" ca="1" si="83"/>
        <v>0.37782805419858934</v>
      </c>
      <c r="F643">
        <f t="shared" si="84"/>
        <v>0.63700000000000045</v>
      </c>
      <c r="G643">
        <f t="shared" ca="1" si="85"/>
        <v>-4.8726281101983335E-2</v>
      </c>
      <c r="H643">
        <f t="shared" ca="1" si="87"/>
        <v>-4.8729164777219308E-2</v>
      </c>
      <c r="I643">
        <f t="shared" ca="1" si="88"/>
        <v>9.9480786732708999E-3</v>
      </c>
      <c r="J643" s="5">
        <f t="shared" ca="1" si="89"/>
        <v>5.8677243450490205E-2</v>
      </c>
    </row>
    <row r="644" spans="1:10" x14ac:dyDescent="0.2">
      <c r="A644">
        <f t="shared" ca="1" si="81"/>
        <v>0.24157933611948101</v>
      </c>
      <c r="B644">
        <f t="shared" ca="1" si="82"/>
        <v>-0.70123131146775619</v>
      </c>
      <c r="C644">
        <f t="shared" ca="1" si="86"/>
        <v>-21.094064755432083</v>
      </c>
      <c r="D644" s="22">
        <f t="shared" ca="1" si="83"/>
        <v>0.31198467552185316</v>
      </c>
      <c r="F644">
        <f t="shared" si="84"/>
        <v>0.63800000000000046</v>
      </c>
      <c r="G644">
        <f t="shared" ca="1" si="85"/>
        <v>-4.7668604352417217E-2</v>
      </c>
      <c r="H644">
        <f t="shared" ca="1" si="87"/>
        <v>-4.7671434855001284E-2</v>
      </c>
      <c r="I644">
        <f t="shared" ca="1" si="88"/>
        <v>9.9594046067072988E-3</v>
      </c>
      <c r="J644" s="5">
        <f t="shared" ca="1" si="89"/>
        <v>5.7630839461708584E-2</v>
      </c>
    </row>
    <row r="645" spans="1:10" x14ac:dyDescent="0.2">
      <c r="A645">
        <f t="shared" ca="1" si="81"/>
        <v>0.67808208321475771</v>
      </c>
      <c r="B645">
        <f t="shared" ca="1" si="82"/>
        <v>0.46234235080275482</v>
      </c>
      <c r="C645">
        <f t="shared" ca="1" si="86"/>
        <v>-20.631722404629329</v>
      </c>
      <c r="D645" s="22">
        <f t="shared" ca="1" si="83"/>
        <v>0.35850281820283669</v>
      </c>
      <c r="F645">
        <f t="shared" si="84"/>
        <v>0.63900000000000046</v>
      </c>
      <c r="G645">
        <f t="shared" ca="1" si="85"/>
        <v>-4.9871215471379467E-2</v>
      </c>
      <c r="H645">
        <f t="shared" ca="1" si="87"/>
        <v>-4.9874155822380847E-2</v>
      </c>
      <c r="I645">
        <f t="shared" ca="1" si="88"/>
        <v>9.9382883063138666E-3</v>
      </c>
      <c r="J645" s="5">
        <f t="shared" ca="1" si="89"/>
        <v>5.9812444128694714E-2</v>
      </c>
    </row>
    <row r="646" spans="1:10" x14ac:dyDescent="0.2">
      <c r="A646">
        <f t="shared" ca="1" si="81"/>
        <v>0.8431673077576729</v>
      </c>
      <c r="B646">
        <f t="shared" ca="1" si="82"/>
        <v>1.0075607399599533</v>
      </c>
      <c r="C646">
        <f t="shared" ca="1" si="86"/>
        <v>-19.624161664669376</v>
      </c>
      <c r="D646" s="22">
        <f t="shared" ca="1" si="83"/>
        <v>0.24014128158751105</v>
      </c>
      <c r="F646">
        <f t="shared" si="84"/>
        <v>0.64000000000000046</v>
      </c>
      <c r="G646">
        <f t="shared" ca="1" si="85"/>
        <v>-4.8394247311568696E-2</v>
      </c>
      <c r="H646">
        <f t="shared" ca="1" si="87"/>
        <v>-4.8397113519505326E-2</v>
      </c>
      <c r="I646">
        <f t="shared" ca="1" si="88"/>
        <v>9.9537748202398208E-3</v>
      </c>
      <c r="J646" s="5">
        <f t="shared" ca="1" si="89"/>
        <v>5.8350888339745145E-2</v>
      </c>
    </row>
    <row r="647" spans="1:10" x14ac:dyDescent="0.2">
      <c r="A647">
        <f t="shared" ref="A647:A710" ca="1" si="90">RAND()</f>
        <v>0.59837871074109672</v>
      </c>
      <c r="B647">
        <f t="shared" ref="B647:B710" ca="1" si="91">NORMSINV(A647)</f>
        <v>0.24915281277637091</v>
      </c>
      <c r="C647">
        <f t="shared" ca="1" si="86"/>
        <v>-19.375008851893007</v>
      </c>
      <c r="D647" s="22">
        <f t="shared" ref="D647:D710" ca="1" si="92">_xlfn.NORM.DIST(B647,0,1,FALSE)</f>
        <v>0.38674988175781905</v>
      </c>
      <c r="F647">
        <f t="shared" ref="F647:F710" si="93">F646+$M$2/$N$2</f>
        <v>0.64100000000000046</v>
      </c>
      <c r="G647">
        <f t="shared" ref="G647:G710" ca="1" si="94">G646*EXP(-$M$4*$O$2) + $O$4*(1-EXP(-$M$4*$O$2)) + $N$4* SQRT((1-EXP(-2*$M$4*$O$2))/(2*$M$4)) *B646</f>
        <v>-4.5193381112249326E-2</v>
      </c>
      <c r="H647">
        <f t="shared" ca="1" si="87"/>
        <v>-4.5196086988915293E-2</v>
      </c>
      <c r="I647">
        <f t="shared" ca="1" si="88"/>
        <v>9.9864886557343054E-3</v>
      </c>
      <c r="J647" s="5">
        <f t="shared" ca="1" si="89"/>
        <v>5.5182575644649595E-2</v>
      </c>
    </row>
    <row r="648" spans="1:10" x14ac:dyDescent="0.2">
      <c r="A648">
        <f t="shared" ca="1" si="90"/>
        <v>4.4959092308337278E-2</v>
      </c>
      <c r="B648">
        <f t="shared" ca="1" si="91"/>
        <v>-1.6958294441287822</v>
      </c>
      <c r="C648">
        <f t="shared" ref="C648:C711" ca="1" si="95">B648+C647</f>
        <v>-21.07083829602179</v>
      </c>
      <c r="D648" s="22">
        <f t="shared" ca="1" si="92"/>
        <v>9.4717425815776968E-2</v>
      </c>
      <c r="F648">
        <f t="shared" si="93"/>
        <v>0.64200000000000046</v>
      </c>
      <c r="G648">
        <f t="shared" ca="1" si="94"/>
        <v>-4.4391011519147303E-2</v>
      </c>
      <c r="H648">
        <f t="shared" ref="H648:H711" ca="1" si="96">H647+($M$6 + $N$6*H647)*$O$2 + $O$6*H647^$P$6*SQRT($O$2)*B647</f>
        <v>-4.4393677006405563E-2</v>
      </c>
      <c r="I648">
        <f t="shared" ref="I648:I711" ca="1" si="97">I647*EXP(($M$8-0.5*($N$8^2))*$O$2 + $N$8*SQRT($O$2)*B647)</f>
        <v>9.995309523793388E-3</v>
      </c>
      <c r="J648" s="5">
        <f t="shared" ref="J648:J711" ca="1" si="98">ABS(H648-I648)</f>
        <v>5.4388986530198954E-2</v>
      </c>
    </row>
    <row r="649" spans="1:10" x14ac:dyDescent="0.2">
      <c r="A649">
        <f t="shared" ca="1" si="90"/>
        <v>0.41098540213269152</v>
      </c>
      <c r="B649">
        <f t="shared" ca="1" si="91"/>
        <v>-0.2250108877167554</v>
      </c>
      <c r="C649">
        <f t="shared" ca="1" si="95"/>
        <v>-21.295849183738547</v>
      </c>
      <c r="D649" s="22">
        <f t="shared" ca="1" si="92"/>
        <v>0.38896983513901451</v>
      </c>
      <c r="F649">
        <f t="shared" si="93"/>
        <v>0.64300000000000046</v>
      </c>
      <c r="G649">
        <f t="shared" ca="1" si="94"/>
        <v>-4.973898858354403E-2</v>
      </c>
      <c r="H649">
        <f t="shared" ca="1" si="96"/>
        <v>-4.974192120532913E-2</v>
      </c>
      <c r="I649">
        <f t="shared" ca="1" si="97"/>
        <v>9.9427958302630483E-3</v>
      </c>
      <c r="J649" s="5">
        <f t="shared" ca="1" si="98"/>
        <v>5.968471703559218E-2</v>
      </c>
    </row>
    <row r="650" spans="1:10" x14ac:dyDescent="0.2">
      <c r="A650">
        <f t="shared" ca="1" si="90"/>
        <v>7.1449043815908664E-2</v>
      </c>
      <c r="B650">
        <f t="shared" ca="1" si="91"/>
        <v>-1.4650836838478742</v>
      </c>
      <c r="C650">
        <f t="shared" ca="1" si="95"/>
        <v>-22.760932867586419</v>
      </c>
      <c r="D650" s="22">
        <f t="shared" ca="1" si="92"/>
        <v>0.13639862237097725</v>
      </c>
      <c r="F650">
        <f t="shared" si="93"/>
        <v>0.64400000000000046</v>
      </c>
      <c r="G650">
        <f t="shared" ca="1" si="94"/>
        <v>-5.043552676101417E-2</v>
      </c>
      <c r="H650">
        <f t="shared" ca="1" si="96"/>
        <v>-5.0438493916729943E-2</v>
      </c>
      <c r="I650">
        <f t="shared" ca="1" si="97"/>
        <v>9.9366675196711444E-3</v>
      </c>
      <c r="J650" s="5">
        <f t="shared" ca="1" si="98"/>
        <v>6.0375161436401086E-2</v>
      </c>
    </row>
    <row r="651" spans="1:10" x14ac:dyDescent="0.2">
      <c r="A651">
        <f t="shared" ca="1" si="90"/>
        <v>0.43966176807837531</v>
      </c>
      <c r="B651">
        <f t="shared" ca="1" si="91"/>
        <v>-0.15182680972581614</v>
      </c>
      <c r="C651">
        <f t="shared" ca="1" si="95"/>
        <v>-22.912759677312234</v>
      </c>
      <c r="D651" s="22">
        <f t="shared" ca="1" si="92"/>
        <v>0.39437059186109208</v>
      </c>
      <c r="F651">
        <f t="shared" si="93"/>
        <v>0.64500000000000046</v>
      </c>
      <c r="G651">
        <f t="shared" ca="1" si="94"/>
        <v>-5.5053253723781441E-2</v>
      </c>
      <c r="H651">
        <f t="shared" ca="1" si="96"/>
        <v>-5.5056451471047596E-2</v>
      </c>
      <c r="I651">
        <f t="shared" ca="1" si="97"/>
        <v>9.8916770690916731E-3</v>
      </c>
      <c r="J651" s="5">
        <f t="shared" ca="1" si="98"/>
        <v>6.4948128540139274E-2</v>
      </c>
    </row>
    <row r="652" spans="1:10" x14ac:dyDescent="0.2">
      <c r="A652">
        <f t="shared" ca="1" si="90"/>
        <v>0.78775415465206811</v>
      </c>
      <c r="B652">
        <f t="shared" ca="1" si="91"/>
        <v>0.79865292400806787</v>
      </c>
      <c r="C652">
        <f t="shared" ca="1" si="95"/>
        <v>-22.114106753304167</v>
      </c>
      <c r="D652" s="22">
        <f t="shared" ca="1" si="92"/>
        <v>0.29000364714518539</v>
      </c>
      <c r="F652">
        <f t="shared" si="93"/>
        <v>0.64600000000000046</v>
      </c>
      <c r="G652">
        <f t="shared" ca="1" si="94"/>
        <v>-5.5517843697333848E-2</v>
      </c>
      <c r="H652">
        <f t="shared" ca="1" si="96"/>
        <v>-5.5521064354511075E-2</v>
      </c>
      <c r="I652">
        <f t="shared" ca="1" si="97"/>
        <v>9.8878683344275527E-3</v>
      </c>
      <c r="J652" s="5">
        <f t="shared" ca="1" si="98"/>
        <v>6.5408932688938631E-2</v>
      </c>
    </row>
    <row r="653" spans="1:10" x14ac:dyDescent="0.2">
      <c r="A653">
        <f t="shared" ca="1" si="90"/>
        <v>0.15088160356418434</v>
      </c>
      <c r="B653">
        <f t="shared" ca="1" si="91"/>
        <v>-1.0326596404841548</v>
      </c>
      <c r="C653">
        <f t="shared" ca="1" si="95"/>
        <v>-23.146766393788322</v>
      </c>
      <c r="D653" s="22">
        <f t="shared" ca="1" si="92"/>
        <v>0.23407083406621129</v>
      </c>
      <c r="F653">
        <f t="shared" si="93"/>
        <v>0.64700000000000046</v>
      </c>
      <c r="G653">
        <f t="shared" ca="1" si="94"/>
        <v>-5.297685666356218E-2</v>
      </c>
      <c r="H653">
        <f t="shared" ca="1" si="96"/>
        <v>-5.2979949948256756E-2</v>
      </c>
      <c r="I653">
        <f t="shared" ca="1" si="97"/>
        <v>9.9138140907976107E-3</v>
      </c>
      <c r="J653" s="5">
        <f t="shared" ca="1" si="98"/>
        <v>6.2893764039054362E-2</v>
      </c>
    </row>
    <row r="654" spans="1:10" x14ac:dyDescent="0.2">
      <c r="A654">
        <f t="shared" ca="1" si="90"/>
        <v>0.11749247473885149</v>
      </c>
      <c r="B654">
        <f t="shared" ca="1" si="91"/>
        <v>-1.1876154464256166</v>
      </c>
      <c r="C654">
        <f t="shared" ca="1" si="95"/>
        <v>-24.33438184021394</v>
      </c>
      <c r="D654" s="22">
        <f t="shared" ca="1" si="92"/>
        <v>0.19707838075940332</v>
      </c>
      <c r="F654">
        <f t="shared" si="93"/>
        <v>0.64800000000000046</v>
      </c>
      <c r="G654">
        <f t="shared" ca="1" si="94"/>
        <v>-5.6226952983392531E-2</v>
      </c>
      <c r="H654">
        <f t="shared" ca="1" si="96"/>
        <v>-5.6230208464922479E-2</v>
      </c>
      <c r="I654">
        <f t="shared" ca="1" si="97"/>
        <v>9.8824315593106365E-3</v>
      </c>
      <c r="J654" s="5">
        <f t="shared" ca="1" si="98"/>
        <v>6.6112640024233116E-2</v>
      </c>
    </row>
    <row r="655" spans="1:10" x14ac:dyDescent="0.2">
      <c r="A655">
        <f t="shared" ca="1" si="90"/>
        <v>0.40740846457924407</v>
      </c>
      <c r="B655">
        <f t="shared" ca="1" si="91"/>
        <v>-0.23421647028667847</v>
      </c>
      <c r="C655">
        <f t="shared" ca="1" si="95"/>
        <v>-24.568598310500619</v>
      </c>
      <c r="D655" s="22">
        <f t="shared" ca="1" si="92"/>
        <v>0.38814852714782366</v>
      </c>
      <c r="F655">
        <f t="shared" si="93"/>
        <v>0.64900000000000047</v>
      </c>
      <c r="G655">
        <f t="shared" ca="1" si="94"/>
        <v>-5.9966713093639559E-2</v>
      </c>
      <c r="H655">
        <f t="shared" ca="1" si="96"/>
        <v>-5.9970155239178612E-2</v>
      </c>
      <c r="I655">
        <f t="shared" ca="1" si="97"/>
        <v>9.8463223592871636E-3</v>
      </c>
      <c r="J655" s="5">
        <f t="shared" ca="1" si="98"/>
        <v>6.9816477598465779E-2</v>
      </c>
    </row>
    <row r="656" spans="1:10" x14ac:dyDescent="0.2">
      <c r="A656">
        <f t="shared" ca="1" si="90"/>
        <v>0.70017678704943342</v>
      </c>
      <c r="B656">
        <f t="shared" ca="1" si="91"/>
        <v>0.52490903840827663</v>
      </c>
      <c r="C656">
        <f t="shared" ca="1" si="95"/>
        <v>-24.043689272092344</v>
      </c>
      <c r="D656" s="22">
        <f t="shared" ca="1" si="92"/>
        <v>0.34759986203233051</v>
      </c>
      <c r="F656">
        <f t="shared" si="93"/>
        <v>0.65000000000000047</v>
      </c>
      <c r="G656">
        <f t="shared" ca="1" si="94"/>
        <v>-6.0691337702435545E-2</v>
      </c>
      <c r="H656">
        <f t="shared" ca="1" si="96"/>
        <v>-6.0694815735285748E-2</v>
      </c>
      <c r="I656">
        <f t="shared" ca="1" si="97"/>
        <v>9.8399670591883519E-3</v>
      </c>
      <c r="J656" s="5">
        <f t="shared" ca="1" si="98"/>
        <v>7.0534782794474102E-2</v>
      </c>
    </row>
    <row r="657" spans="1:10" x14ac:dyDescent="0.2">
      <c r="A657">
        <f t="shared" ca="1" si="90"/>
        <v>0.46631519536971511</v>
      </c>
      <c r="B657">
        <f t="shared" ca="1" si="91"/>
        <v>-8.4535862481484286E-2</v>
      </c>
      <c r="C657">
        <f t="shared" ca="1" si="95"/>
        <v>-24.128225134573828</v>
      </c>
      <c r="D657" s="22">
        <f t="shared" ca="1" si="92"/>
        <v>0.39751934109550563</v>
      </c>
      <c r="F657">
        <f t="shared" si="93"/>
        <v>0.65100000000000047</v>
      </c>
      <c r="G657">
        <f t="shared" ca="1" si="94"/>
        <v>-5.9015444238264554E-2</v>
      </c>
      <c r="H657">
        <f t="shared" ca="1" si="96"/>
        <v>-5.9018838127933258E-2</v>
      </c>
      <c r="I657">
        <f t="shared" ca="1" si="97"/>
        <v>9.8572504582910385E-3</v>
      </c>
      <c r="J657" s="5">
        <f t="shared" ca="1" si="98"/>
        <v>6.8876088586224293E-2</v>
      </c>
    </row>
    <row r="658" spans="1:10" x14ac:dyDescent="0.2">
      <c r="A658">
        <f t="shared" ca="1" si="90"/>
        <v>3.2474615111282912E-2</v>
      </c>
      <c r="B658">
        <f t="shared" ca="1" si="91"/>
        <v>-1.8456074071405157</v>
      </c>
      <c r="C658">
        <f t="shared" ca="1" si="95"/>
        <v>-25.973832541714344</v>
      </c>
      <c r="D658" s="22">
        <f t="shared" ca="1" si="92"/>
        <v>7.265217990432353E-2</v>
      </c>
      <c r="F658">
        <f t="shared" si="93"/>
        <v>0.65200000000000047</v>
      </c>
      <c r="G658">
        <f t="shared" ca="1" si="94"/>
        <v>-5.926685599256315E-2</v>
      </c>
      <c r="H658">
        <f t="shared" ca="1" si="96"/>
        <v>-5.9270262113528732E-2</v>
      </c>
      <c r="I658">
        <f t="shared" ca="1" si="97"/>
        <v>9.855551945388898E-3</v>
      </c>
      <c r="J658" s="5">
        <f t="shared" ca="1" si="98"/>
        <v>6.9125814058917628E-2</v>
      </c>
    </row>
    <row r="659" spans="1:10" x14ac:dyDescent="0.2">
      <c r="A659">
        <f t="shared" ca="1" si="90"/>
        <v>2.3492053289725701E-2</v>
      </c>
      <c r="B659">
        <f t="shared" ca="1" si="91"/>
        <v>-1.98644344578244</v>
      </c>
      <c r="C659">
        <f t="shared" ca="1" si="95"/>
        <v>-27.960275987496786</v>
      </c>
      <c r="D659" s="22">
        <f t="shared" ca="1" si="92"/>
        <v>5.546975760019715E-2</v>
      </c>
      <c r="F659">
        <f t="shared" si="93"/>
        <v>0.65300000000000047</v>
      </c>
      <c r="G659">
        <f t="shared" ca="1" si="94"/>
        <v>-6.5086961372318203E-2</v>
      </c>
      <c r="H659">
        <f t="shared" ca="1" si="96"/>
        <v>-6.5090658160359124E-2</v>
      </c>
      <c r="I659">
        <f t="shared" ca="1" si="97"/>
        <v>9.799130160440022E-3</v>
      </c>
      <c r="J659" s="5">
        <f t="shared" ca="1" si="98"/>
        <v>7.488978832079915E-2</v>
      </c>
    </row>
    <row r="660" spans="1:10" x14ac:dyDescent="0.2">
      <c r="A660">
        <f t="shared" ca="1" si="90"/>
        <v>0.96164361181219582</v>
      </c>
      <c r="B660">
        <f t="shared" ca="1" si="91"/>
        <v>1.7700862342233996</v>
      </c>
      <c r="C660">
        <f t="shared" ca="1" si="95"/>
        <v>-26.190189753273387</v>
      </c>
      <c r="D660" s="22">
        <f t="shared" ca="1" si="92"/>
        <v>8.328047329633903E-2</v>
      </c>
      <c r="F660">
        <f t="shared" si="93"/>
        <v>0.65400000000000047</v>
      </c>
      <c r="G660">
        <f t="shared" ca="1" si="94"/>
        <v>-7.1351825162173657E-2</v>
      </c>
      <c r="H660">
        <f t="shared" ca="1" si="96"/>
        <v>-7.1355834826328804E-2</v>
      </c>
      <c r="I660">
        <f t="shared" ca="1" si="97"/>
        <v>9.7386931668047242E-3</v>
      </c>
      <c r="J660" s="5">
        <f t="shared" ca="1" si="98"/>
        <v>8.1094527993133533E-2</v>
      </c>
    </row>
    <row r="661" spans="1:10" x14ac:dyDescent="0.2">
      <c r="A661">
        <f t="shared" ca="1" si="90"/>
        <v>0.53077703058908887</v>
      </c>
      <c r="B661">
        <f t="shared" ca="1" si="91"/>
        <v>7.7223259081921833E-2</v>
      </c>
      <c r="C661">
        <f t="shared" ca="1" si="95"/>
        <v>-26.112966494191465</v>
      </c>
      <c r="D661" s="22">
        <f t="shared" ca="1" si="92"/>
        <v>0.39775451953480961</v>
      </c>
      <c r="F661">
        <f t="shared" si="93"/>
        <v>0.65500000000000047</v>
      </c>
      <c r="G661">
        <f t="shared" ca="1" si="94"/>
        <v>-6.5737466544878567E-2</v>
      </c>
      <c r="H661">
        <f t="shared" ca="1" si="96"/>
        <v>-6.574119508778993E-2</v>
      </c>
      <c r="I661">
        <f t="shared" ca="1" si="97"/>
        <v>9.7942888071990749E-3</v>
      </c>
      <c r="J661" s="5">
        <f t="shared" ca="1" si="98"/>
        <v>7.5535483894989E-2</v>
      </c>
    </row>
    <row r="662" spans="1:10" x14ac:dyDescent="0.2">
      <c r="A662">
        <f t="shared" ca="1" si="90"/>
        <v>0.35519571404276806</v>
      </c>
      <c r="B662">
        <f t="shared" ca="1" si="91"/>
        <v>-0.3713304402488381</v>
      </c>
      <c r="C662">
        <f t="shared" ca="1" si="95"/>
        <v>-26.484296934440302</v>
      </c>
      <c r="D662" s="22">
        <f t="shared" ca="1" si="92"/>
        <v>0.37236464320975554</v>
      </c>
      <c r="F662">
        <f t="shared" si="93"/>
        <v>0.65600000000000047</v>
      </c>
      <c r="G662">
        <f t="shared" ca="1" si="94"/>
        <v>-6.547670444940426E-2</v>
      </c>
      <c r="H662">
        <f t="shared" ca="1" si="96"/>
        <v>-6.5480419581240984E-2</v>
      </c>
      <c r="I662">
        <f t="shared" ca="1" si="97"/>
        <v>9.797611607064851E-3</v>
      </c>
      <c r="J662" s="5">
        <f t="shared" ca="1" si="98"/>
        <v>7.5278031188305838E-2</v>
      </c>
    </row>
    <row r="663" spans="1:10" x14ac:dyDescent="0.2">
      <c r="A663">
        <f t="shared" ca="1" si="90"/>
        <v>0.87477163939680513</v>
      </c>
      <c r="B663">
        <f t="shared" ca="1" si="91"/>
        <v>1.1492407519962007</v>
      </c>
      <c r="C663">
        <f t="shared" ca="1" si="95"/>
        <v>-25.335056182444102</v>
      </c>
      <c r="D663" s="22">
        <f t="shared" ca="1" si="92"/>
        <v>0.20611609803961586</v>
      </c>
      <c r="F663">
        <f t="shared" si="93"/>
        <v>0.65700000000000047</v>
      </c>
      <c r="G663">
        <f t="shared" ca="1" si="94"/>
        <v>-6.6634348852003117E-2</v>
      </c>
      <c r="H663">
        <f t="shared" ca="1" si="96"/>
        <v>-6.6638121495022254E-2</v>
      </c>
      <c r="I663">
        <f t="shared" ca="1" si="97"/>
        <v>9.7870432391526947E-3</v>
      </c>
      <c r="J663" s="5">
        <f t="shared" ca="1" si="98"/>
        <v>7.6425164734174947E-2</v>
      </c>
    </row>
    <row r="664" spans="1:10" x14ac:dyDescent="0.2">
      <c r="A664">
        <f t="shared" ca="1" si="90"/>
        <v>0.35718401928267374</v>
      </c>
      <c r="B664">
        <f t="shared" ca="1" si="91"/>
        <v>-0.36599602919534424</v>
      </c>
      <c r="C664">
        <f t="shared" ca="1" si="95"/>
        <v>-25.701052211639446</v>
      </c>
      <c r="D664" s="22">
        <f t="shared" ca="1" si="92"/>
        <v>0.37309765651289634</v>
      </c>
      <c r="F664">
        <f t="shared" si="93"/>
        <v>0.65800000000000047</v>
      </c>
      <c r="G664">
        <f t="shared" ca="1" si="94"/>
        <v>-6.298364959741605E-2</v>
      </c>
      <c r="H664">
        <f t="shared" ca="1" si="96"/>
        <v>-6.2987239326680058E-2</v>
      </c>
      <c r="I664">
        <f t="shared" ca="1" si="97"/>
        <v>9.8236093996741745E-3</v>
      </c>
      <c r="J664" s="5">
        <f t="shared" ca="1" si="98"/>
        <v>7.2810848726354238E-2</v>
      </c>
    </row>
    <row r="665" spans="1:10" x14ac:dyDescent="0.2">
      <c r="A665">
        <f t="shared" ca="1" si="90"/>
        <v>0.54004682766806711</v>
      </c>
      <c r="B665">
        <f t="shared" ca="1" si="91"/>
        <v>0.10055169426265621</v>
      </c>
      <c r="C665">
        <f t="shared" ca="1" si="95"/>
        <v>-25.600500517376791</v>
      </c>
      <c r="D665" s="22">
        <f t="shared" ca="1" si="92"/>
        <v>0.39693058803059378</v>
      </c>
      <c r="F665">
        <f t="shared" si="93"/>
        <v>0.65900000000000047</v>
      </c>
      <c r="G665">
        <f t="shared" ca="1" si="94"/>
        <v>-6.4124675247539925E-2</v>
      </c>
      <c r="H665">
        <f t="shared" ca="1" si="96"/>
        <v>-6.412832166958217E-2</v>
      </c>
      <c r="I665">
        <f t="shared" ca="1" si="97"/>
        <v>9.8131785248030366E-3</v>
      </c>
      <c r="J665" s="5">
        <f t="shared" ca="1" si="98"/>
        <v>7.394150019438521E-2</v>
      </c>
    </row>
    <row r="666" spans="1:10" x14ac:dyDescent="0.2">
      <c r="A666">
        <f t="shared" ca="1" si="90"/>
        <v>6.5448612480487722E-2</v>
      </c>
      <c r="B666">
        <f t="shared" ca="1" si="91"/>
        <v>-1.5105732055262746</v>
      </c>
      <c r="C666">
        <f t="shared" ca="1" si="95"/>
        <v>-27.111073722903065</v>
      </c>
      <c r="D666" s="22">
        <f t="shared" ca="1" si="92"/>
        <v>0.12747254921588752</v>
      </c>
      <c r="F666">
        <f t="shared" si="93"/>
        <v>0.66000000000000048</v>
      </c>
      <c r="G666">
        <f t="shared" ca="1" si="94"/>
        <v>-6.379030712210873E-2</v>
      </c>
      <c r="H666">
        <f t="shared" ca="1" si="96"/>
        <v>-6.3793936460956338E-2</v>
      </c>
      <c r="I666">
        <f t="shared" ca="1" si="97"/>
        <v>9.8172319333743163E-3</v>
      </c>
      <c r="J666" s="5">
        <f t="shared" ca="1" si="98"/>
        <v>7.3611168394330656E-2</v>
      </c>
    </row>
    <row r="667" spans="1:10" x14ac:dyDescent="0.2">
      <c r="A667">
        <f t="shared" ca="1" si="90"/>
        <v>0.34158947025314623</v>
      </c>
      <c r="B667">
        <f t="shared" ca="1" si="91"/>
        <v>-0.4081290405662234</v>
      </c>
      <c r="C667">
        <f t="shared" ca="1" si="95"/>
        <v>-27.519202763469288</v>
      </c>
      <c r="D667" s="22">
        <f t="shared" ca="1" si="92"/>
        <v>0.36706248370902261</v>
      </c>
      <c r="F667">
        <f t="shared" si="93"/>
        <v>0.66100000000000048</v>
      </c>
      <c r="G667">
        <f t="shared" ca="1" si="94"/>
        <v>-6.8550541979561674E-2</v>
      </c>
      <c r="H667">
        <f t="shared" ca="1" si="96"/>
        <v>-6.8554408969194916E-2</v>
      </c>
      <c r="I667">
        <f t="shared" ca="1" si="97"/>
        <v>9.7713765352288075E-3</v>
      </c>
      <c r="J667" s="5">
        <f t="shared" ca="1" si="98"/>
        <v>7.832578550442372E-2</v>
      </c>
    </row>
    <row r="668" spans="1:10" x14ac:dyDescent="0.2">
      <c r="A668">
        <f t="shared" ca="1" si="90"/>
        <v>0.69810438287841015</v>
      </c>
      <c r="B668">
        <f t="shared" ca="1" si="91"/>
        <v>0.51895627336529371</v>
      </c>
      <c r="C668">
        <f t="shared" ca="1" si="95"/>
        <v>-27.000246490103994</v>
      </c>
      <c r="D668" s="22">
        <f t="shared" ca="1" si="92"/>
        <v>0.34868151425131239</v>
      </c>
      <c r="F668">
        <f t="shared" si="93"/>
        <v>0.66200000000000048</v>
      </c>
      <c r="G668">
        <f t="shared" ca="1" si="94"/>
        <v>-6.9824240587358158E-2</v>
      </c>
      <c r="H668">
        <f t="shared" ca="1" si="96"/>
        <v>-6.9828170875746512E-2</v>
      </c>
      <c r="I668">
        <f t="shared" ca="1" si="97"/>
        <v>9.7597006892477228E-3</v>
      </c>
      <c r="J668" s="5">
        <f t="shared" ca="1" si="98"/>
        <v>7.9587871564994236E-2</v>
      </c>
    </row>
    <row r="669" spans="1:10" x14ac:dyDescent="0.2">
      <c r="A669">
        <f t="shared" ca="1" si="90"/>
        <v>0.30616082359161789</v>
      </c>
      <c r="B669">
        <f t="shared" ca="1" si="91"/>
        <v>-0.50676224930923686</v>
      </c>
      <c r="C669">
        <f t="shared" ca="1" si="95"/>
        <v>-27.50700873941323</v>
      </c>
      <c r="D669" s="22">
        <f t="shared" ca="1" si="92"/>
        <v>0.3508689377860279</v>
      </c>
      <c r="F669">
        <f t="shared" si="93"/>
        <v>0.66300000000000048</v>
      </c>
      <c r="G669">
        <f t="shared" ca="1" si="94"/>
        <v>-6.8166257233297736E-2</v>
      </c>
      <c r="H669">
        <f t="shared" ca="1" si="96"/>
        <v>-6.8170104228791634E-2</v>
      </c>
      <c r="I669">
        <f t="shared" ca="1" si="97"/>
        <v>9.7766590641195084E-3</v>
      </c>
      <c r="J669" s="5">
        <f t="shared" ca="1" si="98"/>
        <v>7.7946763292911142E-2</v>
      </c>
    </row>
    <row r="670" spans="1:10" x14ac:dyDescent="0.2">
      <c r="A670">
        <f t="shared" ca="1" si="90"/>
        <v>0.61553952903303921</v>
      </c>
      <c r="B670">
        <f t="shared" ca="1" si="91"/>
        <v>0.29378664344191979</v>
      </c>
      <c r="C670">
        <f t="shared" ca="1" si="95"/>
        <v>-27.213222095971311</v>
      </c>
      <c r="D670" s="22">
        <f t="shared" ca="1" si="92"/>
        <v>0.38209201243283891</v>
      </c>
      <c r="F670">
        <f t="shared" si="93"/>
        <v>0.66400000000000048</v>
      </c>
      <c r="G670">
        <f t="shared" ca="1" si="94"/>
        <v>-6.9751884265576394E-2</v>
      </c>
      <c r="H670">
        <f t="shared" ca="1" si="96"/>
        <v>-6.9755810158376036E-2</v>
      </c>
      <c r="I670">
        <f t="shared" ca="1" si="97"/>
        <v>9.761931630065222E-3</v>
      </c>
      <c r="J670" s="5">
        <f t="shared" ca="1" si="98"/>
        <v>7.951774178844126E-2</v>
      </c>
    </row>
    <row r="671" spans="1:10" x14ac:dyDescent="0.2">
      <c r="A671">
        <f t="shared" ca="1" si="90"/>
        <v>0.86395186457193163</v>
      </c>
      <c r="B671">
        <f t="shared" ca="1" si="91"/>
        <v>1.0982478641937441</v>
      </c>
      <c r="C671">
        <f t="shared" ca="1" si="95"/>
        <v>-26.114974231777566</v>
      </c>
      <c r="D671" s="22">
        <f t="shared" ca="1" si="92"/>
        <v>0.21827212413177904</v>
      </c>
      <c r="F671">
        <f t="shared" si="93"/>
        <v>0.66500000000000048</v>
      </c>
      <c r="G671">
        <f t="shared" ca="1" si="94"/>
        <v>-6.8805921436280296E-2</v>
      </c>
      <c r="H671">
        <f t="shared" ca="1" si="96"/>
        <v>-6.8809799637947963E-2</v>
      </c>
      <c r="I671">
        <f t="shared" ca="1" si="97"/>
        <v>9.7719333092910338E-3</v>
      </c>
      <c r="J671" s="5">
        <f t="shared" ca="1" si="98"/>
        <v>7.8581732947238997E-2</v>
      </c>
    </row>
    <row r="672" spans="1:10" x14ac:dyDescent="0.2">
      <c r="A672">
        <f t="shared" ca="1" si="90"/>
        <v>0.63301575583452718</v>
      </c>
      <c r="B672">
        <f t="shared" ca="1" si="91"/>
        <v>0.33985133263704032</v>
      </c>
      <c r="C672">
        <f t="shared" ca="1" si="95"/>
        <v>-25.775122899140527</v>
      </c>
      <c r="D672" s="22">
        <f t="shared" ca="1" si="92"/>
        <v>0.37655619094051473</v>
      </c>
      <c r="F672">
        <f t="shared" si="93"/>
        <v>0.66600000000000048</v>
      </c>
      <c r="G672">
        <f t="shared" ca="1" si="94"/>
        <v>-6.5316250642869916E-2</v>
      </c>
      <c r="H672">
        <f t="shared" ca="1" si="96"/>
        <v>-6.5319953971716652E-2</v>
      </c>
      <c r="I672">
        <f t="shared" ca="1" si="97"/>
        <v>9.8068614964702903E-3</v>
      </c>
      <c r="J672" s="5">
        <f t="shared" ca="1" si="98"/>
        <v>7.5126815468186947E-2</v>
      </c>
    </row>
    <row r="673" spans="1:10" x14ac:dyDescent="0.2">
      <c r="A673">
        <f t="shared" ca="1" si="90"/>
        <v>0.51851824679399006</v>
      </c>
      <c r="B673">
        <f t="shared" ca="1" si="91"/>
        <v>4.6435042923422584E-2</v>
      </c>
      <c r="C673">
        <f t="shared" ca="1" si="95"/>
        <v>-25.728687856217103</v>
      </c>
      <c r="D673" s="22">
        <f t="shared" ca="1" si="92"/>
        <v>0.39851240985843184</v>
      </c>
      <c r="F673">
        <f t="shared" si="93"/>
        <v>0.66700000000000048</v>
      </c>
      <c r="G673">
        <f t="shared" ca="1" si="94"/>
        <v>-6.4225069300357748E-2</v>
      </c>
      <c r="H673">
        <f t="shared" ca="1" si="96"/>
        <v>-6.4228717699342922E-2</v>
      </c>
      <c r="I673">
        <f t="shared" ca="1" si="97"/>
        <v>9.8183393358366542E-3</v>
      </c>
      <c r="J673" s="5">
        <f t="shared" ca="1" si="98"/>
        <v>7.4047057035179581E-2</v>
      </c>
    </row>
    <row r="674" spans="1:10" x14ac:dyDescent="0.2">
      <c r="A674">
        <f t="shared" ca="1" si="90"/>
        <v>0.28612701928149809</v>
      </c>
      <c r="B674">
        <f t="shared" ca="1" si="91"/>
        <v>-0.56473497900866065</v>
      </c>
      <c r="C674">
        <f t="shared" ca="1" si="95"/>
        <v>-26.293422835225766</v>
      </c>
      <c r="D674" s="22">
        <f t="shared" ca="1" si="92"/>
        <v>0.34013886051768433</v>
      </c>
      <c r="F674">
        <f t="shared" si="93"/>
        <v>0.66800000000000048</v>
      </c>
      <c r="G674">
        <f t="shared" ca="1" si="94"/>
        <v>-6.4061814457359034E-2</v>
      </c>
      <c r="H674">
        <f t="shared" ca="1" si="96"/>
        <v>-6.406545432868728E-2</v>
      </c>
      <c r="I674">
        <f t="shared" ca="1" si="97"/>
        <v>9.8207140950647663E-3</v>
      </c>
      <c r="J674" s="5">
        <f t="shared" ca="1" si="98"/>
        <v>7.3886168423752049E-2</v>
      </c>
    </row>
    <row r="675" spans="1:10" x14ac:dyDescent="0.2">
      <c r="A675">
        <f t="shared" ca="1" si="90"/>
        <v>0.48529797464974145</v>
      </c>
      <c r="B675">
        <f t="shared" ca="1" si="91"/>
        <v>-3.6860858018028728E-2</v>
      </c>
      <c r="C675">
        <f t="shared" ca="1" si="95"/>
        <v>-26.330283693243793</v>
      </c>
      <c r="D675" s="22">
        <f t="shared" ca="1" si="92"/>
        <v>0.39867134644602309</v>
      </c>
      <c r="F675">
        <f t="shared" si="93"/>
        <v>0.66900000000000048</v>
      </c>
      <c r="G675">
        <f t="shared" ca="1" si="94"/>
        <v>-6.5831168615509736E-2</v>
      </c>
      <c r="H675">
        <f t="shared" ca="1" si="96"/>
        <v>-6.583489659128916E-2</v>
      </c>
      <c r="I675">
        <f t="shared" ca="1" si="97"/>
        <v>9.8041227829960328E-3</v>
      </c>
      <c r="J675" s="5">
        <f t="shared" ca="1" si="98"/>
        <v>7.5639019374285188E-2</v>
      </c>
    </row>
    <row r="676" spans="1:10" x14ac:dyDescent="0.2">
      <c r="A676">
        <f t="shared" ca="1" si="90"/>
        <v>0.5834206737493739</v>
      </c>
      <c r="B676">
        <f t="shared" ca="1" si="91"/>
        <v>0.21065223065473332</v>
      </c>
      <c r="C676">
        <f t="shared" ca="1" si="95"/>
        <v>-26.119631462589059</v>
      </c>
      <c r="D676" s="22">
        <f t="shared" ca="1" si="92"/>
        <v>0.39018834741621727</v>
      </c>
      <c r="F676">
        <f t="shared" si="93"/>
        <v>0.67000000000000048</v>
      </c>
      <c r="G676">
        <f t="shared" ca="1" si="94"/>
        <v>-6.5931144767650884E-2</v>
      </c>
      <c r="H676">
        <f t="shared" ca="1" si="96"/>
        <v>-6.5934877369475078E-2</v>
      </c>
      <c r="I676">
        <f t="shared" ca="1" si="97"/>
        <v>9.8039113665458824E-3</v>
      </c>
      <c r="J676" s="5">
        <f t="shared" ca="1" si="98"/>
        <v>7.5738788736020968E-2</v>
      </c>
    </row>
    <row r="677" spans="1:10" x14ac:dyDescent="0.2">
      <c r="A677">
        <f t="shared" ca="1" si="90"/>
        <v>0.84725965457288421</v>
      </c>
      <c r="B677">
        <f t="shared" ca="1" si="91"/>
        <v>1.0247510027843143</v>
      </c>
      <c r="C677">
        <f t="shared" ca="1" si="95"/>
        <v>-25.094880459804745</v>
      </c>
      <c r="D677" s="22">
        <f t="shared" ca="1" si="92"/>
        <v>0.23598292174592544</v>
      </c>
      <c r="F677">
        <f t="shared" si="93"/>
        <v>0.67100000000000048</v>
      </c>
      <c r="G677">
        <f t="shared" ca="1" si="94"/>
        <v>-6.5248444945392503E-2</v>
      </c>
      <c r="H677">
        <f t="shared" ca="1" si="96"/>
        <v>-6.5252143038674035E-2</v>
      </c>
      <c r="I677">
        <f t="shared" ca="1" si="97"/>
        <v>9.811376364505766E-3</v>
      </c>
      <c r="J677" s="5">
        <f t="shared" ca="1" si="98"/>
        <v>7.5063519403179804E-2</v>
      </c>
    </row>
    <row r="678" spans="1:10" x14ac:dyDescent="0.2">
      <c r="A678">
        <f t="shared" ca="1" si="90"/>
        <v>0.12248000772472112</v>
      </c>
      <c r="B678">
        <f t="shared" ca="1" si="91"/>
        <v>-1.1626783828414966</v>
      </c>
      <c r="C678">
        <f t="shared" ca="1" si="95"/>
        <v>-26.25755884264624</v>
      </c>
      <c r="D678" s="22">
        <f t="shared" ca="1" si="92"/>
        <v>0.20293916104027929</v>
      </c>
      <c r="F678">
        <f t="shared" si="93"/>
        <v>0.67200000000000049</v>
      </c>
      <c r="G678">
        <f t="shared" ca="1" si="94"/>
        <v>-6.1991535744381987E-2</v>
      </c>
      <c r="H678">
        <f t="shared" ca="1" si="96"/>
        <v>-6.1995070621030185E-2</v>
      </c>
      <c r="I678">
        <f t="shared" ca="1" si="97"/>
        <v>9.8441573143089704E-3</v>
      </c>
      <c r="J678" s="5">
        <f t="shared" ca="1" si="98"/>
        <v>7.1839227935339159E-2</v>
      </c>
    </row>
    <row r="679" spans="1:10" x14ac:dyDescent="0.2">
      <c r="A679">
        <f t="shared" ca="1" si="90"/>
        <v>0.98815354769124419</v>
      </c>
      <c r="B679">
        <f t="shared" ca="1" si="91"/>
        <v>2.2620728192001813</v>
      </c>
      <c r="C679">
        <f t="shared" ca="1" si="95"/>
        <v>-23.995486023446059</v>
      </c>
      <c r="D679" s="22">
        <f t="shared" ca="1" si="92"/>
        <v>3.0886834529204911E-2</v>
      </c>
      <c r="F679">
        <f t="shared" si="93"/>
        <v>0.67300000000000049</v>
      </c>
      <c r="G679">
        <f t="shared" ca="1" si="94"/>
        <v>-6.5651865448824273E-2</v>
      </c>
      <c r="H679">
        <f t="shared" ca="1" si="96"/>
        <v>-6.5655582989988442E-2</v>
      </c>
      <c r="I679">
        <f t="shared" ca="1" si="97"/>
        <v>9.8089614475002744E-3</v>
      </c>
      <c r="J679" s="5">
        <f t="shared" ca="1" si="98"/>
        <v>7.546454443748872E-2</v>
      </c>
    </row>
    <row r="680" spans="1:10" x14ac:dyDescent="0.2">
      <c r="A680">
        <f t="shared" ca="1" si="90"/>
        <v>5.0927532634123862E-2</v>
      </c>
      <c r="B680">
        <f t="shared" ca="1" si="91"/>
        <v>-1.6359260499206205</v>
      </c>
      <c r="C680">
        <f t="shared" ca="1" si="95"/>
        <v>-25.631412073366679</v>
      </c>
      <c r="D680" s="22">
        <f t="shared" ca="1" si="92"/>
        <v>0.10465714537766589</v>
      </c>
      <c r="F680">
        <f t="shared" si="93"/>
        <v>0.67400000000000049</v>
      </c>
      <c r="G680">
        <f t="shared" ca="1" si="94"/>
        <v>-5.8482356398895298E-2</v>
      </c>
      <c r="H680">
        <f t="shared" ca="1" si="96"/>
        <v>-5.84857150898586E-2</v>
      </c>
      <c r="I680">
        <f t="shared" ca="1" si="97"/>
        <v>9.8803180604733806E-3</v>
      </c>
      <c r="J680" s="5">
        <f t="shared" ca="1" si="98"/>
        <v>6.8366033150331976E-2</v>
      </c>
    </row>
    <row r="681" spans="1:10" x14ac:dyDescent="0.2">
      <c r="A681">
        <f t="shared" ca="1" si="90"/>
        <v>0.34257439198581519</v>
      </c>
      <c r="B681">
        <f t="shared" ca="1" si="91"/>
        <v>-0.40544725190969549</v>
      </c>
      <c r="C681">
        <f t="shared" ca="1" si="95"/>
        <v>-26.036859325276374</v>
      </c>
      <c r="D681" s="22">
        <f t="shared" ca="1" si="92"/>
        <v>0.36746313795471924</v>
      </c>
      <c r="F681">
        <f t="shared" si="93"/>
        <v>0.67500000000000049</v>
      </c>
      <c r="G681">
        <f t="shared" ca="1" si="94"/>
        <v>-6.3639502705149328E-2</v>
      </c>
      <c r="H681">
        <f t="shared" ca="1" si="96"/>
        <v>-6.3643118919701092E-2</v>
      </c>
      <c r="I681">
        <f t="shared" ca="1" si="97"/>
        <v>9.8302704961932795E-3</v>
      </c>
      <c r="J681" s="5">
        <f t="shared" ca="1" si="98"/>
        <v>7.3473389415894375E-2</v>
      </c>
    </row>
    <row r="682" spans="1:10" x14ac:dyDescent="0.2">
      <c r="A682">
        <f t="shared" ca="1" si="90"/>
        <v>0.56987981269031107</v>
      </c>
      <c r="B682">
        <f t="shared" ca="1" si="91"/>
        <v>0.17606818564132548</v>
      </c>
      <c r="C682">
        <f t="shared" ca="1" si="95"/>
        <v>-25.860791139635047</v>
      </c>
      <c r="D682" s="22">
        <f t="shared" ca="1" si="92"/>
        <v>0.39280635017382765</v>
      </c>
      <c r="F682">
        <f t="shared" si="93"/>
        <v>0.67600000000000049</v>
      </c>
      <c r="G682">
        <f t="shared" ca="1" si="94"/>
        <v>-6.4905212255971401E-2</v>
      </c>
      <c r="H682">
        <f t="shared" ca="1" si="96"/>
        <v>-6.4908891394899804E-2</v>
      </c>
      <c r="I682">
        <f t="shared" ca="1" si="97"/>
        <v>9.8186075445893545E-3</v>
      </c>
      <c r="J682" s="5">
        <f t="shared" ca="1" si="98"/>
        <v>7.4727498939489156E-2</v>
      </c>
    </row>
    <row r="683" spans="1:10" x14ac:dyDescent="0.2">
      <c r="A683">
        <f t="shared" ca="1" si="90"/>
        <v>0.81225300656301469</v>
      </c>
      <c r="B683">
        <f t="shared" ca="1" si="91"/>
        <v>0.88622928335604567</v>
      </c>
      <c r="C683">
        <f t="shared" ca="1" si="95"/>
        <v>-24.974561856279003</v>
      </c>
      <c r="D683" s="22">
        <f t="shared" ca="1" si="92"/>
        <v>0.26937799373740073</v>
      </c>
      <c r="F683">
        <f t="shared" si="93"/>
        <v>0.67700000000000049</v>
      </c>
      <c r="G683">
        <f t="shared" ca="1" si="94"/>
        <v>-6.4331973906789047E-2</v>
      </c>
      <c r="H683">
        <f t="shared" ca="1" si="96"/>
        <v>-6.4335624015640372E-2</v>
      </c>
      <c r="I683">
        <f t="shared" ca="1" si="97"/>
        <v>9.8250091681398727E-3</v>
      </c>
      <c r="J683" s="5">
        <f t="shared" ca="1" si="98"/>
        <v>7.4160633183780245E-2</v>
      </c>
    </row>
    <row r="684" spans="1:10" x14ac:dyDescent="0.2">
      <c r="A684">
        <f t="shared" ca="1" si="90"/>
        <v>0.6356550057475705</v>
      </c>
      <c r="B684">
        <f t="shared" ca="1" si="91"/>
        <v>0.34686866499921748</v>
      </c>
      <c r="C684">
        <f t="shared" ca="1" si="95"/>
        <v>-24.627693191279786</v>
      </c>
      <c r="D684" s="22">
        <f t="shared" ca="1" si="92"/>
        <v>0.37564998181220138</v>
      </c>
      <c r="F684">
        <f t="shared" si="93"/>
        <v>0.67800000000000049</v>
      </c>
      <c r="G684">
        <f t="shared" ca="1" si="94"/>
        <v>-6.1513178585801929E-2</v>
      </c>
      <c r="H684">
        <f t="shared" ca="1" si="96"/>
        <v>-6.1516687388694952E-2</v>
      </c>
      <c r="I684">
        <f t="shared" ca="1" si="97"/>
        <v>9.853518445226736E-3</v>
      </c>
      <c r="J684" s="5">
        <f t="shared" ca="1" si="98"/>
        <v>7.1370205833921688E-2</v>
      </c>
    </row>
    <row r="685" spans="1:10" x14ac:dyDescent="0.2">
      <c r="A685">
        <f t="shared" ca="1" si="90"/>
        <v>0.3543029464721642</v>
      </c>
      <c r="B685">
        <f t="shared" ca="1" si="91"/>
        <v>-0.37372907312041687</v>
      </c>
      <c r="C685">
        <f t="shared" ca="1" si="95"/>
        <v>-25.001422264400201</v>
      </c>
      <c r="D685" s="22">
        <f t="shared" ca="1" si="92"/>
        <v>0.37203206088336027</v>
      </c>
      <c r="F685">
        <f t="shared" si="93"/>
        <v>0.67900000000000049</v>
      </c>
      <c r="G685">
        <f t="shared" ca="1" si="94"/>
        <v>-6.0400187887609286E-2</v>
      </c>
      <c r="H685">
        <f t="shared" ca="1" si="96"/>
        <v>-6.0403640689616629E-2</v>
      </c>
      <c r="I685">
        <f t="shared" ca="1" si="97"/>
        <v>9.8652698066964504E-3</v>
      </c>
      <c r="J685" s="5">
        <f t="shared" ca="1" si="98"/>
        <v>7.0268910496313078E-2</v>
      </c>
    </row>
    <row r="686" spans="1:10" x14ac:dyDescent="0.2">
      <c r="A686">
        <f t="shared" ca="1" si="90"/>
        <v>9.3809011950271026E-2</v>
      </c>
      <c r="B686">
        <f t="shared" ca="1" si="91"/>
        <v>-1.3176584071865014</v>
      </c>
      <c r="C686">
        <f t="shared" ca="1" si="95"/>
        <v>-26.319080671586704</v>
      </c>
      <c r="D686" s="22">
        <f t="shared" ca="1" si="92"/>
        <v>0.16745336703851349</v>
      </c>
      <c r="F686">
        <f t="shared" si="93"/>
        <v>0.68000000000000049</v>
      </c>
      <c r="G686">
        <f t="shared" ca="1" si="94"/>
        <v>-6.1565924680385964E-2</v>
      </c>
      <c r="H686">
        <f t="shared" ca="1" si="96"/>
        <v>-6.1569435424431794E-2</v>
      </c>
      <c r="I686">
        <f t="shared" ca="1" si="97"/>
        <v>9.8545537095806358E-3</v>
      </c>
      <c r="J686" s="5">
        <f t="shared" ca="1" si="98"/>
        <v>7.1423989134012433E-2</v>
      </c>
    </row>
    <row r="687" spans="1:10" x14ac:dyDescent="0.2">
      <c r="A687">
        <f t="shared" ca="1" si="90"/>
        <v>0.37835765323951298</v>
      </c>
      <c r="B687">
        <f t="shared" ca="1" si="91"/>
        <v>-0.30979703502077433</v>
      </c>
      <c r="C687">
        <f t="shared" ca="1" si="95"/>
        <v>-26.628877706607479</v>
      </c>
      <c r="D687" s="22">
        <f t="shared" ca="1" si="92"/>
        <v>0.38025027118840043</v>
      </c>
      <c r="F687">
        <f t="shared" si="93"/>
        <v>0.68100000000000049</v>
      </c>
      <c r="G687">
        <f t="shared" ca="1" si="94"/>
        <v>-6.5716362309092766E-2</v>
      </c>
      <c r="H687">
        <f t="shared" ca="1" si="96"/>
        <v>-6.5720080225668276E-2</v>
      </c>
      <c r="I687">
        <f t="shared" ca="1" si="97"/>
        <v>9.8145095019554814E-3</v>
      </c>
      <c r="J687" s="5">
        <f t="shared" ca="1" si="98"/>
        <v>7.5534589727623752E-2</v>
      </c>
    </row>
    <row r="688" spans="1:10" x14ac:dyDescent="0.2">
      <c r="A688">
        <f t="shared" ca="1" si="90"/>
        <v>0.5979876015642781</v>
      </c>
      <c r="B688">
        <f t="shared" ca="1" si="91"/>
        <v>0.24814166837010226</v>
      </c>
      <c r="C688">
        <f t="shared" ca="1" si="95"/>
        <v>-26.380736038237377</v>
      </c>
      <c r="D688" s="22">
        <f t="shared" ca="1" si="92"/>
        <v>0.38684712996711224</v>
      </c>
      <c r="F688">
        <f t="shared" si="93"/>
        <v>0.68200000000000049</v>
      </c>
      <c r="G688">
        <f t="shared" ca="1" si="94"/>
        <v>-6.6679406763277382E-2</v>
      </c>
      <c r="H688">
        <f t="shared" ca="1" si="96"/>
        <v>-6.6683172460678314E-2</v>
      </c>
      <c r="I688">
        <f t="shared" ca="1" si="97"/>
        <v>9.8058307957727339E-3</v>
      </c>
      <c r="J688" s="5">
        <f t="shared" ca="1" si="98"/>
        <v>7.6489003256451055E-2</v>
      </c>
    </row>
    <row r="689" spans="1:10" x14ac:dyDescent="0.2">
      <c r="A689">
        <f t="shared" ca="1" si="90"/>
        <v>0.6074970798295164</v>
      </c>
      <c r="B689">
        <f t="shared" ca="1" si="91"/>
        <v>0.27280145591544547</v>
      </c>
      <c r="C689">
        <f t="shared" ca="1" si="95"/>
        <v>-26.107934582321931</v>
      </c>
      <c r="D689" s="22">
        <f t="shared" ca="1" si="92"/>
        <v>0.38437030682600276</v>
      </c>
      <c r="F689">
        <f t="shared" si="93"/>
        <v>0.6830000000000005</v>
      </c>
      <c r="G689">
        <f t="shared" ca="1" si="94"/>
        <v>-6.5878086034534655E-2</v>
      </c>
      <c r="H689">
        <f t="shared" ca="1" si="96"/>
        <v>-6.5881811288988554E-2</v>
      </c>
      <c r="I689">
        <f t="shared" ca="1" si="97"/>
        <v>9.8144607103362192E-3</v>
      </c>
      <c r="J689" s="5">
        <f t="shared" ca="1" si="98"/>
        <v>7.5696271999324771E-2</v>
      </c>
    </row>
    <row r="690" spans="1:10" x14ac:dyDescent="0.2">
      <c r="A690">
        <f t="shared" ca="1" si="90"/>
        <v>0.4044779158481373</v>
      </c>
      <c r="B690">
        <f t="shared" ca="1" si="91"/>
        <v>-0.24177329617350843</v>
      </c>
      <c r="C690">
        <f t="shared" ca="1" si="95"/>
        <v>-26.34970787849544</v>
      </c>
      <c r="D690" s="22">
        <f t="shared" ca="1" si="92"/>
        <v>0.38745107486381003</v>
      </c>
      <c r="F690">
        <f t="shared" si="93"/>
        <v>0.6840000000000005</v>
      </c>
      <c r="G690">
        <f t="shared" ca="1" si="94"/>
        <v>-6.49988682374915E-2</v>
      </c>
      <c r="H690">
        <f t="shared" ca="1" si="96"/>
        <v>-6.5002549158156828E-2</v>
      </c>
      <c r="I690">
        <f t="shared" ca="1" si="97"/>
        <v>9.8238642657402162E-3</v>
      </c>
      <c r="J690" s="5">
        <f t="shared" ca="1" si="98"/>
        <v>7.4826413423897037E-2</v>
      </c>
    </row>
    <row r="691" spans="1:10" x14ac:dyDescent="0.2">
      <c r="A691">
        <f t="shared" ca="1" si="90"/>
        <v>3.4707351024885869E-2</v>
      </c>
      <c r="B691">
        <f t="shared" ca="1" si="91"/>
        <v>-1.8157110895296256</v>
      </c>
      <c r="C691">
        <f t="shared" ca="1" si="95"/>
        <v>-28.165418968025065</v>
      </c>
      <c r="D691" s="22">
        <f t="shared" ca="1" si="92"/>
        <v>7.6739254139802288E-2</v>
      </c>
      <c r="F691">
        <f t="shared" si="93"/>
        <v>0.6850000000000005</v>
      </c>
      <c r="G691">
        <f t="shared" ca="1" si="94"/>
        <v>-6.5746885242827444E-2</v>
      </c>
      <c r="H691">
        <f t="shared" ca="1" si="96"/>
        <v>-6.5750603196555776E-2</v>
      </c>
      <c r="I691">
        <f t="shared" ca="1" si="97"/>
        <v>9.8172888567864443E-3</v>
      </c>
      <c r="J691" s="5">
        <f t="shared" ca="1" si="98"/>
        <v>7.5567892053342217E-2</v>
      </c>
    </row>
    <row r="692" spans="1:10" x14ac:dyDescent="0.2">
      <c r="A692">
        <f t="shared" ca="1" si="90"/>
        <v>0.32939407237250529</v>
      </c>
      <c r="B692">
        <f t="shared" ca="1" si="91"/>
        <v>-0.44158692836798497</v>
      </c>
      <c r="C692">
        <f t="shared" ca="1" si="95"/>
        <v>-28.607005896393051</v>
      </c>
      <c r="D692" s="22">
        <f t="shared" ca="1" si="92"/>
        <v>0.36188165486914969</v>
      </c>
      <c r="F692">
        <f t="shared" si="93"/>
        <v>0.6860000000000005</v>
      </c>
      <c r="G692">
        <f t="shared" ca="1" si="94"/>
        <v>-7.1471806921580228E-2</v>
      </c>
      <c r="H692">
        <f t="shared" ca="1" si="96"/>
        <v>-7.1475810751975649E-2</v>
      </c>
      <c r="I692">
        <f t="shared" ca="1" si="97"/>
        <v>9.7620089843360909E-3</v>
      </c>
      <c r="J692" s="5">
        <f t="shared" ca="1" si="98"/>
        <v>8.1237819736311737E-2</v>
      </c>
    </row>
    <row r="693" spans="1:10" x14ac:dyDescent="0.2">
      <c r="A693">
        <f t="shared" ca="1" si="90"/>
        <v>1.8072966608311813E-2</v>
      </c>
      <c r="B693">
        <f t="shared" ca="1" si="91"/>
        <v>-2.0952819818748867</v>
      </c>
      <c r="C693">
        <f t="shared" ca="1" si="95"/>
        <v>-30.702287878267938</v>
      </c>
      <c r="D693" s="22">
        <f t="shared" ca="1" si="92"/>
        <v>4.4421049902490434E-2</v>
      </c>
      <c r="F693">
        <f t="shared" si="93"/>
        <v>0.6870000000000005</v>
      </c>
      <c r="G693">
        <f t="shared" ca="1" si="94"/>
        <v>-7.2851011258704135E-2</v>
      </c>
      <c r="H693">
        <f t="shared" ca="1" si="96"/>
        <v>-7.2855083649500912E-2</v>
      </c>
      <c r="I693">
        <f t="shared" ca="1" si="97"/>
        <v>9.7493127692806908E-3</v>
      </c>
      <c r="J693" s="5">
        <f t="shared" ca="1" si="98"/>
        <v>8.2604396418781603E-2</v>
      </c>
    </row>
    <row r="694" spans="1:10" x14ac:dyDescent="0.2">
      <c r="A694">
        <f t="shared" ca="1" si="90"/>
        <v>0.63167063056726069</v>
      </c>
      <c r="B694">
        <f t="shared" ca="1" si="91"/>
        <v>0.33628131488829199</v>
      </c>
      <c r="C694">
        <f t="shared" ca="1" si="95"/>
        <v>-30.366006563379646</v>
      </c>
      <c r="D694" s="22">
        <f t="shared" ca="1" si="92"/>
        <v>0.37701093201164554</v>
      </c>
      <c r="F694">
        <f t="shared" si="93"/>
        <v>0.6880000000000005</v>
      </c>
      <c r="G694">
        <f t="shared" ca="1" si="94"/>
        <v>-7.9459259145473929E-2</v>
      </c>
      <c r="H694">
        <f t="shared" ca="1" si="96"/>
        <v>-7.946366154417224E-2</v>
      </c>
      <c r="I694">
        <f t="shared" ca="1" si="97"/>
        <v>9.6858488021341338E-3</v>
      </c>
      <c r="J694" s="5">
        <f t="shared" ca="1" si="98"/>
        <v>8.9149510346306374E-2</v>
      </c>
    </row>
    <row r="695" spans="1:10" x14ac:dyDescent="0.2">
      <c r="A695">
        <f t="shared" ca="1" si="90"/>
        <v>0.9769151711273969</v>
      </c>
      <c r="B695">
        <f t="shared" ca="1" si="91"/>
        <v>1.9938389473959461</v>
      </c>
      <c r="C695">
        <f t="shared" ca="1" si="95"/>
        <v>-28.372167615983699</v>
      </c>
      <c r="D695" s="22">
        <f t="shared" ca="1" si="92"/>
        <v>5.4659327205190324E-2</v>
      </c>
      <c r="F695">
        <f t="shared" si="93"/>
        <v>0.6890000000000005</v>
      </c>
      <c r="G695">
        <f t="shared" ca="1" si="94"/>
        <v>-7.8377952395751599E-2</v>
      </c>
      <c r="H695">
        <f t="shared" ca="1" si="96"/>
        <v>-7.838230028841453E-2</v>
      </c>
      <c r="I695">
        <f t="shared" ca="1" si="97"/>
        <v>9.6970755349567502E-3</v>
      </c>
      <c r="J695" s="5">
        <f t="shared" ca="1" si="98"/>
        <v>8.8079375823371275E-2</v>
      </c>
    </row>
    <row r="696" spans="1:10" x14ac:dyDescent="0.2">
      <c r="A696">
        <f t="shared" ca="1" si="90"/>
        <v>0.12986736161361123</v>
      </c>
      <c r="B696">
        <f t="shared" ca="1" si="91"/>
        <v>-1.1270183487143881</v>
      </c>
      <c r="C696">
        <f t="shared" ca="1" si="95"/>
        <v>-29.499185964698086</v>
      </c>
      <c r="D696" s="22">
        <f t="shared" ca="1" si="92"/>
        <v>0.21139566490098391</v>
      </c>
      <c r="F696">
        <f t="shared" si="93"/>
        <v>0.6900000000000005</v>
      </c>
      <c r="G696">
        <f t="shared" ca="1" si="94"/>
        <v>-7.2055358371531292E-2</v>
      </c>
      <c r="H696">
        <f t="shared" ca="1" si="96"/>
        <v>-7.2059389697061854E-2</v>
      </c>
      <c r="I696">
        <f t="shared" ca="1" si="97"/>
        <v>9.7593365450363533E-3</v>
      </c>
      <c r="J696" s="5">
        <f t="shared" ca="1" si="98"/>
        <v>8.1818726242098211E-2</v>
      </c>
    </row>
    <row r="697" spans="1:10" x14ac:dyDescent="0.2">
      <c r="A697">
        <f t="shared" ca="1" si="90"/>
        <v>5.1307198943102761E-2</v>
      </c>
      <c r="B697">
        <f t="shared" ca="1" si="91"/>
        <v>-1.6323090491745462</v>
      </c>
      <c r="C697">
        <f t="shared" ca="1" si="95"/>
        <v>-31.13149501387263</v>
      </c>
      <c r="D697" s="22">
        <f t="shared" ca="1" si="92"/>
        <v>0.10527756407974444</v>
      </c>
      <c r="F697">
        <f t="shared" si="93"/>
        <v>0.6910000000000005</v>
      </c>
      <c r="G697">
        <f t="shared" ca="1" si="94"/>
        <v>-7.5601920452858851E-2</v>
      </c>
      <c r="H697">
        <f t="shared" ca="1" si="96"/>
        <v>-7.5606128704831521E-2</v>
      </c>
      <c r="I697">
        <f t="shared" ca="1" si="97"/>
        <v>9.7255405958789568E-3</v>
      </c>
      <c r="J697" s="5">
        <f t="shared" ca="1" si="98"/>
        <v>8.5331669300710483E-2</v>
      </c>
    </row>
    <row r="698" spans="1:10" x14ac:dyDescent="0.2">
      <c r="A698">
        <f t="shared" ca="1" si="90"/>
        <v>0.21952494066576955</v>
      </c>
      <c r="B698">
        <f t="shared" ca="1" si="91"/>
        <v>-0.7737986325062236</v>
      </c>
      <c r="C698">
        <f t="shared" ca="1" si="95"/>
        <v>-31.905293646378855</v>
      </c>
      <c r="D698" s="22">
        <f t="shared" ca="1" si="92"/>
        <v>0.2957263649252625</v>
      </c>
      <c r="F698">
        <f t="shared" si="93"/>
        <v>0.6920000000000005</v>
      </c>
      <c r="G698">
        <f t="shared" ca="1" si="94"/>
        <v>-8.0745917499520536E-2</v>
      </c>
      <c r="H698">
        <f t="shared" ca="1" si="96"/>
        <v>-8.0750382532656401E-2</v>
      </c>
      <c r="I698">
        <f t="shared" ca="1" si="97"/>
        <v>9.6763877157624197E-3</v>
      </c>
      <c r="J698" s="5">
        <f t="shared" ca="1" si="98"/>
        <v>9.0426770248418817E-2</v>
      </c>
    </row>
    <row r="699" spans="1:10" x14ac:dyDescent="0.2">
      <c r="A699">
        <f t="shared" ca="1" si="90"/>
        <v>0.46025123780620913</v>
      </c>
      <c r="B699">
        <f t="shared" ca="1" si="91"/>
        <v>-9.980079660235204E-2</v>
      </c>
      <c r="C699">
        <f t="shared" ca="1" si="95"/>
        <v>-32.005094442981203</v>
      </c>
      <c r="D699" s="22">
        <f t="shared" ca="1" si="92"/>
        <v>0.39696044710929684</v>
      </c>
      <c r="F699">
        <f t="shared" si="93"/>
        <v>0.6930000000000005</v>
      </c>
      <c r="G699">
        <f t="shared" ca="1" si="94"/>
        <v>-8.3174687597304495E-2</v>
      </c>
      <c r="H699">
        <f t="shared" ca="1" si="96"/>
        <v>-8.3179273623446404E-2</v>
      </c>
      <c r="I699">
        <f t="shared" ca="1" si="97"/>
        <v>9.6536559222864821E-3</v>
      </c>
      <c r="J699" s="5">
        <f t="shared" ca="1" si="98"/>
        <v>9.2832929545732884E-2</v>
      </c>
    </row>
    <row r="700" spans="1:10" x14ac:dyDescent="0.2">
      <c r="A700">
        <f t="shared" ca="1" si="90"/>
        <v>0.77995145501490981</v>
      </c>
      <c r="B700">
        <f t="shared" ca="1" si="91"/>
        <v>0.77202927307251368</v>
      </c>
      <c r="C700">
        <f t="shared" ca="1" si="95"/>
        <v>-31.233065169908691</v>
      </c>
      <c r="D700" s="22">
        <f t="shared" ca="1" si="92"/>
        <v>0.29613106590382526</v>
      </c>
      <c r="F700">
        <f t="shared" si="93"/>
        <v>0.69400000000000051</v>
      </c>
      <c r="G700">
        <f t="shared" ca="1" si="94"/>
        <v>-8.3471953094716292E-2</v>
      </c>
      <c r="H700">
        <f t="shared" ca="1" si="96"/>
        <v>-8.3476553525646688E-2</v>
      </c>
      <c r="I700">
        <f t="shared" ca="1" si="97"/>
        <v>9.6515265816152808E-3</v>
      </c>
      <c r="J700" s="5">
        <f t="shared" ca="1" si="98"/>
        <v>9.3128080107261965E-2</v>
      </c>
    </row>
    <row r="701" spans="1:10" x14ac:dyDescent="0.2">
      <c r="A701">
        <f t="shared" ca="1" si="90"/>
        <v>0.66092375215782251</v>
      </c>
      <c r="B701">
        <f t="shared" ca="1" si="91"/>
        <v>0.41498553035823149</v>
      </c>
      <c r="C701">
        <f t="shared" ca="1" si="95"/>
        <v>-30.818079639550461</v>
      </c>
      <c r="D701" s="22">
        <f t="shared" ca="1" si="92"/>
        <v>0.36602815276792711</v>
      </c>
      <c r="F701">
        <f t="shared" si="93"/>
        <v>0.69500000000000051</v>
      </c>
      <c r="G701">
        <f t="shared" ca="1" si="94"/>
        <v>-8.101235795696296E-2</v>
      </c>
      <c r="H701">
        <f t="shared" ca="1" si="96"/>
        <v>-8.1016834947060884E-2</v>
      </c>
      <c r="I701">
        <f t="shared" ca="1" si="97"/>
        <v>9.6760375042571883E-3</v>
      </c>
      <c r="J701" s="5">
        <f t="shared" ca="1" si="98"/>
        <v>9.0692872451318074E-2</v>
      </c>
    </row>
    <row r="702" spans="1:10" x14ac:dyDescent="0.2">
      <c r="A702">
        <f t="shared" ca="1" si="90"/>
        <v>0.20932779152178671</v>
      </c>
      <c r="B702">
        <f t="shared" ca="1" si="91"/>
        <v>-0.80875587253967263</v>
      </c>
      <c r="C702">
        <f t="shared" ca="1" si="95"/>
        <v>-31.626835512090135</v>
      </c>
      <c r="D702" s="22">
        <f t="shared" ca="1" si="92"/>
        <v>0.28765841439886691</v>
      </c>
      <c r="F702">
        <f t="shared" si="93"/>
        <v>0.69600000000000051</v>
      </c>
      <c r="G702">
        <f t="shared" ca="1" si="94"/>
        <v>-7.9682023766493679E-2</v>
      </c>
      <c r="H702">
        <f t="shared" ca="1" si="96"/>
        <v>-7.9686433791621214E-2</v>
      </c>
      <c r="I702">
        <f t="shared" ca="1" si="97"/>
        <v>9.6896641728802697E-3</v>
      </c>
      <c r="J702" s="5">
        <f t="shared" ca="1" si="98"/>
        <v>8.937609796450148E-2</v>
      </c>
    </row>
    <row r="703" spans="1:10" x14ac:dyDescent="0.2">
      <c r="A703">
        <f t="shared" ca="1" si="90"/>
        <v>0.49405750240286295</v>
      </c>
      <c r="B703">
        <f t="shared" ca="1" si="91"/>
        <v>-1.489618338185271E-2</v>
      </c>
      <c r="C703">
        <f t="shared" ca="1" si="95"/>
        <v>-31.641731695471989</v>
      </c>
      <c r="D703" s="22">
        <f t="shared" ca="1" si="92"/>
        <v>0.3988980209528824</v>
      </c>
      <c r="F703">
        <f t="shared" si="93"/>
        <v>0.69700000000000051</v>
      </c>
      <c r="G703">
        <f t="shared" ca="1" si="94"/>
        <v>-8.22214392205559E-2</v>
      </c>
      <c r="H703">
        <f t="shared" ca="1" si="96"/>
        <v>-8.2225975776504243E-2</v>
      </c>
      <c r="I703">
        <f t="shared" ca="1" si="97"/>
        <v>9.6658326266310154E-3</v>
      </c>
      <c r="J703" s="5">
        <f t="shared" ca="1" si="98"/>
        <v>9.1891808403135253E-2</v>
      </c>
    </row>
    <row r="704" spans="1:10" x14ac:dyDescent="0.2">
      <c r="A704">
        <f t="shared" ca="1" si="90"/>
        <v>0.5459280050184816</v>
      </c>
      <c r="B704">
        <f t="shared" ca="1" si="91"/>
        <v>0.11537992531703095</v>
      </c>
      <c r="C704">
        <f t="shared" ca="1" si="95"/>
        <v>-31.526351770154957</v>
      </c>
      <c r="D704" s="22">
        <f t="shared" ca="1" si="92"/>
        <v>0.39629563358985931</v>
      </c>
      <c r="F704">
        <f t="shared" si="93"/>
        <v>0.69800000000000051</v>
      </c>
      <c r="G704">
        <f t="shared" ca="1" si="94"/>
        <v>-8.2250321500445617E-2</v>
      </c>
      <c r="H704">
        <f t="shared" ca="1" si="96"/>
        <v>-8.2254859046856796E-2</v>
      </c>
      <c r="I704">
        <f t="shared" ca="1" si="97"/>
        <v>9.6662955743815511E-3</v>
      </c>
      <c r="J704" s="5">
        <f t="shared" ca="1" si="98"/>
        <v>9.1921154621238343E-2</v>
      </c>
    </row>
    <row r="705" spans="1:10" x14ac:dyDescent="0.2">
      <c r="A705">
        <f t="shared" ca="1" si="90"/>
        <v>0.17481210315089479</v>
      </c>
      <c r="B705">
        <f t="shared" ca="1" si="91"/>
        <v>-0.93531845680455872</v>
      </c>
      <c r="C705">
        <f t="shared" ca="1" si="95"/>
        <v>-32.461670226959512</v>
      </c>
      <c r="D705" s="22">
        <f t="shared" ca="1" si="92"/>
        <v>0.25759959910455077</v>
      </c>
      <c r="F705">
        <f t="shared" si="93"/>
        <v>0.69900000000000051</v>
      </c>
      <c r="G705">
        <f t="shared" ca="1" si="94"/>
        <v>-8.1867252261662776E-2</v>
      </c>
      <c r="H705">
        <f t="shared" ca="1" si="96"/>
        <v>-8.1871770200690169E-2</v>
      </c>
      <c r="I705">
        <f t="shared" ca="1" si="97"/>
        <v>9.6707417717889575E-3</v>
      </c>
      <c r="J705" s="5">
        <f t="shared" ca="1" si="98"/>
        <v>9.1542511972479132E-2</v>
      </c>
    </row>
    <row r="706" spans="1:10" x14ac:dyDescent="0.2">
      <c r="A706">
        <f t="shared" ca="1" si="90"/>
        <v>0.87151363604516763</v>
      </c>
      <c r="B706">
        <f t="shared" ca="1" si="91"/>
        <v>1.1335753257908308</v>
      </c>
      <c r="C706">
        <f t="shared" ca="1" si="95"/>
        <v>-31.328094901168683</v>
      </c>
      <c r="D706" s="22">
        <f t="shared" ca="1" si="92"/>
        <v>0.20983473320757123</v>
      </c>
      <c r="F706">
        <f t="shared" si="93"/>
        <v>0.70000000000000051</v>
      </c>
      <c r="G706">
        <f t="shared" ca="1" si="94"/>
        <v>-8.4806655226167413E-2</v>
      </c>
      <c r="H706">
        <f t="shared" ca="1" si="96"/>
        <v>-8.4811319684766323E-2</v>
      </c>
      <c r="I706">
        <f t="shared" ca="1" si="97"/>
        <v>9.6430965741192646E-3</v>
      </c>
      <c r="J706" s="5">
        <f t="shared" ca="1" si="98"/>
        <v>9.4454416258885593E-2</v>
      </c>
    </row>
    <row r="707" spans="1:10" x14ac:dyDescent="0.2">
      <c r="A707">
        <f t="shared" ca="1" si="90"/>
        <v>0.46038435758706608</v>
      </c>
      <c r="B707">
        <f t="shared" ca="1" si="91"/>
        <v>-9.9465454487673979E-2</v>
      </c>
      <c r="C707">
        <f t="shared" ca="1" si="95"/>
        <v>-31.427560355656357</v>
      </c>
      <c r="D707" s="22">
        <f t="shared" ca="1" si="92"/>
        <v>0.39697371024901124</v>
      </c>
      <c r="F707">
        <f t="shared" si="93"/>
        <v>0.70100000000000051</v>
      </c>
      <c r="G707">
        <f t="shared" ca="1" si="94"/>
        <v>-8.1203674782309526E-2</v>
      </c>
      <c r="H707">
        <f t="shared" ca="1" si="96"/>
        <v>-8.1208158623931409E-2</v>
      </c>
      <c r="I707">
        <f t="shared" ca="1" si="97"/>
        <v>9.6786454471613857E-3</v>
      </c>
      <c r="J707" s="5">
        <f t="shared" ca="1" si="98"/>
        <v>9.08868040710928E-2</v>
      </c>
    </row>
    <row r="708" spans="1:10" x14ac:dyDescent="0.2">
      <c r="A708">
        <f t="shared" ca="1" si="90"/>
        <v>0.61011309185384277</v>
      </c>
      <c r="B708">
        <f t="shared" ca="1" si="91"/>
        <v>0.27961380274936465</v>
      </c>
      <c r="C708">
        <f t="shared" ca="1" si="95"/>
        <v>-31.147946552906994</v>
      </c>
      <c r="D708" s="22">
        <f t="shared" ca="1" si="92"/>
        <v>0.38364774714084815</v>
      </c>
      <c r="F708">
        <f t="shared" si="93"/>
        <v>0.70200000000000051</v>
      </c>
      <c r="G708">
        <f t="shared" ca="1" si="94"/>
        <v>-8.1500076979290362E-2</v>
      </c>
      <c r="H708">
        <f t="shared" ca="1" si="96"/>
        <v>-8.1504575192753892E-2</v>
      </c>
      <c r="I708">
        <f t="shared" ca="1" si="97"/>
        <v>9.6765208558747644E-3</v>
      </c>
      <c r="J708" s="5">
        <f t="shared" ca="1" si="98"/>
        <v>9.118109604862866E-2</v>
      </c>
    </row>
    <row r="709" spans="1:10" x14ac:dyDescent="0.2">
      <c r="A709">
        <f t="shared" ca="1" si="90"/>
        <v>0.6017624587735052</v>
      </c>
      <c r="B709">
        <f t="shared" ca="1" si="91"/>
        <v>0.25791166439645735</v>
      </c>
      <c r="C709">
        <f t="shared" ca="1" si="95"/>
        <v>-30.890034888510538</v>
      </c>
      <c r="D709" s="22">
        <f t="shared" ca="1" si="92"/>
        <v>0.38589199802892737</v>
      </c>
      <c r="F709">
        <f t="shared" si="93"/>
        <v>0.70300000000000051</v>
      </c>
      <c r="G709">
        <f t="shared" ca="1" si="94"/>
        <v>-8.0597755606135579E-2</v>
      </c>
      <c r="H709">
        <f t="shared" ca="1" si="96"/>
        <v>-8.0602208253325563E-2</v>
      </c>
      <c r="I709">
        <f t="shared" ca="1" si="97"/>
        <v>9.6860009053372064E-3</v>
      </c>
      <c r="J709" s="5">
        <f t="shared" ca="1" si="98"/>
        <v>9.0288209158662772E-2</v>
      </c>
    </row>
    <row r="710" spans="1:10" x14ac:dyDescent="0.2">
      <c r="A710">
        <f t="shared" ca="1" si="90"/>
        <v>9.844758728251557E-2</v>
      </c>
      <c r="B710">
        <f t="shared" ca="1" si="91"/>
        <v>-1.2904479448557198</v>
      </c>
      <c r="C710">
        <f t="shared" ca="1" si="95"/>
        <v>-32.180482833366256</v>
      </c>
      <c r="D710" s="22">
        <f t="shared" ca="1" si="92"/>
        <v>0.17350194272496811</v>
      </c>
      <c r="F710">
        <f t="shared" si="93"/>
        <v>0.70400000000000051</v>
      </c>
      <c r="G710">
        <f t="shared" ca="1" si="94"/>
        <v>-7.9764149216631539E-2</v>
      </c>
      <c r="H710">
        <f t="shared" ca="1" si="96"/>
        <v>-7.9768559737882466E-2</v>
      </c>
      <c r="I710">
        <f t="shared" ca="1" si="97"/>
        <v>9.6948248812781489E-3</v>
      </c>
      <c r="J710" s="5">
        <f t="shared" ca="1" si="98"/>
        <v>8.9463384619160619E-2</v>
      </c>
    </row>
    <row r="711" spans="1:10" x14ac:dyDescent="0.2">
      <c r="A711">
        <f t="shared" ref="A711:A774" ca="1" si="99">RAND()</f>
        <v>0.24455444969318241</v>
      </c>
      <c r="B711">
        <f t="shared" ref="B711:B774" ca="1" si="100">NORMSINV(A711)</f>
        <v>-0.69172682230021465</v>
      </c>
      <c r="C711">
        <f t="shared" ca="1" si="95"/>
        <v>-32.872209655666467</v>
      </c>
      <c r="D711" s="22">
        <f t="shared" ref="D711:D774" ca="1" si="101">_xlfn.NORM.DIST(B711,0,1,FALSE)</f>
        <v>0.31405676424891399</v>
      </c>
      <c r="F711">
        <f t="shared" ref="F711:F774" si="102">F710+$M$2/$N$2</f>
        <v>0.70500000000000052</v>
      </c>
      <c r="G711">
        <f t="shared" ref="G711:G774" ca="1" si="103">G710*EXP(-$M$4*$O$2) + $O$4*(1-EXP(-$M$4*$O$2)) + $N$4* SQRT((1-EXP(-2*$M$4*$O$2))/(2*$M$4)) *B710</f>
        <v>-8.3826724378893921E-2</v>
      </c>
      <c r="H711">
        <f t="shared" ca="1" si="96"/>
        <v>-8.3831337589536106E-2</v>
      </c>
      <c r="I711">
        <f t="shared" ca="1" si="97"/>
        <v>9.6562605923195526E-3</v>
      </c>
      <c r="J711" s="5">
        <f t="shared" ca="1" si="98"/>
        <v>9.3487598181855661E-2</v>
      </c>
    </row>
    <row r="712" spans="1:10" x14ac:dyDescent="0.2">
      <c r="A712">
        <f t="shared" ca="1" si="99"/>
        <v>0.79200906278793082</v>
      </c>
      <c r="B712">
        <f t="shared" ca="1" si="100"/>
        <v>0.8134120123932792</v>
      </c>
      <c r="C712">
        <f t="shared" ref="C712:C775" ca="1" si="104">B712+C711</f>
        <v>-32.058797643273188</v>
      </c>
      <c r="D712" s="22">
        <f t="shared" ca="1" si="101"/>
        <v>0.28657411529377413</v>
      </c>
      <c r="F712">
        <f t="shared" si="102"/>
        <v>0.70600000000000052</v>
      </c>
      <c r="G712">
        <f t="shared" ca="1" si="103"/>
        <v>-8.599566553560134E-2</v>
      </c>
      <c r="H712">
        <f t="shared" ref="H712:H775" ca="1" si="105">H711+($M$6 + $N$6*H711)*$O$2 + $O$6*H711^$P$6*SQRT($O$2)*B711</f>
        <v>-8.6000386732876383E-2</v>
      </c>
      <c r="I712">
        <f t="shared" ref="I712:I775" ca="1" si="106">I711*EXP(($M$8-0.5*($N$8^2))*$O$2 + $N$8*SQRT($O$2)*B711)</f>
        <v>9.6360766451156401E-3</v>
      </c>
      <c r="J712" s="5">
        <f t="shared" ref="J712:J775" ca="1" si="107">ABS(H712-I712)</f>
        <v>9.5636463377992018E-2</v>
      </c>
    </row>
    <row r="713" spans="1:10" x14ac:dyDescent="0.2">
      <c r="A713">
        <f t="shared" ca="1" si="99"/>
        <v>0.17251721244426321</v>
      </c>
      <c r="B713">
        <f t="shared" ca="1" si="100"/>
        <v>-0.94426465111482127</v>
      </c>
      <c r="C713">
        <f t="shared" ca="1" si="104"/>
        <v>-33.003062294388009</v>
      </c>
      <c r="D713" s="22">
        <f t="shared" ca="1" si="101"/>
        <v>0.25544289458544983</v>
      </c>
      <c r="F713">
        <f t="shared" si="102"/>
        <v>0.70700000000000052</v>
      </c>
      <c r="G713">
        <f t="shared" ca="1" si="103"/>
        <v>-8.340496087006441E-2</v>
      </c>
      <c r="H713">
        <f t="shared" ca="1" si="105"/>
        <v>-8.3409552058899217E-2</v>
      </c>
      <c r="I713">
        <f t="shared" ca="1" si="106"/>
        <v>9.6618126291885334E-3</v>
      </c>
      <c r="J713" s="5">
        <f t="shared" ca="1" si="107"/>
        <v>9.3071364688087743E-2</v>
      </c>
    </row>
    <row r="714" spans="1:10" x14ac:dyDescent="0.2">
      <c r="A714">
        <f t="shared" ca="1" si="99"/>
        <v>5.1766010288792796E-2</v>
      </c>
      <c r="B714">
        <f t="shared" ca="1" si="100"/>
        <v>-1.6279663524177477</v>
      </c>
      <c r="C714">
        <f t="shared" ca="1" si="104"/>
        <v>-34.63102864680576</v>
      </c>
      <c r="D714" s="22">
        <f t="shared" ca="1" si="101"/>
        <v>0.10602548857648007</v>
      </c>
      <c r="F714">
        <f t="shared" si="102"/>
        <v>0.70800000000000052</v>
      </c>
      <c r="G714">
        <f t="shared" ca="1" si="103"/>
        <v>-8.637249900734878E-2</v>
      </c>
      <c r="H714">
        <f t="shared" ca="1" si="105"/>
        <v>-8.6377238115200414E-2</v>
      </c>
      <c r="I714">
        <f t="shared" ca="1" si="106"/>
        <v>9.6339204059099019E-3</v>
      </c>
      <c r="J714" s="5">
        <f t="shared" ca="1" si="107"/>
        <v>9.6011158521110321E-2</v>
      </c>
    </row>
    <row r="715" spans="1:10" x14ac:dyDescent="0.2">
      <c r="A715">
        <f t="shared" ca="1" si="99"/>
        <v>0.36214603405704182</v>
      </c>
      <c r="B715">
        <f t="shared" ca="1" si="100"/>
        <v>-0.35272839721271826</v>
      </c>
      <c r="C715">
        <f t="shared" ca="1" si="104"/>
        <v>-34.983757044018475</v>
      </c>
      <c r="D715" s="22">
        <f t="shared" ca="1" si="101"/>
        <v>0.37488079096683891</v>
      </c>
      <c r="F715">
        <f t="shared" si="102"/>
        <v>0.70900000000000052</v>
      </c>
      <c r="G715">
        <f t="shared" ca="1" si="103"/>
        <v>-9.1501686923679243E-2</v>
      </c>
      <c r="H715">
        <f t="shared" ca="1" si="105"/>
        <v>-9.150668201914533E-2</v>
      </c>
      <c r="I715">
        <f t="shared" ca="1" si="106"/>
        <v>9.585362207296404E-3</v>
      </c>
      <c r="J715" s="5">
        <f t="shared" ca="1" si="107"/>
        <v>0.10109204422644173</v>
      </c>
    </row>
    <row r="716" spans="1:10" x14ac:dyDescent="0.2">
      <c r="A716">
        <f t="shared" ca="1" si="99"/>
        <v>0.64982331217776657</v>
      </c>
      <c r="B716">
        <f t="shared" ca="1" si="100"/>
        <v>0.38484348998292212</v>
      </c>
      <c r="C716">
        <f t="shared" ca="1" si="104"/>
        <v>-34.598913554035555</v>
      </c>
      <c r="D716" s="22">
        <f t="shared" ca="1" si="101"/>
        <v>0.37046704369398431</v>
      </c>
      <c r="F716">
        <f t="shared" si="102"/>
        <v>0.71000000000000052</v>
      </c>
      <c r="G716">
        <f t="shared" ca="1" si="103"/>
        <v>-9.2597907074143337E-2</v>
      </c>
      <c r="H716">
        <f t="shared" ca="1" si="105"/>
        <v>-9.2602956481556184E-2</v>
      </c>
      <c r="I716">
        <f t="shared" ca="1" si="106"/>
        <v>9.5755860515798381E-3</v>
      </c>
      <c r="J716" s="5">
        <f t="shared" ca="1" si="107"/>
        <v>0.10217854253313602</v>
      </c>
    </row>
    <row r="717" spans="1:10" x14ac:dyDescent="0.2">
      <c r="A717">
        <f t="shared" ca="1" si="99"/>
        <v>0.20000447463754345</v>
      </c>
      <c r="B717">
        <f t="shared" ca="1" si="100"/>
        <v>-0.84160525065837466</v>
      </c>
      <c r="C717">
        <f t="shared" ca="1" si="104"/>
        <v>-35.44051880469393</v>
      </c>
      <c r="D717" s="22">
        <f t="shared" ca="1" si="101"/>
        <v>0.27996568632201846</v>
      </c>
      <c r="F717">
        <f t="shared" si="102"/>
        <v>0.71100000000000052</v>
      </c>
      <c r="G717">
        <f t="shared" ca="1" si="103"/>
        <v>-9.136172712192242E-2</v>
      </c>
      <c r="H717">
        <f t="shared" ca="1" si="105"/>
        <v>-9.1366714214873801E-2</v>
      </c>
      <c r="I717">
        <f t="shared" ca="1" si="106"/>
        <v>9.588157292659185E-3</v>
      </c>
      <c r="J717" s="5">
        <f t="shared" ca="1" si="107"/>
        <v>0.10095487150753299</v>
      </c>
    </row>
    <row r="718" spans="1:10" x14ac:dyDescent="0.2">
      <c r="A718">
        <f t="shared" ca="1" si="99"/>
        <v>0.71847918667611332</v>
      </c>
      <c r="B718">
        <f t="shared" ca="1" si="100"/>
        <v>0.57832958107959198</v>
      </c>
      <c r="C718">
        <f t="shared" ca="1" si="104"/>
        <v>-34.862189223614337</v>
      </c>
      <c r="D718" s="22">
        <f t="shared" ca="1" si="101"/>
        <v>0.33750630566895334</v>
      </c>
      <c r="F718">
        <f t="shared" si="102"/>
        <v>0.71200000000000052</v>
      </c>
      <c r="G718">
        <f t="shared" ca="1" si="103"/>
        <v>-9.4003848324894529E-2</v>
      </c>
      <c r="H718">
        <f t="shared" ca="1" si="105"/>
        <v>-9.4008967026289691E-2</v>
      </c>
      <c r="I718">
        <f t="shared" ca="1" si="106"/>
        <v>9.5635818951329103E-3</v>
      </c>
      <c r="J718" s="5">
        <f t="shared" ca="1" si="107"/>
        <v>0.10357254892142261</v>
      </c>
    </row>
    <row r="719" spans="1:10" x14ac:dyDescent="0.2">
      <c r="A719">
        <f t="shared" ca="1" si="99"/>
        <v>0.66789311754316694</v>
      </c>
      <c r="B719">
        <f t="shared" ca="1" si="100"/>
        <v>0.43410283772767683</v>
      </c>
      <c r="C719">
        <f t="shared" ca="1" si="104"/>
        <v>-34.428086385886658</v>
      </c>
      <c r="D719" s="22">
        <f t="shared" ca="1" si="101"/>
        <v>0.36306943933909497</v>
      </c>
      <c r="F719">
        <f t="shared" si="102"/>
        <v>0.71300000000000052</v>
      </c>
      <c r="G719">
        <f t="shared" ca="1" si="103"/>
        <v>-9.2155701633712228E-2</v>
      </c>
      <c r="H719">
        <f t="shared" ca="1" si="105"/>
        <v>-9.216072741512453E-2</v>
      </c>
      <c r="I719">
        <f t="shared" ca="1" si="106"/>
        <v>9.5819983937380088E-3</v>
      </c>
      <c r="J719" s="5">
        <f t="shared" ca="1" si="107"/>
        <v>0.10174272580886254</v>
      </c>
    </row>
    <row r="720" spans="1:10" x14ac:dyDescent="0.2">
      <c r="A720">
        <f t="shared" ca="1" si="99"/>
        <v>0.54834884764924607</v>
      </c>
      <c r="B720">
        <f t="shared" ca="1" si="100"/>
        <v>0.12149079566018206</v>
      </c>
      <c r="C720">
        <f t="shared" ca="1" si="104"/>
        <v>-34.306595590226479</v>
      </c>
      <c r="D720" s="22">
        <f t="shared" ca="1" si="101"/>
        <v>0.3960089211124192</v>
      </c>
      <c r="F720">
        <f t="shared" si="102"/>
        <v>0.71400000000000052</v>
      </c>
      <c r="G720">
        <f t="shared" ca="1" si="103"/>
        <v>-9.0763801953158932E-2</v>
      </c>
      <c r="H720">
        <f t="shared" ca="1" si="105"/>
        <v>-9.0768757636421088E-2</v>
      </c>
      <c r="I720">
        <f t="shared" ca="1" si="106"/>
        <v>9.596072733696559E-3</v>
      </c>
      <c r="J720" s="5">
        <f t="shared" ca="1" si="107"/>
        <v>0.10036483037011765</v>
      </c>
    </row>
    <row r="721" spans="1:10" x14ac:dyDescent="0.2">
      <c r="A721">
        <f t="shared" ca="1" si="99"/>
        <v>0.122031156072126</v>
      </c>
      <c r="B721">
        <f t="shared" ca="1" si="100"/>
        <v>-1.1648929881131773</v>
      </c>
      <c r="C721">
        <f t="shared" ca="1" si="104"/>
        <v>-35.47148857833966</v>
      </c>
      <c r="D721" s="22">
        <f t="shared" ca="1" si="101"/>
        <v>0.20241679412558089</v>
      </c>
      <c r="F721">
        <f t="shared" si="102"/>
        <v>0.71500000000000052</v>
      </c>
      <c r="G721">
        <f t="shared" ca="1" si="103"/>
        <v>-9.0360558106299657E-2</v>
      </c>
      <c r="H721">
        <f t="shared" ca="1" si="105"/>
        <v>-9.036549313162516E-2</v>
      </c>
      <c r="I721">
        <f t="shared" ca="1" si="106"/>
        <v>9.6006721549427108E-3</v>
      </c>
      <c r="J721" s="5">
        <f t="shared" ca="1" si="107"/>
        <v>9.9966165286567876E-2</v>
      </c>
    </row>
    <row r="722" spans="1:10" x14ac:dyDescent="0.2">
      <c r="A722">
        <f t="shared" ca="1" si="99"/>
        <v>0.69168054367263831</v>
      </c>
      <c r="B722">
        <f t="shared" ca="1" si="100"/>
        <v>0.50061953329415387</v>
      </c>
      <c r="C722">
        <f t="shared" ca="1" si="104"/>
        <v>-34.970869045045504</v>
      </c>
      <c r="D722" s="22">
        <f t="shared" ca="1" si="101"/>
        <v>0.35195621801382332</v>
      </c>
      <c r="F722">
        <f t="shared" si="102"/>
        <v>0.71600000000000052</v>
      </c>
      <c r="G722">
        <f t="shared" ca="1" si="103"/>
        <v>-9.4025053896977615E-2</v>
      </c>
      <c r="H722">
        <f t="shared" ca="1" si="105"/>
        <v>-9.4030171655109088E-2</v>
      </c>
      <c r="I722">
        <f t="shared" ca="1" si="106"/>
        <v>9.5662798271151182E-3</v>
      </c>
      <c r="J722" s="5">
        <f t="shared" ca="1" si="107"/>
        <v>0.10359645148222421</v>
      </c>
    </row>
    <row r="723" spans="1:10" x14ac:dyDescent="0.2">
      <c r="A723">
        <f t="shared" ca="1" si="99"/>
        <v>0.76836792107850238</v>
      </c>
      <c r="B723">
        <f t="shared" ca="1" si="100"/>
        <v>0.73348256505127984</v>
      </c>
      <c r="C723">
        <f t="shared" ca="1" si="104"/>
        <v>-34.237386479994221</v>
      </c>
      <c r="D723" s="22">
        <f t="shared" ca="1" si="101"/>
        <v>0.30484956004279024</v>
      </c>
      <c r="F723">
        <f t="shared" si="102"/>
        <v>0.71700000000000053</v>
      </c>
      <c r="G723">
        <f t="shared" ca="1" si="103"/>
        <v>-9.2422633546901167E-2</v>
      </c>
      <c r="H723">
        <f t="shared" ca="1" si="105"/>
        <v>-9.2427670671563558E-2</v>
      </c>
      <c r="I723">
        <f t="shared" ca="1" si="106"/>
        <v>9.5823464587594474E-3</v>
      </c>
      <c r="J723" s="5">
        <f t="shared" ca="1" si="107"/>
        <v>0.10201001713032301</v>
      </c>
    </row>
    <row r="724" spans="1:10" x14ac:dyDescent="0.2">
      <c r="A724">
        <f t="shared" ca="1" si="99"/>
        <v>0.30274634210541618</v>
      </c>
      <c r="B724">
        <f t="shared" ca="1" si="100"/>
        <v>-0.51651798035165841</v>
      </c>
      <c r="C724">
        <f t="shared" ca="1" si="104"/>
        <v>-34.753904460345879</v>
      </c>
      <c r="D724" s="22">
        <f t="shared" ca="1" si="101"/>
        <v>0.34912196594196815</v>
      </c>
      <c r="F724">
        <f t="shared" si="102"/>
        <v>0.71800000000000053</v>
      </c>
      <c r="G724">
        <f t="shared" ca="1" si="103"/>
        <v>-9.0084032684987367E-2</v>
      </c>
      <c r="H724">
        <f t="shared" ca="1" si="105"/>
        <v>-9.008895237491174E-2</v>
      </c>
      <c r="I724">
        <f t="shared" ca="1" si="106"/>
        <v>9.6055107533579692E-3</v>
      </c>
      <c r="J724" s="5">
        <f t="shared" ca="1" si="107"/>
        <v>9.9694463128269711E-2</v>
      </c>
    </row>
    <row r="725" spans="1:10" x14ac:dyDescent="0.2">
      <c r="A725">
        <f t="shared" ca="1" si="99"/>
        <v>0.92009196415698224</v>
      </c>
      <c r="B725">
        <f t="shared" ca="1" si="100"/>
        <v>1.4056904241537325</v>
      </c>
      <c r="C725">
        <f t="shared" ca="1" si="104"/>
        <v>-33.348214036192147</v>
      </c>
      <c r="D725" s="22">
        <f t="shared" ca="1" si="101"/>
        <v>0.14853698158758682</v>
      </c>
      <c r="F725">
        <f t="shared" si="102"/>
        <v>0.71900000000000053</v>
      </c>
      <c r="G725">
        <f t="shared" ca="1" si="103"/>
        <v>-9.169831683718789E-2</v>
      </c>
      <c r="H725">
        <f t="shared" ca="1" si="105"/>
        <v>-9.1703316750015584E-2</v>
      </c>
      <c r="I725">
        <f t="shared" ca="1" si="106"/>
        <v>9.5907452527047837E-3</v>
      </c>
      <c r="J725" s="5">
        <f t="shared" ca="1" si="107"/>
        <v>0.10129406200272037</v>
      </c>
    </row>
    <row r="726" spans="1:10" x14ac:dyDescent="0.2">
      <c r="A726">
        <f t="shared" ca="1" si="99"/>
        <v>0.10922632731408677</v>
      </c>
      <c r="B726">
        <f t="shared" ca="1" si="100"/>
        <v>-1.2306530506720565</v>
      </c>
      <c r="C726">
        <f t="shared" ca="1" si="104"/>
        <v>-34.5788670868642</v>
      </c>
      <c r="D726" s="22">
        <f t="shared" ca="1" si="101"/>
        <v>0.18708504137920362</v>
      </c>
      <c r="F726">
        <f t="shared" si="102"/>
        <v>0.72000000000000053</v>
      </c>
      <c r="G726">
        <f t="shared" ca="1" si="103"/>
        <v>-8.7234186788460732E-2</v>
      </c>
      <c r="H726">
        <f t="shared" ca="1" si="105"/>
        <v>-8.7238962992926619E-2</v>
      </c>
      <c r="I726">
        <f t="shared" ca="1" si="106"/>
        <v>9.6343879933941824E-3</v>
      </c>
      <c r="J726" s="5">
        <f t="shared" ca="1" si="107"/>
        <v>9.68733509863208E-2</v>
      </c>
    </row>
    <row r="727" spans="1:10" x14ac:dyDescent="0.2">
      <c r="A727">
        <f t="shared" ca="1" si="99"/>
        <v>1.9446422715036715E-2</v>
      </c>
      <c r="B727">
        <f t="shared" ca="1" si="100"/>
        <v>-2.0653188048826334</v>
      </c>
      <c r="C727">
        <f t="shared" ca="1" si="104"/>
        <v>-36.644185891746837</v>
      </c>
      <c r="D727" s="22">
        <f t="shared" ca="1" si="101"/>
        <v>4.7278037437470756E-2</v>
      </c>
      <c r="F727">
        <f t="shared" si="102"/>
        <v>0.72100000000000053</v>
      </c>
      <c r="G727">
        <f t="shared" ca="1" si="103"/>
        <v>-9.110693638025473E-2</v>
      </c>
      <c r="H727">
        <f t="shared" ca="1" si="105"/>
        <v>-9.1111905746185634E-2</v>
      </c>
      <c r="I727">
        <f t="shared" ca="1" si="106"/>
        <v>9.5978787843147093E-3</v>
      </c>
      <c r="J727" s="5">
        <f t="shared" ca="1" si="107"/>
        <v>0.10070978453050035</v>
      </c>
    </row>
    <row r="728" spans="1:10" x14ac:dyDescent="0.2">
      <c r="A728">
        <f t="shared" ca="1" si="99"/>
        <v>0.64794179458034806</v>
      </c>
      <c r="B728">
        <f t="shared" ca="1" si="100"/>
        <v>0.37976965321530864</v>
      </c>
      <c r="C728">
        <f t="shared" ca="1" si="104"/>
        <v>-36.264416238531531</v>
      </c>
      <c r="D728" s="22">
        <f t="shared" ca="1" si="101"/>
        <v>0.37118635869289529</v>
      </c>
      <c r="F728">
        <f t="shared" si="102"/>
        <v>0.72200000000000053</v>
      </c>
      <c r="G728">
        <f t="shared" ca="1" si="103"/>
        <v>-9.7618611617955542E-2</v>
      </c>
      <c r="H728">
        <f t="shared" ca="1" si="105"/>
        <v>-9.7623906073417033E-2</v>
      </c>
      <c r="I728">
        <f t="shared" ca="1" si="106"/>
        <v>9.5363041293506437E-3</v>
      </c>
      <c r="J728" s="5">
        <f t="shared" ca="1" si="107"/>
        <v>0.10716021020276767</v>
      </c>
    </row>
    <row r="729" spans="1:10" x14ac:dyDescent="0.2">
      <c r="A729">
        <f t="shared" ca="1" si="99"/>
        <v>0.21664746126558132</v>
      </c>
      <c r="B729">
        <f t="shared" ca="1" si="100"/>
        <v>-0.78356581267025571</v>
      </c>
      <c r="C729">
        <f t="shared" ca="1" si="104"/>
        <v>-37.047982051201785</v>
      </c>
      <c r="D729" s="22">
        <f t="shared" ca="1" si="101"/>
        <v>0.29348574068309335</v>
      </c>
      <c r="F729">
        <f t="shared" si="102"/>
        <v>0.72300000000000053</v>
      </c>
      <c r="G729">
        <f t="shared" ca="1" si="103"/>
        <v>-9.6397973698833891E-2</v>
      </c>
      <c r="H729">
        <f t="shared" ca="1" si="105"/>
        <v>-9.6403206592437021E-2</v>
      </c>
      <c r="I729">
        <f t="shared" ca="1" si="106"/>
        <v>9.5486705909243168E-3</v>
      </c>
      <c r="J729" s="5">
        <f t="shared" ca="1" si="107"/>
        <v>0.10595187718336134</v>
      </c>
    </row>
    <row r="730" spans="1:10" x14ac:dyDescent="0.2">
      <c r="A730">
        <f t="shared" ca="1" si="99"/>
        <v>7.0641682668911687E-2</v>
      </c>
      <c r="B730">
        <f t="shared" ca="1" si="100"/>
        <v>-1.4710286634778278</v>
      </c>
      <c r="C730">
        <f t="shared" ca="1" si="104"/>
        <v>-38.519010714679609</v>
      </c>
      <c r="D730" s="22">
        <f t="shared" ca="1" si="101"/>
        <v>0.13521337434558478</v>
      </c>
      <c r="F730">
        <f t="shared" si="102"/>
        <v>0.72400000000000053</v>
      </c>
      <c r="G730">
        <f t="shared" ca="1" si="103"/>
        <v>-9.8856063660628712E-2</v>
      </c>
      <c r="H730">
        <f t="shared" ca="1" si="105"/>
        <v>-9.8861418936456599E-2</v>
      </c>
      <c r="I730">
        <f t="shared" ca="1" si="106"/>
        <v>9.52594460285636E-3</v>
      </c>
      <c r="J730" s="5">
        <f t="shared" ca="1" si="107"/>
        <v>0.10838736353931296</v>
      </c>
    </row>
    <row r="731" spans="1:10" x14ac:dyDescent="0.2">
      <c r="A731">
        <f t="shared" ca="1" si="99"/>
        <v>0.82015368046618708</v>
      </c>
      <c r="B731">
        <f t="shared" ca="1" si="100"/>
        <v>0.91595091739245238</v>
      </c>
      <c r="C731">
        <f t="shared" ca="1" si="104"/>
        <v>-37.603059797287159</v>
      </c>
      <c r="D731" s="22">
        <f t="shared" ca="1" si="101"/>
        <v>0.26225929875392839</v>
      </c>
      <c r="F731">
        <f t="shared" si="102"/>
        <v>0.72500000000000053</v>
      </c>
      <c r="G731">
        <f t="shared" ca="1" si="103"/>
        <v>-0.10348774754812995</v>
      </c>
      <c r="H731">
        <f t="shared" ca="1" si="105"/>
        <v>-0.10349333387454623</v>
      </c>
      <c r="I731">
        <f t="shared" ca="1" si="106"/>
        <v>9.482635518583896E-3</v>
      </c>
      <c r="J731" s="5">
        <f t="shared" ca="1" si="107"/>
        <v>0.11297596939313014</v>
      </c>
    </row>
    <row r="732" spans="1:10" x14ac:dyDescent="0.2">
      <c r="A732">
        <f t="shared" ca="1" si="99"/>
        <v>0.41204951328140105</v>
      </c>
      <c r="B732">
        <f t="shared" ca="1" si="100"/>
        <v>-0.22227600959113514</v>
      </c>
      <c r="C732">
        <f t="shared" ca="1" si="104"/>
        <v>-37.825335806878293</v>
      </c>
      <c r="D732" s="22">
        <f t="shared" ca="1" si="101"/>
        <v>0.38920781647773001</v>
      </c>
      <c r="F732">
        <f t="shared" si="102"/>
        <v>0.72600000000000053</v>
      </c>
      <c r="G732">
        <f t="shared" ca="1" si="103"/>
        <v>-0.10057105348542117</v>
      </c>
      <c r="H732">
        <f t="shared" ca="1" si="105"/>
        <v>-0.1005764934172779</v>
      </c>
      <c r="I732">
        <f t="shared" ca="1" si="106"/>
        <v>9.511045211053594E-3</v>
      </c>
      <c r="J732" s="5">
        <f t="shared" ca="1" si="107"/>
        <v>0.11008753862833148</v>
      </c>
    </row>
    <row r="733" spans="1:10" x14ac:dyDescent="0.2">
      <c r="A733">
        <f t="shared" ca="1" si="99"/>
        <v>4.3091750753668556E-2</v>
      </c>
      <c r="B733">
        <f t="shared" ca="1" si="100"/>
        <v>-1.7158827665899286</v>
      </c>
      <c r="C733">
        <f t="shared" ca="1" si="104"/>
        <v>-39.541218573468221</v>
      </c>
      <c r="D733" s="22">
        <f t="shared" ca="1" si="101"/>
        <v>9.1532116567909896E-2</v>
      </c>
      <c r="F733">
        <f t="shared" si="102"/>
        <v>0.72700000000000053</v>
      </c>
      <c r="G733">
        <f t="shared" ca="1" si="103"/>
        <v>-0.10125386069895723</v>
      </c>
      <c r="H733">
        <f t="shared" ca="1" si="105"/>
        <v>-0.10125933422745759</v>
      </c>
      <c r="I733">
        <f t="shared" ca="1" si="106"/>
        <v>9.5052652183236896E-3</v>
      </c>
      <c r="J733" s="5">
        <f t="shared" ca="1" si="107"/>
        <v>0.11076459944578128</v>
      </c>
    </row>
    <row r="734" spans="1:10" x14ac:dyDescent="0.2">
      <c r="A734">
        <f t="shared" ca="1" si="99"/>
        <v>0.45708126629272272</v>
      </c>
      <c r="B734">
        <f t="shared" ca="1" si="100"/>
        <v>-0.10778967593272176</v>
      </c>
      <c r="C734">
        <f t="shared" ca="1" si="104"/>
        <v>-39.649008249400943</v>
      </c>
      <c r="D734" s="22">
        <f t="shared" ca="1" si="101"/>
        <v>0.39663142091702985</v>
      </c>
      <c r="F734">
        <f t="shared" si="102"/>
        <v>0.72800000000000054</v>
      </c>
      <c r="G734">
        <f t="shared" ca="1" si="103"/>
        <v>-0.1066595627657952</v>
      </c>
      <c r="H734">
        <f t="shared" ca="1" si="105"/>
        <v>-0.10666530603429009</v>
      </c>
      <c r="I734">
        <f t="shared" ca="1" si="106"/>
        <v>9.4547265533739006E-3</v>
      </c>
      <c r="J734" s="5">
        <f t="shared" ca="1" si="107"/>
        <v>0.11612003258766398</v>
      </c>
    </row>
    <row r="735" spans="1:10" x14ac:dyDescent="0.2">
      <c r="A735">
        <f t="shared" ca="1" si="99"/>
        <v>0.90427172534849043</v>
      </c>
      <c r="B735">
        <f t="shared" ca="1" si="100"/>
        <v>1.3062823727678796</v>
      </c>
      <c r="C735">
        <f t="shared" ca="1" si="104"/>
        <v>-38.342725876633061</v>
      </c>
      <c r="D735" s="22">
        <f t="shared" ca="1" si="101"/>
        <v>0.16997135571776892</v>
      </c>
      <c r="F735">
        <f t="shared" si="102"/>
        <v>0.72900000000000054</v>
      </c>
      <c r="G735">
        <f t="shared" ca="1" si="103"/>
        <v>-0.10697974168464672</v>
      </c>
      <c r="H735">
        <f t="shared" ca="1" si="105"/>
        <v>-0.1069855003878855</v>
      </c>
      <c r="I735">
        <f t="shared" ca="1" si="106"/>
        <v>9.4524022916778559E-3</v>
      </c>
      <c r="J735" s="5">
        <f t="shared" ca="1" si="107"/>
        <v>0.11643790267956336</v>
      </c>
    </row>
    <row r="736" spans="1:10" x14ac:dyDescent="0.2">
      <c r="A736">
        <f t="shared" ca="1" si="99"/>
        <v>0.10789606303883348</v>
      </c>
      <c r="B736">
        <f t="shared" ca="1" si="100"/>
        <v>-1.2377948835373678</v>
      </c>
      <c r="C736">
        <f t="shared" ca="1" si="104"/>
        <v>-39.58052076017043</v>
      </c>
      <c r="D736" s="22">
        <f t="shared" ca="1" si="101"/>
        <v>0.18544320430670971</v>
      </c>
      <c r="F736">
        <f t="shared" si="102"/>
        <v>0.73000000000000054</v>
      </c>
      <c r="G736">
        <f t="shared" ca="1" si="103"/>
        <v>-0.10282842371283961</v>
      </c>
      <c r="H736">
        <f t="shared" ca="1" si="105"/>
        <v>-0.1028339742725711</v>
      </c>
      <c r="I736">
        <f t="shared" ca="1" si="106"/>
        <v>9.4924310315481278E-3</v>
      </c>
      <c r="J736" s="5">
        <f t="shared" ca="1" si="107"/>
        <v>0.11232640530411922</v>
      </c>
    </row>
    <row r="737" spans="1:10" x14ac:dyDescent="0.2">
      <c r="A737">
        <f t="shared" ca="1" si="99"/>
        <v>0.39969718039909252</v>
      </c>
      <c r="B737">
        <f t="shared" ca="1" si="100"/>
        <v>-0.25413099223949709</v>
      </c>
      <c r="C737">
        <f t="shared" ca="1" si="104"/>
        <v>-39.834651752409926</v>
      </c>
      <c r="D737" s="22">
        <f t="shared" ca="1" si="101"/>
        <v>0.38626569634363966</v>
      </c>
      <c r="F737">
        <f t="shared" si="102"/>
        <v>0.73100000000000054</v>
      </c>
      <c r="G737">
        <f t="shared" ca="1" si="103"/>
        <v>-0.10672219728825651</v>
      </c>
      <c r="H737">
        <f t="shared" ca="1" si="105"/>
        <v>-0.10672794198322479</v>
      </c>
      <c r="I737">
        <f t="shared" ca="1" si="106"/>
        <v>9.4562461972813924E-3</v>
      </c>
      <c r="J737" s="5">
        <f t="shared" ca="1" si="107"/>
        <v>0.11618418818050617</v>
      </c>
    </row>
    <row r="738" spans="1:10" x14ac:dyDescent="0.2">
      <c r="A738">
        <f t="shared" ca="1" si="99"/>
        <v>0.55570055041182576</v>
      </c>
      <c r="B738">
        <f t="shared" ca="1" si="100"/>
        <v>0.14007732093829678</v>
      </c>
      <c r="C738">
        <f t="shared" ca="1" si="104"/>
        <v>-39.694574431471629</v>
      </c>
      <c r="D738" s="22">
        <f t="shared" ca="1" si="101"/>
        <v>0.39504746326887719</v>
      </c>
      <c r="F738">
        <f t="shared" si="102"/>
        <v>0.73200000000000054</v>
      </c>
      <c r="G738">
        <f t="shared" ca="1" si="103"/>
        <v>-0.10750511868165578</v>
      </c>
      <c r="H738">
        <f t="shared" ca="1" si="105"/>
        <v>-0.10751090194854185</v>
      </c>
      <c r="I738">
        <f t="shared" ca="1" si="106"/>
        <v>9.4495475651593542E-3</v>
      </c>
      <c r="J738" s="5">
        <f t="shared" ca="1" si="107"/>
        <v>0.1169604495137012</v>
      </c>
    </row>
    <row r="739" spans="1:10" x14ac:dyDescent="0.2">
      <c r="A739">
        <f t="shared" ca="1" si="99"/>
        <v>0.82708005813287999</v>
      </c>
      <c r="B739">
        <f t="shared" ca="1" si="100"/>
        <v>0.94268923007495742</v>
      </c>
      <c r="C739">
        <f t="shared" ca="1" si="104"/>
        <v>-38.751885201396675</v>
      </c>
      <c r="D739" s="22">
        <f t="shared" ca="1" si="101"/>
        <v>0.25582286043062674</v>
      </c>
      <c r="F739">
        <f t="shared" si="102"/>
        <v>0.73300000000000054</v>
      </c>
      <c r="G739">
        <f t="shared" ca="1" si="103"/>
        <v>-0.10704142797182556</v>
      </c>
      <c r="H739">
        <f t="shared" ca="1" si="105"/>
        <v>-0.10704718747564758</v>
      </c>
      <c r="I739">
        <f t="shared" ca="1" si="106"/>
        <v>9.4546324433489905E-3</v>
      </c>
      <c r="J739" s="5">
        <f t="shared" ca="1" si="107"/>
        <v>0.11650181991899657</v>
      </c>
    </row>
    <row r="740" spans="1:10" x14ac:dyDescent="0.2">
      <c r="A740">
        <f t="shared" ca="1" si="99"/>
        <v>0.14997753164841054</v>
      </c>
      <c r="B740">
        <f t="shared" ca="1" si="100"/>
        <v>-1.0365297593331744</v>
      </c>
      <c r="C740">
        <f t="shared" ca="1" si="104"/>
        <v>-39.788414960729853</v>
      </c>
      <c r="D740" s="22">
        <f t="shared" ca="1" si="101"/>
        <v>0.23313548722127078</v>
      </c>
      <c r="F740">
        <f t="shared" si="102"/>
        <v>0.73400000000000054</v>
      </c>
      <c r="G740">
        <f t="shared" ca="1" si="103"/>
        <v>-0.10403982881749804</v>
      </c>
      <c r="H740">
        <f t="shared" ca="1" si="105"/>
        <v>-0.10404543766415265</v>
      </c>
      <c r="I740">
        <f t="shared" ca="1" si="106"/>
        <v>9.4837600950979182E-3</v>
      </c>
      <c r="J740" s="5">
        <f t="shared" ca="1" si="107"/>
        <v>0.11352919775925058</v>
      </c>
    </row>
    <row r="741" spans="1:10" x14ac:dyDescent="0.2">
      <c r="A741">
        <f t="shared" ca="1" si="99"/>
        <v>0.70581093433897601</v>
      </c>
      <c r="B741">
        <f t="shared" ca="1" si="100"/>
        <v>0.54118782076007099</v>
      </c>
      <c r="C741">
        <f t="shared" ca="1" si="104"/>
        <v>-39.24722713996978</v>
      </c>
      <c r="D741" s="22">
        <f t="shared" ca="1" si="101"/>
        <v>0.34459665498890002</v>
      </c>
      <c r="F741">
        <f t="shared" si="102"/>
        <v>0.73500000000000054</v>
      </c>
      <c r="G741">
        <f t="shared" ca="1" si="103"/>
        <v>-0.10729705687390378</v>
      </c>
      <c r="H741">
        <f t="shared" ca="1" si="105"/>
        <v>-0.10730282802242525</v>
      </c>
      <c r="I741">
        <f t="shared" ca="1" si="106"/>
        <v>9.4536232170070594E-3</v>
      </c>
      <c r="J741" s="5">
        <f t="shared" ca="1" si="107"/>
        <v>0.1167564512394323</v>
      </c>
    </row>
    <row r="742" spans="1:10" x14ac:dyDescent="0.2">
      <c r="A742">
        <f t="shared" ca="1" si="99"/>
        <v>0.38824842827498529</v>
      </c>
      <c r="B742">
        <f t="shared" ca="1" si="100"/>
        <v>-0.28388716019270188</v>
      </c>
      <c r="C742">
        <f t="shared" ca="1" si="104"/>
        <v>-39.531114300162486</v>
      </c>
      <c r="D742" s="22">
        <f t="shared" ca="1" si="101"/>
        <v>0.38318610535079134</v>
      </c>
      <c r="F742">
        <f t="shared" si="102"/>
        <v>0.73600000000000054</v>
      </c>
      <c r="G742">
        <f t="shared" ca="1" si="103"/>
        <v>-0.1055650276148649</v>
      </c>
      <c r="H742">
        <f t="shared" ca="1" si="105"/>
        <v>-0.10557071158407823</v>
      </c>
      <c r="I742">
        <f t="shared" ca="1" si="106"/>
        <v>9.4707155441298048E-3</v>
      </c>
      <c r="J742" s="5">
        <f t="shared" ca="1" si="107"/>
        <v>0.11504142712820803</v>
      </c>
    </row>
    <row r="743" spans="1:10" x14ac:dyDescent="0.2">
      <c r="A743">
        <f t="shared" ca="1" si="99"/>
        <v>0.2828608703633444</v>
      </c>
      <c r="B743">
        <f t="shared" ca="1" si="100"/>
        <v>-0.57436365709418225</v>
      </c>
      <c r="C743">
        <f t="shared" ca="1" si="104"/>
        <v>-40.105477957256667</v>
      </c>
      <c r="D743" s="22">
        <f t="shared" ca="1" si="101"/>
        <v>0.33827864200071661</v>
      </c>
      <c r="F743">
        <f t="shared" si="102"/>
        <v>0.73700000000000054</v>
      </c>
      <c r="G743">
        <f t="shared" ca="1" si="103"/>
        <v>-0.10644215727994927</v>
      </c>
      <c r="H743">
        <f t="shared" ca="1" si="105"/>
        <v>-0.10644788453760584</v>
      </c>
      <c r="I743">
        <f t="shared" ca="1" si="106"/>
        <v>9.4631161669394628E-3</v>
      </c>
      <c r="J743" s="5">
        <f t="shared" ca="1" si="107"/>
        <v>0.1159110007045453</v>
      </c>
    </row>
    <row r="744" spans="1:10" x14ac:dyDescent="0.2">
      <c r="A744">
        <f t="shared" ca="1" si="99"/>
        <v>0.60054780661007001</v>
      </c>
      <c r="B744">
        <f t="shared" ca="1" si="100"/>
        <v>0.25476528820129396</v>
      </c>
      <c r="C744">
        <f t="shared" ca="1" si="104"/>
        <v>-39.850712669055376</v>
      </c>
      <c r="D744" s="22">
        <f t="shared" ca="1" si="101"/>
        <v>0.3862033598568701</v>
      </c>
      <c r="F744">
        <f t="shared" si="102"/>
        <v>0.73800000000000054</v>
      </c>
      <c r="G744">
        <f t="shared" ca="1" si="103"/>
        <v>-0.1082377206469549</v>
      </c>
      <c r="H744">
        <f t="shared" ca="1" si="105"/>
        <v>-0.10824353711079363</v>
      </c>
      <c r="I744">
        <f t="shared" ca="1" si="106"/>
        <v>9.4468413409742411E-3</v>
      </c>
      <c r="J744" s="5">
        <f t="shared" ca="1" si="107"/>
        <v>0.11769037845176787</v>
      </c>
    </row>
    <row r="745" spans="1:10" x14ac:dyDescent="0.2">
      <c r="A745">
        <f t="shared" ca="1" si="99"/>
        <v>0.44670201587153879</v>
      </c>
      <c r="B745">
        <f t="shared" ca="1" si="100"/>
        <v>-0.13399815706369683</v>
      </c>
      <c r="C745">
        <f t="shared" ca="1" si="104"/>
        <v>-39.98471082611907</v>
      </c>
      <c r="D745" s="22">
        <f t="shared" ca="1" si="101"/>
        <v>0.39537670450618795</v>
      </c>
      <c r="F745">
        <f t="shared" si="102"/>
        <v>0.73900000000000055</v>
      </c>
      <c r="G745">
        <f t="shared" ca="1" si="103"/>
        <v>-0.10741129961682944</v>
      </c>
      <c r="H745">
        <f t="shared" ca="1" si="105"/>
        <v>-0.10741707417761724</v>
      </c>
      <c r="I745">
        <f t="shared" ca="1" si="106"/>
        <v>9.4553533632924774E-3</v>
      </c>
      <c r="J745" s="5">
        <f t="shared" ca="1" si="107"/>
        <v>0.11687242754090972</v>
      </c>
    </row>
    <row r="746" spans="1:10" x14ac:dyDescent="0.2">
      <c r="A746">
        <f t="shared" ca="1" si="99"/>
        <v>0.57394076369259861</v>
      </c>
      <c r="B746">
        <f t="shared" ca="1" si="100"/>
        <v>0.18641609379033386</v>
      </c>
      <c r="C746">
        <f t="shared" ca="1" si="104"/>
        <v>-39.798294732328735</v>
      </c>
      <c r="D746" s="22">
        <f t="shared" ca="1" si="101"/>
        <v>0.39207034129253038</v>
      </c>
      <c r="F746">
        <f t="shared" si="102"/>
        <v>0.74000000000000055</v>
      </c>
      <c r="G746">
        <f t="shared" ca="1" si="103"/>
        <v>-0.10781427771638978</v>
      </c>
      <c r="H746">
        <f t="shared" ca="1" si="105"/>
        <v>-0.10782007184878574</v>
      </c>
      <c r="I746">
        <f t="shared" ca="1" si="106"/>
        <v>9.4522455271655627E-3</v>
      </c>
      <c r="J746" s="5">
        <f t="shared" ca="1" si="107"/>
        <v>0.1172723173759513</v>
      </c>
    </row>
    <row r="747" spans="1:10" x14ac:dyDescent="0.2">
      <c r="A747">
        <f t="shared" ca="1" si="99"/>
        <v>0.70685503394219051</v>
      </c>
      <c r="B747">
        <f t="shared" ca="1" si="100"/>
        <v>0.54422023027650934</v>
      </c>
      <c r="C747">
        <f t="shared" ca="1" si="104"/>
        <v>-39.254074502052227</v>
      </c>
      <c r="D747" s="22">
        <f t="shared" ca="1" si="101"/>
        <v>0.34403001836540287</v>
      </c>
      <c r="F747">
        <f t="shared" si="102"/>
        <v>0.74100000000000055</v>
      </c>
      <c r="G747">
        <f t="shared" ca="1" si="103"/>
        <v>-0.10720402735251024</v>
      </c>
      <c r="H747">
        <f t="shared" ca="1" si="105"/>
        <v>-0.10720979039271183</v>
      </c>
      <c r="I747">
        <f t="shared" ca="1" si="106"/>
        <v>9.4587177989001806E-3</v>
      </c>
      <c r="J747" s="5">
        <f t="shared" ca="1" si="107"/>
        <v>0.11666850819161201</v>
      </c>
    </row>
    <row r="748" spans="1:10" x14ac:dyDescent="0.2">
      <c r="A748">
        <f t="shared" ca="1" si="99"/>
        <v>0.41879153665243907</v>
      </c>
      <c r="B748">
        <f t="shared" ca="1" si="100"/>
        <v>-0.20498598700992327</v>
      </c>
      <c r="C748">
        <f t="shared" ca="1" si="104"/>
        <v>-39.459060489062146</v>
      </c>
      <c r="D748" s="22">
        <f t="shared" ca="1" si="101"/>
        <v>0.39064808578042759</v>
      </c>
      <c r="F748">
        <f t="shared" si="102"/>
        <v>0.74200000000000055</v>
      </c>
      <c r="G748">
        <f t="shared" ca="1" si="103"/>
        <v>-0.1054624185545341</v>
      </c>
      <c r="H748">
        <f t="shared" ca="1" si="105"/>
        <v>-0.10546809393725746</v>
      </c>
      <c r="I748">
        <f t="shared" ca="1" si="106"/>
        <v>9.4759102042298315E-3</v>
      </c>
      <c r="J748" s="5">
        <f t="shared" ca="1" si="107"/>
        <v>0.1149440041414873</v>
      </c>
    </row>
    <row r="749" spans="1:10" x14ac:dyDescent="0.2">
      <c r="A749">
        <f t="shared" ca="1" si="99"/>
        <v>0.69005542737346581</v>
      </c>
      <c r="B749">
        <f t="shared" ca="1" si="100"/>
        <v>0.4960074634205357</v>
      </c>
      <c r="C749">
        <f t="shared" ca="1" si="104"/>
        <v>-38.963053025641614</v>
      </c>
      <c r="D749" s="22">
        <f t="shared" ca="1" si="101"/>
        <v>0.3527660339666211</v>
      </c>
      <c r="F749">
        <f t="shared" si="102"/>
        <v>0.74300000000000055</v>
      </c>
      <c r="G749">
        <f t="shared" ca="1" si="103"/>
        <v>-0.10609006353754558</v>
      </c>
      <c r="H749">
        <f t="shared" ca="1" si="105"/>
        <v>-0.10609576973523278</v>
      </c>
      <c r="I749">
        <f t="shared" ca="1" si="106"/>
        <v>9.4706693662881328E-3</v>
      </c>
      <c r="J749" s="5">
        <f t="shared" ca="1" si="107"/>
        <v>0.11556643910152092</v>
      </c>
    </row>
    <row r="750" spans="1:10" x14ac:dyDescent="0.2">
      <c r="A750">
        <f t="shared" ca="1" si="99"/>
        <v>3.5385791530162636E-2</v>
      </c>
      <c r="B750">
        <f t="shared" ca="1" si="100"/>
        <v>-1.8069403322752897</v>
      </c>
      <c r="C750">
        <f t="shared" ca="1" si="104"/>
        <v>-40.769993357916903</v>
      </c>
      <c r="D750" s="22">
        <f t="shared" ca="1" si="101"/>
        <v>7.7968122992648062E-2</v>
      </c>
      <c r="F750">
        <f t="shared" si="102"/>
        <v>0.74400000000000055</v>
      </c>
      <c r="G750">
        <f t="shared" ca="1" si="103"/>
        <v>-0.1045010206631547</v>
      </c>
      <c r="H750">
        <f t="shared" ca="1" si="105"/>
        <v>-0.10450664683740771</v>
      </c>
      <c r="I750">
        <f t="shared" ca="1" si="106"/>
        <v>9.486437062186286E-3</v>
      </c>
      <c r="J750" s="5">
        <f t="shared" ca="1" si="107"/>
        <v>0.11399308389959399</v>
      </c>
    </row>
    <row r="751" spans="1:10" x14ac:dyDescent="0.2">
      <c r="A751">
        <f t="shared" ca="1" si="99"/>
        <v>0.20951253232420819</v>
      </c>
      <c r="B751">
        <f t="shared" ca="1" si="100"/>
        <v>-0.80811381638853241</v>
      </c>
      <c r="C751">
        <f t="shared" ca="1" si="104"/>
        <v>-41.578107174305437</v>
      </c>
      <c r="D751" s="22">
        <f t="shared" ca="1" si="101"/>
        <v>0.28780776529560814</v>
      </c>
      <c r="F751">
        <f t="shared" si="102"/>
        <v>0.74500000000000055</v>
      </c>
      <c r="G751">
        <f t="shared" ca="1" si="103"/>
        <v>-0.11019433293912223</v>
      </c>
      <c r="H751">
        <f t="shared" ca="1" si="105"/>
        <v>-0.11020024321873534</v>
      </c>
      <c r="I751">
        <f t="shared" ca="1" si="106"/>
        <v>9.4332818068340058E-3</v>
      </c>
      <c r="J751" s="5">
        <f t="shared" ca="1" si="107"/>
        <v>0.11963352502556934</v>
      </c>
    </row>
    <row r="752" spans="1:10" x14ac:dyDescent="0.2">
      <c r="A752">
        <f t="shared" ca="1" si="99"/>
        <v>0.58679656892096854</v>
      </c>
      <c r="B752">
        <f t="shared" ca="1" si="100"/>
        <v>0.21931219594725826</v>
      </c>
      <c r="C752">
        <f t="shared" ca="1" si="104"/>
        <v>-41.358794978358176</v>
      </c>
      <c r="D752" s="22">
        <f t="shared" ca="1" si="101"/>
        <v>0.38946259453602555</v>
      </c>
      <c r="F752">
        <f t="shared" si="102"/>
        <v>0.74600000000000055</v>
      </c>
      <c r="G752">
        <f t="shared" ca="1" si="103"/>
        <v>-0.11272866705651408</v>
      </c>
      <c r="H752">
        <f t="shared" ca="1" si="105"/>
        <v>-0.11273470346285233</v>
      </c>
      <c r="I752">
        <f t="shared" ca="1" si="106"/>
        <v>9.4100999340471381E-3</v>
      </c>
      <c r="J752" s="5">
        <f t="shared" ca="1" si="107"/>
        <v>0.12214480339689947</v>
      </c>
    </row>
    <row r="753" spans="1:10" x14ac:dyDescent="0.2">
      <c r="A753">
        <f t="shared" ca="1" si="99"/>
        <v>4.8048834437528276E-2</v>
      </c>
      <c r="B753">
        <f t="shared" ca="1" si="100"/>
        <v>-1.6640738662955881</v>
      </c>
      <c r="C753">
        <f t="shared" ca="1" si="104"/>
        <v>-43.022868844653765</v>
      </c>
      <c r="D753" s="22">
        <f t="shared" ca="1" si="101"/>
        <v>9.9907607063122378E-2</v>
      </c>
      <c r="F753">
        <f t="shared" si="102"/>
        <v>0.74700000000000055</v>
      </c>
      <c r="G753">
        <f t="shared" ca="1" si="103"/>
        <v>-0.11201390387042792</v>
      </c>
      <c r="H753">
        <f t="shared" ca="1" si="105"/>
        <v>-0.11201990393465955</v>
      </c>
      <c r="I753">
        <f t="shared" ca="1" si="106"/>
        <v>9.4175229692958131E-3</v>
      </c>
      <c r="J753" s="5">
        <f t="shared" ca="1" si="107"/>
        <v>0.12143742690395536</v>
      </c>
    </row>
    <row r="754" spans="1:10" x14ac:dyDescent="0.2">
      <c r="A754">
        <f t="shared" ca="1" si="99"/>
        <v>0.42251042810458539</v>
      </c>
      <c r="B754">
        <f t="shared" ca="1" si="100"/>
        <v>-0.19547532072625737</v>
      </c>
      <c r="C754">
        <f t="shared" ca="1" si="104"/>
        <v>-43.218344165380024</v>
      </c>
      <c r="D754" s="22">
        <f t="shared" ca="1" si="101"/>
        <v>0.39139271623470612</v>
      </c>
      <c r="F754">
        <f t="shared" si="102"/>
        <v>0.74800000000000055</v>
      </c>
      <c r="G754">
        <f t="shared" ca="1" si="103"/>
        <v>-0.11725470405011358</v>
      </c>
      <c r="H754">
        <f t="shared" ca="1" si="105"/>
        <v>-0.11726096555652266</v>
      </c>
      <c r="I754">
        <f t="shared" ca="1" si="106"/>
        <v>9.3689856560831355E-3</v>
      </c>
      <c r="J754" s="5">
        <f t="shared" ca="1" si="107"/>
        <v>0.12662995121260578</v>
      </c>
    </row>
    <row r="755" spans="1:10" x14ac:dyDescent="0.2">
      <c r="A755">
        <f t="shared" ca="1" si="99"/>
        <v>0.50171865640690627</v>
      </c>
      <c r="B755">
        <f t="shared" ca="1" si="100"/>
        <v>4.3080460695817417E-3</v>
      </c>
      <c r="C755">
        <f t="shared" ca="1" si="104"/>
        <v>-43.214036119310443</v>
      </c>
      <c r="D755" s="22">
        <f t="shared" ca="1" si="101"/>
        <v>0.39893857838166891</v>
      </c>
      <c r="F755">
        <f t="shared" si="102"/>
        <v>0.74900000000000055</v>
      </c>
      <c r="G755">
        <f t="shared" ca="1" si="103"/>
        <v>-0.11785109599971853</v>
      </c>
      <c r="H755">
        <f t="shared" ca="1" si="105"/>
        <v>-0.1178573866998139</v>
      </c>
      <c r="I755">
        <f t="shared" ca="1" si="106"/>
        <v>9.364085578939663E-3</v>
      </c>
      <c r="J755" s="5">
        <f t="shared" ca="1" si="107"/>
        <v>0.12722147227875355</v>
      </c>
    </row>
    <row r="756" spans="1:10" x14ac:dyDescent="0.2">
      <c r="A756">
        <f t="shared" ca="1" si="99"/>
        <v>0.26659999660982858</v>
      </c>
      <c r="B756">
        <f t="shared" ca="1" si="100"/>
        <v>-0.6231286359221343</v>
      </c>
      <c r="C756">
        <f t="shared" ca="1" si="104"/>
        <v>-43.837164755232578</v>
      </c>
      <c r="D756" s="22">
        <f t="shared" ca="1" si="101"/>
        <v>0.32854443571791103</v>
      </c>
      <c r="F756">
        <f t="shared" si="102"/>
        <v>0.75000000000000056</v>
      </c>
      <c r="G756">
        <f t="shared" ca="1" si="103"/>
        <v>-0.11781568942262644</v>
      </c>
      <c r="H756">
        <f t="shared" ca="1" si="105"/>
        <v>-0.1178219777232991</v>
      </c>
      <c r="I756">
        <f t="shared" ca="1" si="106"/>
        <v>9.3651027914801628E-3</v>
      </c>
      <c r="J756" s="5">
        <f t="shared" ca="1" si="107"/>
        <v>0.12718708051477925</v>
      </c>
    </row>
    <row r="757" spans="1:10" x14ac:dyDescent="0.2">
      <c r="A757">
        <f t="shared" ca="1" si="99"/>
        <v>0.42884422789402543</v>
      </c>
      <c r="B757">
        <f t="shared" ca="1" si="100"/>
        <v>-0.17931743728177393</v>
      </c>
      <c r="C757">
        <f t="shared" ca="1" si="104"/>
        <v>-44.016482192514353</v>
      </c>
      <c r="D757" s="22">
        <f t="shared" ca="1" si="101"/>
        <v>0.39257962155742421</v>
      </c>
      <c r="F757">
        <f t="shared" si="102"/>
        <v>0.75100000000000056</v>
      </c>
      <c r="G757">
        <f t="shared" ca="1" si="103"/>
        <v>-0.11976431618633088</v>
      </c>
      <c r="H757">
        <f t="shared" ca="1" si="105"/>
        <v>-0.11977070129031453</v>
      </c>
      <c r="I757">
        <f t="shared" ca="1" si="106"/>
        <v>9.3475549478915596E-3</v>
      </c>
      <c r="J757" s="5">
        <f t="shared" ca="1" si="107"/>
        <v>0.12911825623820608</v>
      </c>
    </row>
    <row r="758" spans="1:10" x14ac:dyDescent="0.2">
      <c r="A758">
        <f t="shared" ca="1" si="99"/>
        <v>0.4940672399142283</v>
      </c>
      <c r="B758">
        <f t="shared" ca="1" si="100"/>
        <v>-1.4871772356767593E-2</v>
      </c>
      <c r="C758">
        <f t="shared" ca="1" si="104"/>
        <v>-44.031353964871123</v>
      </c>
      <c r="D758" s="22">
        <f t="shared" ca="1" si="101"/>
        <v>0.39889816588578608</v>
      </c>
      <c r="F758">
        <f t="shared" si="102"/>
        <v>0.75200000000000056</v>
      </c>
      <c r="G758">
        <f t="shared" ca="1" si="103"/>
        <v>-0.12030936402809701</v>
      </c>
      <c r="H758">
        <f t="shared" ca="1" si="105"/>
        <v>-0.1203157757461803</v>
      </c>
      <c r="I758">
        <f t="shared" ca="1" si="106"/>
        <v>9.3431434616204189E-3</v>
      </c>
      <c r="J758" s="5">
        <f t="shared" ca="1" si="107"/>
        <v>0.1296589192078007</v>
      </c>
    </row>
    <row r="759" spans="1:10" x14ac:dyDescent="0.2">
      <c r="A759">
        <f t="shared" ca="1" si="99"/>
        <v>1.5475784833876682E-2</v>
      </c>
      <c r="B759">
        <f t="shared" ca="1" si="100"/>
        <v>-2.1576947852378972</v>
      </c>
      <c r="C759">
        <f t="shared" ca="1" si="104"/>
        <v>-46.189048750109023</v>
      </c>
      <c r="D759" s="22">
        <f t="shared" ca="1" si="101"/>
        <v>3.8899965069047117E-2</v>
      </c>
      <c r="F759">
        <f t="shared" si="102"/>
        <v>0.75300000000000056</v>
      </c>
      <c r="G759">
        <f t="shared" ca="1" si="103"/>
        <v>-0.12033436051535952</v>
      </c>
      <c r="H759">
        <f t="shared" ca="1" si="105"/>
        <v>-0.1203407728420966</v>
      </c>
      <c r="I759">
        <f t="shared" ca="1" si="106"/>
        <v>9.3435916753566561E-3</v>
      </c>
      <c r="J759" s="5">
        <f t="shared" ca="1" si="107"/>
        <v>0.12968436451745324</v>
      </c>
    </row>
    <row r="760" spans="1:10" x14ac:dyDescent="0.2">
      <c r="A760">
        <f t="shared" ca="1" si="99"/>
        <v>0.90717059650123522</v>
      </c>
      <c r="B760">
        <f t="shared" ca="1" si="100"/>
        <v>1.3235311419703855</v>
      </c>
      <c r="C760">
        <f t="shared" ca="1" si="104"/>
        <v>-44.865517608138639</v>
      </c>
      <c r="D760" s="22">
        <f t="shared" ca="1" si="101"/>
        <v>0.16615970495441817</v>
      </c>
      <c r="F760">
        <f t="shared" si="102"/>
        <v>0.75400000000000056</v>
      </c>
      <c r="G760">
        <f t="shared" ca="1" si="103"/>
        <v>-0.12713521705047628</v>
      </c>
      <c r="H760">
        <f t="shared" ca="1" si="105"/>
        <v>-0.127141968781632</v>
      </c>
      <c r="I760">
        <f t="shared" ca="1" si="106"/>
        <v>9.2809368557608875E-3</v>
      </c>
      <c r="J760" s="5">
        <f t="shared" ca="1" si="107"/>
        <v>0.1364229056373929</v>
      </c>
    </row>
    <row r="761" spans="1:10" x14ac:dyDescent="0.2">
      <c r="A761">
        <f t="shared" ca="1" si="99"/>
        <v>0.19974701055533406</v>
      </c>
      <c r="B761">
        <f t="shared" ca="1" si="100"/>
        <v>-0.84252523412930125</v>
      </c>
      <c r="C761">
        <f t="shared" ca="1" si="104"/>
        <v>-45.708042842267943</v>
      </c>
      <c r="D761" s="22">
        <f t="shared" ca="1" si="101"/>
        <v>0.27974888478251625</v>
      </c>
      <c r="F761">
        <f t="shared" si="102"/>
        <v>0.75500000000000056</v>
      </c>
      <c r="G761">
        <f t="shared" ca="1" si="103"/>
        <v>-0.12292734096154836</v>
      </c>
      <c r="H761">
        <f t="shared" ca="1" si="105"/>
        <v>-0.12293388162196375</v>
      </c>
      <c r="I761">
        <f t="shared" ca="1" si="106"/>
        <v>9.3207478691569173E-3</v>
      </c>
      <c r="J761" s="5">
        <f t="shared" ca="1" si="107"/>
        <v>0.13225462949112066</v>
      </c>
    </row>
    <row r="762" spans="1:10" x14ac:dyDescent="0.2">
      <c r="A762">
        <f t="shared" ca="1" si="99"/>
        <v>0.63422209750363878</v>
      </c>
      <c r="B762">
        <f t="shared" ca="1" si="100"/>
        <v>0.34305669998169058</v>
      </c>
      <c r="C762">
        <f t="shared" ca="1" si="104"/>
        <v>-45.364986142286256</v>
      </c>
      <c r="D762" s="22">
        <f t="shared" ca="1" si="101"/>
        <v>0.3761442810852319</v>
      </c>
      <c r="F762">
        <f t="shared" si="102"/>
        <v>0.75600000000000056</v>
      </c>
      <c r="G762">
        <f t="shared" ca="1" si="103"/>
        <v>-0.12556921485868106</v>
      </c>
      <c r="H762">
        <f t="shared" ca="1" si="105"/>
        <v>-0.12557588695981678</v>
      </c>
      <c r="I762">
        <f t="shared" ca="1" si="106"/>
        <v>9.2968308217079108E-3</v>
      </c>
      <c r="J762" s="5">
        <f t="shared" ca="1" si="107"/>
        <v>0.13487271778152468</v>
      </c>
    </row>
    <row r="763" spans="1:10" x14ac:dyDescent="0.2">
      <c r="A763">
        <f t="shared" ca="1" si="99"/>
        <v>0.69126946707611958</v>
      </c>
      <c r="B763">
        <f t="shared" ca="1" si="100"/>
        <v>0.49945189784690402</v>
      </c>
      <c r="C763">
        <f t="shared" ca="1" si="104"/>
        <v>-44.865534244439353</v>
      </c>
      <c r="D763" s="22">
        <f t="shared" ca="1" si="101"/>
        <v>0.35216177097056406</v>
      </c>
      <c r="F763">
        <f t="shared" si="102"/>
        <v>0.75700000000000056</v>
      </c>
      <c r="G763">
        <f t="shared" ca="1" si="103"/>
        <v>-0.1244618727662474</v>
      </c>
      <c r="H763">
        <f t="shared" ca="1" si="105"/>
        <v>-0.1244684888325976</v>
      </c>
      <c r="I763">
        <f t="shared" ca="1" si="106"/>
        <v>9.3078060728411065E-3</v>
      </c>
      <c r="J763" s="5">
        <f t="shared" ca="1" si="107"/>
        <v>0.13377629490543871</v>
      </c>
    </row>
    <row r="764" spans="1:10" x14ac:dyDescent="0.2">
      <c r="A764">
        <f t="shared" ca="1" si="99"/>
        <v>0.77915359359903713</v>
      </c>
      <c r="B764">
        <f t="shared" ca="1" si="100"/>
        <v>0.76933778333750924</v>
      </c>
      <c r="C764">
        <f t="shared" ca="1" si="104"/>
        <v>-44.09619646110184</v>
      </c>
      <c r="D764" s="22">
        <f t="shared" ca="1" si="101"/>
        <v>0.29674596418362903</v>
      </c>
      <c r="F764">
        <f t="shared" si="102"/>
        <v>0.75800000000000056</v>
      </c>
      <c r="G764">
        <f t="shared" ca="1" si="103"/>
        <v>-0.12286010108934144</v>
      </c>
      <c r="H764">
        <f t="shared" ca="1" si="105"/>
        <v>-0.12286663640482437</v>
      </c>
      <c r="I764">
        <f t="shared" ca="1" si="106"/>
        <v>9.3234041703831906E-3</v>
      </c>
      <c r="J764" s="5">
        <f t="shared" ca="1" si="107"/>
        <v>0.13219004057520756</v>
      </c>
    </row>
    <row r="765" spans="1:10" x14ac:dyDescent="0.2">
      <c r="A765">
        <f t="shared" ca="1" si="99"/>
        <v>0.76422236021382284</v>
      </c>
      <c r="B765">
        <f t="shared" ca="1" si="100"/>
        <v>0.71995081475776379</v>
      </c>
      <c r="C765">
        <f t="shared" ca="1" si="104"/>
        <v>-43.376245646344074</v>
      </c>
      <c r="D765" s="22">
        <f t="shared" ca="1" si="101"/>
        <v>0.30786216234245584</v>
      </c>
      <c r="F765">
        <f t="shared" si="102"/>
        <v>0.75900000000000056</v>
      </c>
      <c r="G765">
        <f t="shared" ca="1" si="103"/>
        <v>-0.12040507814604023</v>
      </c>
      <c r="H765">
        <f t="shared" ca="1" si="105"/>
        <v>-0.12041149005581221</v>
      </c>
      <c r="I765">
        <f t="shared" ca="1" si="106"/>
        <v>9.3470022416563235E-3</v>
      </c>
      <c r="J765" s="5">
        <f t="shared" ca="1" si="107"/>
        <v>0.12975849229746853</v>
      </c>
    </row>
    <row r="766" spans="1:10" x14ac:dyDescent="0.2">
      <c r="A766">
        <f t="shared" ca="1" si="99"/>
        <v>0.39027811585515859</v>
      </c>
      <c r="B766">
        <f t="shared" ca="1" si="100"/>
        <v>-0.27859424243921566</v>
      </c>
      <c r="C766">
        <f t="shared" ca="1" si="104"/>
        <v>-43.654839888783293</v>
      </c>
      <c r="D766" s="22">
        <f t="shared" ca="1" si="101"/>
        <v>0.38375693477664191</v>
      </c>
      <c r="F766">
        <f t="shared" si="102"/>
        <v>0.76000000000000056</v>
      </c>
      <c r="G766">
        <f t="shared" ca="1" si="103"/>
        <v>-0.11810646819176181</v>
      </c>
      <c r="H766">
        <f t="shared" ca="1" si="105"/>
        <v>-0.11811276452887813</v>
      </c>
      <c r="I766">
        <f t="shared" ca="1" si="106"/>
        <v>9.3691966895625735E-3</v>
      </c>
      <c r="J766" s="5">
        <f t="shared" ca="1" si="107"/>
        <v>0.12748196121844071</v>
      </c>
    </row>
    <row r="767" spans="1:10" x14ac:dyDescent="0.2">
      <c r="A767">
        <f t="shared" ca="1" si="99"/>
        <v>0.16001067063551555</v>
      </c>
      <c r="B767">
        <f t="shared" ca="1" si="100"/>
        <v>-0.99441402834765846</v>
      </c>
      <c r="C767">
        <f t="shared" ca="1" si="104"/>
        <v>-44.649253917130949</v>
      </c>
      <c r="D767" s="22">
        <f t="shared" ca="1" si="101"/>
        <v>0.2433223520489772</v>
      </c>
      <c r="F767">
        <f t="shared" si="102"/>
        <v>0.76100000000000056</v>
      </c>
      <c r="G767">
        <f t="shared" ca="1" si="103"/>
        <v>-0.11896560693677356</v>
      </c>
      <c r="H767">
        <f t="shared" ca="1" si="105"/>
        <v>-0.11897194560154231</v>
      </c>
      <c r="I767">
        <f t="shared" ca="1" si="106"/>
        <v>9.3618354659588919E-3</v>
      </c>
      <c r="J767" s="5">
        <f t="shared" ca="1" si="107"/>
        <v>0.12833378106750121</v>
      </c>
    </row>
    <row r="768" spans="1:10" x14ac:dyDescent="0.2">
      <c r="A768">
        <f t="shared" ca="1" si="99"/>
        <v>6.0220121319444209E-2</v>
      </c>
      <c r="B768">
        <f t="shared" ca="1" si="100"/>
        <v>-1.5529283933366502</v>
      </c>
      <c r="C768">
        <f t="shared" ca="1" si="104"/>
        <v>-46.202182310467599</v>
      </c>
      <c r="D768" s="22">
        <f t="shared" ca="1" si="101"/>
        <v>0.11946500082662558</v>
      </c>
      <c r="F768">
        <f t="shared" si="102"/>
        <v>0.76200000000000057</v>
      </c>
      <c r="G768">
        <f t="shared" ca="1" si="103"/>
        <v>-0.12208816751356093</v>
      </c>
      <c r="H768">
        <f t="shared" ca="1" si="105"/>
        <v>-0.12209466167378401</v>
      </c>
      <c r="I768">
        <f t="shared" ca="1" si="106"/>
        <v>9.3333289772961556E-3</v>
      </c>
      <c r="J768" s="5">
        <f t="shared" ca="1" si="107"/>
        <v>0.13142799065108016</v>
      </c>
    </row>
    <row r="769" spans="1:10" x14ac:dyDescent="0.2">
      <c r="A769">
        <f t="shared" ca="1" si="99"/>
        <v>5.0164966429014468E-2</v>
      </c>
      <c r="B769">
        <f t="shared" ca="1" si="100"/>
        <v>-1.6432562172842722</v>
      </c>
      <c r="C769">
        <f t="shared" ca="1" si="104"/>
        <v>-47.845438527751874</v>
      </c>
      <c r="D769" s="22">
        <f t="shared" ca="1" si="101"/>
        <v>0.10340685418730508</v>
      </c>
      <c r="F769">
        <f t="shared" si="102"/>
        <v>0.76300000000000057</v>
      </c>
      <c r="G769">
        <f t="shared" ca="1" si="103"/>
        <v>-0.12697650504399513</v>
      </c>
      <c r="H769">
        <f t="shared" ca="1" si="105"/>
        <v>-0.12698324297370631</v>
      </c>
      <c r="I769">
        <f t="shared" ca="1" si="106"/>
        <v>9.2884896728034835E-3</v>
      </c>
      <c r="J769" s="5">
        <f t="shared" ca="1" si="107"/>
        <v>0.1362717326465098</v>
      </c>
    </row>
    <row r="770" spans="1:10" x14ac:dyDescent="0.2">
      <c r="A770">
        <f t="shared" ca="1" si="99"/>
        <v>0.2554245815000713</v>
      </c>
      <c r="B770">
        <f t="shared" ca="1" si="100"/>
        <v>-0.65751603651105817</v>
      </c>
      <c r="C770">
        <f t="shared" ca="1" si="104"/>
        <v>-48.502954564262929</v>
      </c>
      <c r="D770" s="22">
        <f t="shared" ca="1" si="101"/>
        <v>0.32138927292031616</v>
      </c>
      <c r="F770">
        <f t="shared" si="102"/>
        <v>0.76400000000000057</v>
      </c>
      <c r="G770">
        <f t="shared" ca="1" si="103"/>
        <v>-0.13214998114339038</v>
      </c>
      <c r="H770">
        <f t="shared" ca="1" si="105"/>
        <v>-0.13215697707525978</v>
      </c>
      <c r="I770">
        <f t="shared" ca="1" si="106"/>
        <v>9.2412257298072568E-3</v>
      </c>
      <c r="J770" s="5">
        <f t="shared" ca="1" si="107"/>
        <v>0.14139820280506704</v>
      </c>
    </row>
    <row r="771" spans="1:10" x14ac:dyDescent="0.2">
      <c r="A771">
        <f t="shared" ca="1" si="99"/>
        <v>0.34945236047772454</v>
      </c>
      <c r="B771">
        <f t="shared" ca="1" si="100"/>
        <v>-0.38679940066543667</v>
      </c>
      <c r="C771">
        <f t="shared" ca="1" si="104"/>
        <v>-48.889753964928367</v>
      </c>
      <c r="D771" s="22">
        <f t="shared" ca="1" si="101"/>
        <v>0.37018758276012997</v>
      </c>
      <c r="F771">
        <f t="shared" si="102"/>
        <v>0.76500000000000057</v>
      </c>
      <c r="G771">
        <f t="shared" ca="1" si="103"/>
        <v>-0.13420591162136652</v>
      </c>
      <c r="H771">
        <f t="shared" ca="1" si="105"/>
        <v>-0.13421300965101363</v>
      </c>
      <c r="I771">
        <f t="shared" ca="1" si="106"/>
        <v>9.2229070240487862E-3</v>
      </c>
      <c r="J771" s="5">
        <f t="shared" ca="1" si="107"/>
        <v>0.14343591667506242</v>
      </c>
    </row>
    <row r="772" spans="1:10" x14ac:dyDescent="0.2">
      <c r="A772">
        <f t="shared" ca="1" si="99"/>
        <v>0.31496448073418604</v>
      </c>
      <c r="B772">
        <f t="shared" ca="1" si="100"/>
        <v>-0.48182683939122362</v>
      </c>
      <c r="C772">
        <f t="shared" ca="1" si="104"/>
        <v>-49.371580804319592</v>
      </c>
      <c r="D772" s="22">
        <f t="shared" ca="1" si="101"/>
        <v>0.35522031201096865</v>
      </c>
      <c r="F772">
        <f t="shared" si="102"/>
        <v>0.76600000000000057</v>
      </c>
      <c r="G772">
        <f t="shared" ca="1" si="103"/>
        <v>-0.13540559814907871</v>
      </c>
      <c r="H772">
        <f t="shared" ca="1" si="105"/>
        <v>-0.13541275545373935</v>
      </c>
      <c r="I772">
        <f t="shared" ca="1" si="106"/>
        <v>9.2125079108155497E-3</v>
      </c>
      <c r="J772" s="5">
        <f t="shared" ca="1" si="107"/>
        <v>0.14462526336455489</v>
      </c>
    </row>
    <row r="773" spans="1:10" x14ac:dyDescent="0.2">
      <c r="A773">
        <f t="shared" ca="1" si="99"/>
        <v>4.6365560034441589E-2</v>
      </c>
      <c r="B773">
        <f t="shared" ca="1" si="100"/>
        <v>-1.6811637109896345</v>
      </c>
      <c r="C773">
        <f t="shared" ca="1" si="104"/>
        <v>-51.052744515309229</v>
      </c>
      <c r="D773" s="22">
        <f t="shared" ca="1" si="101"/>
        <v>9.709219919313615E-2</v>
      </c>
      <c r="F773">
        <f t="shared" si="102"/>
        <v>0.76700000000000057</v>
      </c>
      <c r="G773">
        <f t="shared" ca="1" si="103"/>
        <v>-0.13690565283619063</v>
      </c>
      <c r="H773">
        <f t="shared" ca="1" si="105"/>
        <v>-0.13691288442847038</v>
      </c>
      <c r="I773">
        <f t="shared" ca="1" si="106"/>
        <v>9.1993556721760503E-3</v>
      </c>
      <c r="J773" s="5">
        <f t="shared" ca="1" si="107"/>
        <v>0.14611224010064644</v>
      </c>
    </row>
    <row r="774" spans="1:10" x14ac:dyDescent="0.2">
      <c r="A774">
        <f t="shared" ca="1" si="99"/>
        <v>0.12862009498446914</v>
      </c>
      <c r="B774">
        <f t="shared" ca="1" si="100"/>
        <v>-1.1329382398652257</v>
      </c>
      <c r="C774">
        <f t="shared" ca="1" si="104"/>
        <v>-52.185682755174454</v>
      </c>
      <c r="D774" s="22">
        <f t="shared" ca="1" si="101"/>
        <v>0.20998628479885564</v>
      </c>
      <c r="F774">
        <f t="shared" si="102"/>
        <v>0.76800000000000057</v>
      </c>
      <c r="G774">
        <f t="shared" ca="1" si="103"/>
        <v>-0.14219800409749689</v>
      </c>
      <c r="H774">
        <f t="shared" ca="1" si="105"/>
        <v>-0.14220549958637582</v>
      </c>
      <c r="I774">
        <f t="shared" ca="1" si="106"/>
        <v>9.151448195748332E-3</v>
      </c>
      <c r="J774" s="5">
        <f t="shared" ca="1" si="107"/>
        <v>0.15135694778212416</v>
      </c>
    </row>
    <row r="775" spans="1:10" x14ac:dyDescent="0.2">
      <c r="A775">
        <f t="shared" ref="A775:A838" ca="1" si="108">RAND()</f>
        <v>0.31909768031755581</v>
      </c>
      <c r="B775">
        <f t="shared" ref="B775:B838" ca="1" si="109">NORMSINV(A775)</f>
        <v>-0.47022347983894974</v>
      </c>
      <c r="C775">
        <f t="shared" ca="1" si="104"/>
        <v>-52.655906235013404</v>
      </c>
      <c r="D775" s="22">
        <f t="shared" ref="D775:D838" ca="1" si="110">_xlfn.NORM.DIST(B775,0,1,FALSE)</f>
        <v>0.35718779692738079</v>
      </c>
      <c r="F775">
        <f t="shared" ref="F775:F838" si="111">F774+$M$2/$N$2</f>
        <v>0.76900000000000057</v>
      </c>
      <c r="G775">
        <f t="shared" ref="G775:G838" ca="1" si="112">G774*EXP(-$M$4*$O$2) + $O$4*(1-EXP(-$M$4*$O$2)) + $N$4* SQRT((1-EXP(-2*$M$4*$O$2))/(2*$M$4)) *B774</f>
        <v>-0.14575627166851232</v>
      </c>
      <c r="H775">
        <f t="shared" ca="1" si="105"/>
        <v>-0.14576394432269349</v>
      </c>
      <c r="I775">
        <f t="shared" ca="1" si="106"/>
        <v>9.1195866011421246E-3</v>
      </c>
      <c r="J775" s="5">
        <f t="shared" ca="1" si="107"/>
        <v>0.15488353092383561</v>
      </c>
    </row>
    <row r="776" spans="1:10" x14ac:dyDescent="0.2">
      <c r="A776">
        <f t="shared" ca="1" si="108"/>
        <v>0.96806592067301622</v>
      </c>
      <c r="B776">
        <f t="shared" ca="1" si="109"/>
        <v>1.8530990802033183</v>
      </c>
      <c r="C776">
        <f t="shared" ref="C776:C839" ca="1" si="113">B776+C775</f>
        <v>-50.802807154810083</v>
      </c>
      <c r="D776" s="22">
        <f t="shared" ca="1" si="110"/>
        <v>7.1652542973706282E-2</v>
      </c>
      <c r="F776">
        <f t="shared" si="111"/>
        <v>0.77000000000000057</v>
      </c>
      <c r="G776">
        <f t="shared" ca="1" si="112"/>
        <v>-0.14721860012990468</v>
      </c>
      <c r="H776">
        <f t="shared" ref="H776:H839" ca="1" si="114">H775+($M$6 + $N$6*H775)*$O$2 + $O$6*H775^$P$6*SQRT($O$2)*B775</f>
        <v>-0.14722634513384258</v>
      </c>
      <c r="I776">
        <f t="shared" ref="I776:I839" ca="1" si="115">I775*EXP(($M$8-0.5*($N$8^2))*$O$2 + $N$8*SQRT($O$2)*B775)</f>
        <v>9.1069011754290018E-3</v>
      </c>
      <c r="J776" s="5">
        <f t="shared" ref="J776:J839" ca="1" si="116">ABS(H776-I776)</f>
        <v>0.15633324630927159</v>
      </c>
    </row>
    <row r="777" spans="1:10" x14ac:dyDescent="0.2">
      <c r="A777">
        <f t="shared" ca="1" si="108"/>
        <v>0.7141871640597891</v>
      </c>
      <c r="B777">
        <f t="shared" ca="1" si="109"/>
        <v>0.56565891154452941</v>
      </c>
      <c r="C777">
        <f t="shared" ca="1" si="113"/>
        <v>-50.237148243265551</v>
      </c>
      <c r="D777" s="22">
        <f t="shared" ca="1" si="110"/>
        <v>0.33996128506556428</v>
      </c>
      <c r="F777">
        <f t="shared" si="111"/>
        <v>0.77100000000000057</v>
      </c>
      <c r="G777">
        <f t="shared" ca="1" si="112"/>
        <v>-0.14133415867102131</v>
      </c>
      <c r="H777">
        <f t="shared" ca="1" si="114"/>
        <v>-0.14134160867592366</v>
      </c>
      <c r="I777">
        <f t="shared" ca="1" si="115"/>
        <v>9.1612946941523419E-3</v>
      </c>
      <c r="J777" s="5">
        <f t="shared" ca="1" si="116"/>
        <v>0.15050290337007599</v>
      </c>
    </row>
    <row r="778" spans="1:10" x14ac:dyDescent="0.2">
      <c r="A778">
        <f t="shared" ca="1" si="108"/>
        <v>0.39769552564544552</v>
      </c>
      <c r="B778">
        <f t="shared" ca="1" si="109"/>
        <v>-0.25931649777050864</v>
      </c>
      <c r="C778">
        <f t="shared" ca="1" si="113"/>
        <v>-50.496464741036057</v>
      </c>
      <c r="D778" s="22">
        <f t="shared" ca="1" si="110"/>
        <v>0.38575182519055468</v>
      </c>
      <c r="F778">
        <f t="shared" si="111"/>
        <v>0.77200000000000057</v>
      </c>
      <c r="G778">
        <f t="shared" ca="1" si="112"/>
        <v>-0.13952134535733285</v>
      </c>
      <c r="H778">
        <f t="shared" ca="1" si="114"/>
        <v>-0.13952870397580364</v>
      </c>
      <c r="I778">
        <f t="shared" ca="1" si="115"/>
        <v>9.1785687362561912E-3</v>
      </c>
      <c r="J778" s="5">
        <f t="shared" ca="1" si="116"/>
        <v>0.14870727271205983</v>
      </c>
    </row>
    <row r="779" spans="1:10" x14ac:dyDescent="0.2">
      <c r="A779">
        <f t="shared" ca="1" si="108"/>
        <v>3.9439450637304807E-2</v>
      </c>
      <c r="B779">
        <f t="shared" ca="1" si="109"/>
        <v>-1.7572283122975676</v>
      </c>
      <c r="C779">
        <f t="shared" ca="1" si="113"/>
        <v>-52.253693053333627</v>
      </c>
      <c r="D779" s="22">
        <f t="shared" ca="1" si="110"/>
        <v>8.519059794667358E-2</v>
      </c>
      <c r="F779">
        <f t="shared" si="111"/>
        <v>0.77300000000000058</v>
      </c>
      <c r="G779">
        <f t="shared" ca="1" si="112"/>
        <v>-0.14031738418834663</v>
      </c>
      <c r="H779">
        <f t="shared" ca="1" si="114"/>
        <v>-0.14032478187321884</v>
      </c>
      <c r="I779">
        <f t="shared" ca="1" si="115"/>
        <v>9.1719164033823384E-3</v>
      </c>
      <c r="J779" s="5">
        <f t="shared" ca="1" si="116"/>
        <v>0.14949669827660117</v>
      </c>
    </row>
    <row r="780" spans="1:10" x14ac:dyDescent="0.2">
      <c r="A780">
        <f t="shared" ca="1" si="108"/>
        <v>0.48405952675178932</v>
      </c>
      <c r="B780">
        <f t="shared" ca="1" si="109"/>
        <v>-3.9967479076913212E-2</v>
      </c>
      <c r="C780">
        <f t="shared" ca="1" si="113"/>
        <v>-52.293660532410541</v>
      </c>
      <c r="D780" s="22">
        <f t="shared" ca="1" si="110"/>
        <v>0.39862377253799558</v>
      </c>
      <c r="F780">
        <f t="shared" si="111"/>
        <v>0.77400000000000058</v>
      </c>
      <c r="G780">
        <f t="shared" ca="1" si="112"/>
        <v>-0.14584991965665312</v>
      </c>
      <c r="H780">
        <f t="shared" ca="1" si="114"/>
        <v>-0.14585759323082551</v>
      </c>
      <c r="I780">
        <f t="shared" ca="1" si="115"/>
        <v>9.1219573866827709E-3</v>
      </c>
      <c r="J780" s="5">
        <f t="shared" ca="1" si="116"/>
        <v>0.15497955061750829</v>
      </c>
    </row>
    <row r="781" spans="1:10" x14ac:dyDescent="0.2">
      <c r="A781">
        <f t="shared" ca="1" si="108"/>
        <v>0.65463785392730334</v>
      </c>
      <c r="B781">
        <f t="shared" ca="1" si="109"/>
        <v>0.39787233699903768</v>
      </c>
      <c r="C781">
        <f t="shared" ca="1" si="113"/>
        <v>-51.895788195411505</v>
      </c>
      <c r="D781" s="22">
        <f t="shared" ca="1" si="110"/>
        <v>0.36858286133414886</v>
      </c>
      <c r="F781">
        <f t="shared" si="111"/>
        <v>0.77500000000000058</v>
      </c>
      <c r="G781">
        <f t="shared" ca="1" si="112"/>
        <v>-0.14595171784096422</v>
      </c>
      <c r="H781">
        <f t="shared" ca="1" si="114"/>
        <v>-0.1459593957377206</v>
      </c>
      <c r="I781">
        <f t="shared" ca="1" si="115"/>
        <v>9.1216710687494224E-3</v>
      </c>
      <c r="J781" s="5">
        <f t="shared" ca="1" si="116"/>
        <v>0.15508106680647002</v>
      </c>
    </row>
    <row r="782" spans="1:10" x14ac:dyDescent="0.2">
      <c r="A782">
        <f t="shared" ca="1" si="108"/>
        <v>0.70109670346162734</v>
      </c>
      <c r="B782">
        <f t="shared" ca="1" si="109"/>
        <v>0.52755736235171113</v>
      </c>
      <c r="C782">
        <f t="shared" ca="1" si="113"/>
        <v>-51.368230833059798</v>
      </c>
      <c r="D782" s="22">
        <f t="shared" ca="1" si="110"/>
        <v>0.34711577175759512</v>
      </c>
      <c r="F782">
        <f t="shared" si="111"/>
        <v>0.77600000000000058</v>
      </c>
      <c r="G782">
        <f t="shared" ca="1" si="112"/>
        <v>-0.14466900400252572</v>
      </c>
      <c r="H782">
        <f t="shared" ca="1" si="114"/>
        <v>-0.1446766169952558</v>
      </c>
      <c r="I782">
        <f t="shared" ca="1" si="115"/>
        <v>9.1340227123043443E-3</v>
      </c>
      <c r="J782" s="5">
        <f t="shared" ca="1" si="116"/>
        <v>0.15381063970756015</v>
      </c>
    </row>
    <row r="783" spans="1:10" x14ac:dyDescent="0.2">
      <c r="A783">
        <f t="shared" ca="1" si="108"/>
        <v>0.41049399901968209</v>
      </c>
      <c r="B783">
        <f t="shared" ca="1" si="109"/>
        <v>-0.22627441269305335</v>
      </c>
      <c r="C783">
        <f t="shared" ca="1" si="113"/>
        <v>-51.594505245752849</v>
      </c>
      <c r="D783" s="22">
        <f t="shared" ca="1" si="110"/>
        <v>0.38885895365302792</v>
      </c>
      <c r="F783">
        <f t="shared" si="111"/>
        <v>0.77700000000000058</v>
      </c>
      <c r="G783">
        <f t="shared" ca="1" si="112"/>
        <v>-0.14297633887467517</v>
      </c>
      <c r="H783">
        <f t="shared" ca="1" si="114"/>
        <v>-0.1429838664721341</v>
      </c>
      <c r="I783">
        <f t="shared" ca="1" si="115"/>
        <v>9.1501427859569245E-3</v>
      </c>
      <c r="J783" s="5">
        <f t="shared" ca="1" si="116"/>
        <v>0.15213400925809101</v>
      </c>
    </row>
    <row r="784" spans="1:10" x14ac:dyDescent="0.2">
      <c r="A784">
        <f t="shared" ca="1" si="108"/>
        <v>0.22292014831763274</v>
      </c>
      <c r="B784">
        <f t="shared" ca="1" si="109"/>
        <v>-0.76236817224104791</v>
      </c>
      <c r="C784">
        <f t="shared" ca="1" si="113"/>
        <v>-52.356873417993896</v>
      </c>
      <c r="D784" s="22">
        <f t="shared" ca="1" si="110"/>
        <v>0.29833413917680118</v>
      </c>
      <c r="F784">
        <f t="shared" si="111"/>
        <v>0.77800000000000058</v>
      </c>
      <c r="G784">
        <f t="shared" ca="1" si="112"/>
        <v>-0.14366754920032049</v>
      </c>
      <c r="H784">
        <f t="shared" ca="1" si="114"/>
        <v>-0.14367511060581384</v>
      </c>
      <c r="I784">
        <f t="shared" ca="1" si="115"/>
        <v>9.1444664946633766E-3</v>
      </c>
      <c r="J784" s="5">
        <f t="shared" ca="1" si="116"/>
        <v>0.15281957710047722</v>
      </c>
    </row>
    <row r="785" spans="1:10" x14ac:dyDescent="0.2">
      <c r="A785">
        <f t="shared" ca="1" si="108"/>
        <v>0.90207712824114672</v>
      </c>
      <c r="B785">
        <f t="shared" ca="1" si="109"/>
        <v>1.2934781293257174</v>
      </c>
      <c r="C785">
        <f t="shared" ca="1" si="113"/>
        <v>-51.063395288668175</v>
      </c>
      <c r="D785" s="22">
        <f t="shared" ca="1" si="110"/>
        <v>0.17282403018212605</v>
      </c>
      <c r="F785">
        <f t="shared" si="111"/>
        <v>0.77900000000000058</v>
      </c>
      <c r="G785">
        <f t="shared" ca="1" si="112"/>
        <v>-0.14605388296762917</v>
      </c>
      <c r="H785">
        <f t="shared" ca="1" si="114"/>
        <v>-0.14606156293465453</v>
      </c>
      <c r="I785">
        <f t="shared" ca="1" si="115"/>
        <v>9.1233140597972977E-3</v>
      </c>
      <c r="J785" s="5">
        <f t="shared" ca="1" si="116"/>
        <v>0.15518487699445183</v>
      </c>
    </row>
    <row r="786" spans="1:10" x14ac:dyDescent="0.2">
      <c r="A786">
        <f t="shared" ca="1" si="108"/>
        <v>0.61482839678003598</v>
      </c>
      <c r="B786">
        <f t="shared" ca="1" si="109"/>
        <v>0.29192599654642304</v>
      </c>
      <c r="C786">
        <f t="shared" ca="1" si="113"/>
        <v>-50.771469292121751</v>
      </c>
      <c r="D786" s="22">
        <f t="shared" ca="1" si="110"/>
        <v>0.38230027194739963</v>
      </c>
      <c r="F786">
        <f t="shared" si="111"/>
        <v>0.78000000000000058</v>
      </c>
      <c r="G786">
        <f t="shared" ca="1" si="112"/>
        <v>-0.14193914632560614</v>
      </c>
      <c r="H786">
        <f t="shared" ca="1" si="114"/>
        <v>-0.14194661978607798</v>
      </c>
      <c r="I786">
        <f t="shared" ca="1" si="115"/>
        <v>9.1615782219744615E-3</v>
      </c>
      <c r="J786" s="5">
        <f t="shared" ca="1" si="116"/>
        <v>0.15110819800805245</v>
      </c>
    </row>
    <row r="787" spans="1:10" x14ac:dyDescent="0.2">
      <c r="A787">
        <f t="shared" ca="1" si="108"/>
        <v>0.68021873344902994</v>
      </c>
      <c r="B787">
        <f t="shared" ca="1" si="109"/>
        <v>0.46831053864688499</v>
      </c>
      <c r="C787">
        <f t="shared" ca="1" si="113"/>
        <v>-50.303158753474868</v>
      </c>
      <c r="D787" s="22">
        <f t="shared" ca="1" si="110"/>
        <v>0.35750858129687296</v>
      </c>
      <c r="F787">
        <f t="shared" si="111"/>
        <v>0.78100000000000058</v>
      </c>
      <c r="G787">
        <f t="shared" ca="1" si="112"/>
        <v>-0.14099184871895754</v>
      </c>
      <c r="H787">
        <f t="shared" ca="1" si="114"/>
        <v>-0.14099927406679821</v>
      </c>
      <c r="I787">
        <f t="shared" ca="1" si="115"/>
        <v>9.1709108427303482E-3</v>
      </c>
      <c r="J787" s="5">
        <f t="shared" ca="1" si="116"/>
        <v>0.15017018490952855</v>
      </c>
    </row>
    <row r="788" spans="1:10" x14ac:dyDescent="0.2">
      <c r="A788">
        <f t="shared" ca="1" si="108"/>
        <v>0.70037468071826048</v>
      </c>
      <c r="B788">
        <f t="shared" ca="1" si="109"/>
        <v>0.52547843810069417</v>
      </c>
      <c r="C788">
        <f t="shared" ca="1" si="113"/>
        <v>-49.777680315374177</v>
      </c>
      <c r="D788" s="22">
        <f t="shared" ca="1" si="110"/>
        <v>0.34749592951943037</v>
      </c>
      <c r="F788">
        <f t="shared" si="111"/>
        <v>0.78200000000000058</v>
      </c>
      <c r="G788">
        <f t="shared" ca="1" si="112"/>
        <v>-0.13948689682793283</v>
      </c>
      <c r="H788">
        <f t="shared" ca="1" si="114"/>
        <v>-0.13949424618500708</v>
      </c>
      <c r="I788">
        <f t="shared" ca="1" si="115"/>
        <v>9.1853749316821096E-3</v>
      </c>
      <c r="J788" s="5">
        <f t="shared" ca="1" si="116"/>
        <v>0.1486796211166892</v>
      </c>
    </row>
    <row r="789" spans="1:10" x14ac:dyDescent="0.2">
      <c r="A789">
        <f t="shared" ca="1" si="108"/>
        <v>0.85556027579247329</v>
      </c>
      <c r="B789">
        <f t="shared" ca="1" si="109"/>
        <v>1.0605830071982667</v>
      </c>
      <c r="C789">
        <f t="shared" ca="1" si="113"/>
        <v>-48.717097308175909</v>
      </c>
      <c r="D789" s="22">
        <f t="shared" ca="1" si="110"/>
        <v>0.22732906383137894</v>
      </c>
      <c r="F789">
        <f t="shared" si="111"/>
        <v>0.78300000000000058</v>
      </c>
      <c r="G789">
        <f t="shared" ca="1" si="112"/>
        <v>-0.13780132369191314</v>
      </c>
      <c r="H789">
        <f t="shared" ca="1" si="114"/>
        <v>-0.13780858803468257</v>
      </c>
      <c r="I789">
        <f t="shared" ca="1" si="115"/>
        <v>9.2015251414273372E-3</v>
      </c>
      <c r="J789" s="5">
        <f t="shared" ca="1" si="116"/>
        <v>0.1470101131761099</v>
      </c>
    </row>
    <row r="790" spans="1:10" x14ac:dyDescent="0.2">
      <c r="A790">
        <f t="shared" ca="1" si="108"/>
        <v>0.61766114610400702</v>
      </c>
      <c r="B790">
        <f t="shared" ca="1" si="109"/>
        <v>0.29934383989107655</v>
      </c>
      <c r="C790">
        <f t="shared" ca="1" si="113"/>
        <v>-48.417753468284829</v>
      </c>
      <c r="D790" s="22">
        <f t="shared" ca="1" si="110"/>
        <v>0.38146281617272532</v>
      </c>
      <c r="F790">
        <f t="shared" si="111"/>
        <v>0.78400000000000059</v>
      </c>
      <c r="G790">
        <f t="shared" ca="1" si="112"/>
        <v>-0.13442385448400426</v>
      </c>
      <c r="H790">
        <f t="shared" ca="1" si="114"/>
        <v>-0.13443094922546181</v>
      </c>
      <c r="I790">
        <f t="shared" ca="1" si="115"/>
        <v>9.2333146818615736E-3</v>
      </c>
      <c r="J790" s="5">
        <f t="shared" ca="1" si="116"/>
        <v>0.1436642639073234</v>
      </c>
    </row>
    <row r="791" spans="1:10" x14ac:dyDescent="0.2">
      <c r="A791">
        <f t="shared" ca="1" si="108"/>
        <v>0.32844448728354281</v>
      </c>
      <c r="B791">
        <f t="shared" ca="1" si="109"/>
        <v>-0.44421247390604418</v>
      </c>
      <c r="C791">
        <f t="shared" ca="1" si="113"/>
        <v>-48.861965942190871</v>
      </c>
      <c r="D791" s="22">
        <f t="shared" ca="1" si="110"/>
        <v>0.36146108415864403</v>
      </c>
      <c r="F791">
        <f t="shared" si="111"/>
        <v>0.78500000000000059</v>
      </c>
      <c r="G791">
        <f t="shared" ca="1" si="112"/>
        <v>-0.13345385226148435</v>
      </c>
      <c r="H791">
        <f t="shared" ca="1" si="114"/>
        <v>-0.13346089779294268</v>
      </c>
      <c r="I791">
        <f t="shared" ca="1" si="115"/>
        <v>9.2429371899902073E-3</v>
      </c>
      <c r="J791" s="5">
        <f t="shared" ca="1" si="116"/>
        <v>0.14270383498293288</v>
      </c>
    </row>
    <row r="792" spans="1:10" x14ac:dyDescent="0.2">
      <c r="A792">
        <f t="shared" ca="1" si="108"/>
        <v>0.4026894926531146</v>
      </c>
      <c r="B792">
        <f t="shared" ca="1" si="109"/>
        <v>-0.24639175861164145</v>
      </c>
      <c r="C792">
        <f t="shared" ca="1" si="113"/>
        <v>-49.108357700802515</v>
      </c>
      <c r="D792" s="22">
        <f t="shared" ca="1" si="110"/>
        <v>0.38701455278624736</v>
      </c>
      <c r="F792">
        <f t="shared" si="111"/>
        <v>0.78600000000000059</v>
      </c>
      <c r="G792">
        <f t="shared" ca="1" si="112"/>
        <v>-0.134835160992857</v>
      </c>
      <c r="H792">
        <f t="shared" ca="1" si="114"/>
        <v>-0.13484227488576458</v>
      </c>
      <c r="I792">
        <f t="shared" ca="1" si="115"/>
        <v>9.2308394249681538E-3</v>
      </c>
      <c r="J792" s="5">
        <f t="shared" ca="1" si="116"/>
        <v>0.14407311431073275</v>
      </c>
    </row>
    <row r="793" spans="1:10" x14ac:dyDescent="0.2">
      <c r="A793">
        <f t="shared" ca="1" si="108"/>
        <v>3.9181399405849859E-3</v>
      </c>
      <c r="B793">
        <f t="shared" ca="1" si="109"/>
        <v>-2.6590436968162403</v>
      </c>
      <c r="C793">
        <f t="shared" ca="1" si="113"/>
        <v>-51.767401397618755</v>
      </c>
      <c r="D793" s="22">
        <f t="shared" ca="1" si="110"/>
        <v>1.16296753932944E-2</v>
      </c>
      <c r="F793">
        <f t="shared" si="111"/>
        <v>0.78700000000000059</v>
      </c>
      <c r="G793">
        <f t="shared" ca="1" si="112"/>
        <v>-0.13559079884846703</v>
      </c>
      <c r="H793">
        <f t="shared" ca="1" si="114"/>
        <v>-0.1355979498121832</v>
      </c>
      <c r="I793">
        <f t="shared" ca="1" si="115"/>
        <v>9.224526221541525E-3</v>
      </c>
      <c r="J793" s="5">
        <f t="shared" ca="1" si="116"/>
        <v>0.14482247603372472</v>
      </c>
    </row>
    <row r="794" spans="1:10" x14ac:dyDescent="0.2">
      <c r="A794">
        <f t="shared" ca="1" si="108"/>
        <v>0.99975222374205541</v>
      </c>
      <c r="B794">
        <f t="shared" ca="1" si="109"/>
        <v>3.4831489771133963</v>
      </c>
      <c r="C794">
        <f t="shared" ca="1" si="113"/>
        <v>-48.284252420505361</v>
      </c>
      <c r="D794" s="22">
        <f t="shared" ca="1" si="110"/>
        <v>9.2556894710100937E-4</v>
      </c>
      <c r="F794">
        <f t="shared" si="111"/>
        <v>0.78800000000000059</v>
      </c>
      <c r="G794">
        <f t="shared" ca="1" si="112"/>
        <v>-0.14397545501214368</v>
      </c>
      <c r="H794">
        <f t="shared" ca="1" si="114"/>
        <v>-0.14398302449705552</v>
      </c>
      <c r="I794">
        <f t="shared" ca="1" si="115"/>
        <v>9.1481547842697068E-3</v>
      </c>
      <c r="J794" s="5">
        <f t="shared" ca="1" si="116"/>
        <v>0.15313117928132522</v>
      </c>
    </row>
    <row r="795" spans="1:10" x14ac:dyDescent="0.2">
      <c r="A795">
        <f t="shared" ca="1" si="108"/>
        <v>0.88711800465289503</v>
      </c>
      <c r="B795">
        <f t="shared" ca="1" si="109"/>
        <v>1.2113429594481915</v>
      </c>
      <c r="C795">
        <f t="shared" ca="1" si="113"/>
        <v>-47.072909461057172</v>
      </c>
      <c r="D795" s="22">
        <f t="shared" ca="1" si="110"/>
        <v>0.1915484660600375</v>
      </c>
      <c r="F795">
        <f t="shared" si="111"/>
        <v>0.78900000000000059</v>
      </c>
      <c r="G795">
        <f t="shared" ca="1" si="112"/>
        <v>-0.13293692520037864</v>
      </c>
      <c r="H795">
        <f t="shared" ca="1" si="114"/>
        <v>-0.13294394199724177</v>
      </c>
      <c r="I795">
        <f t="shared" ca="1" si="115"/>
        <v>9.250354547291971E-3</v>
      </c>
      <c r="J795" s="5">
        <f t="shared" ca="1" si="116"/>
        <v>0.14219429654453375</v>
      </c>
    </row>
    <row r="796" spans="1:10" x14ac:dyDescent="0.2">
      <c r="A796">
        <f t="shared" ca="1" si="108"/>
        <v>0.59403621520148697</v>
      </c>
      <c r="B796">
        <f t="shared" ca="1" si="109"/>
        <v>0.23794007886699883</v>
      </c>
      <c r="C796">
        <f t="shared" ca="1" si="113"/>
        <v>-46.834969382190174</v>
      </c>
      <c r="D796" s="22">
        <f t="shared" ca="1" si="110"/>
        <v>0.38780747003194338</v>
      </c>
      <c r="F796">
        <f t="shared" si="111"/>
        <v>0.79000000000000059</v>
      </c>
      <c r="G796">
        <f t="shared" ca="1" si="112"/>
        <v>-0.12908322141519801</v>
      </c>
      <c r="H796">
        <f t="shared" ca="1" si="114"/>
        <v>-0.12909004482357678</v>
      </c>
      <c r="I796">
        <f t="shared" ca="1" si="115"/>
        <v>9.2867391338058904E-3</v>
      </c>
      <c r="J796" s="5">
        <f t="shared" ca="1" si="116"/>
        <v>0.13837678395738268</v>
      </c>
    </row>
    <row r="797" spans="1:10" x14ac:dyDescent="0.2">
      <c r="A797">
        <f t="shared" ca="1" si="108"/>
        <v>0.39931185696648419</v>
      </c>
      <c r="B797">
        <f t="shared" ca="1" si="109"/>
        <v>-0.25512867945408657</v>
      </c>
      <c r="C797">
        <f t="shared" ca="1" si="113"/>
        <v>-47.090098061644262</v>
      </c>
      <c r="D797" s="22">
        <f t="shared" ca="1" si="110"/>
        <v>0.38616758150938513</v>
      </c>
      <c r="F797">
        <f t="shared" si="111"/>
        <v>0.79100000000000059</v>
      </c>
      <c r="G797">
        <f t="shared" ca="1" si="112"/>
        <v>-0.1283079192626369</v>
      </c>
      <c r="H797">
        <f t="shared" ca="1" si="114"/>
        <v>-0.12831470322323463</v>
      </c>
      <c r="I797">
        <f t="shared" ca="1" si="115"/>
        <v>9.2946123547980007E-3</v>
      </c>
      <c r="J797" s="5">
        <f t="shared" ca="1" si="116"/>
        <v>0.13760931557803263</v>
      </c>
    </row>
    <row r="798" spans="1:10" x14ac:dyDescent="0.2">
      <c r="A798">
        <f t="shared" ca="1" si="108"/>
        <v>0.54538868388346895</v>
      </c>
      <c r="B798">
        <f t="shared" ca="1" si="109"/>
        <v>0.11401912565705698</v>
      </c>
      <c r="C798">
        <f t="shared" ca="1" si="113"/>
        <v>-46.976078935987204</v>
      </c>
      <c r="D798" s="22">
        <f t="shared" ca="1" si="110"/>
        <v>0.39635749345858451</v>
      </c>
      <c r="F798">
        <f t="shared" si="111"/>
        <v>0.79200000000000059</v>
      </c>
      <c r="G798">
        <f t="shared" ca="1" si="112"/>
        <v>-0.12909183699801266</v>
      </c>
      <c r="H798">
        <f t="shared" ca="1" si="114"/>
        <v>-0.12909865947641824</v>
      </c>
      <c r="I798">
        <f t="shared" ca="1" si="115"/>
        <v>9.287998917789966E-3</v>
      </c>
      <c r="J798" s="5">
        <f t="shared" ca="1" si="116"/>
        <v>0.13838665839420822</v>
      </c>
    </row>
    <row r="799" spans="1:10" x14ac:dyDescent="0.2">
      <c r="A799">
        <f t="shared" ca="1" si="108"/>
        <v>0.80845307084337448</v>
      </c>
      <c r="B799">
        <f t="shared" ca="1" si="109"/>
        <v>0.87220993914767764</v>
      </c>
      <c r="C799">
        <f t="shared" ca="1" si="113"/>
        <v>-46.103868996839523</v>
      </c>
      <c r="D799" s="22">
        <f t="shared" ca="1" si="110"/>
        <v>0.27271891702389017</v>
      </c>
      <c r="F799">
        <f t="shared" si="111"/>
        <v>0.79300000000000059</v>
      </c>
      <c r="G799">
        <f t="shared" ca="1" si="112"/>
        <v>-0.12870838685309216</v>
      </c>
      <c r="H799">
        <f t="shared" ca="1" si="114"/>
        <v>-0.12871518947657337</v>
      </c>
      <c r="I799">
        <f t="shared" ca="1" si="115"/>
        <v>9.2922311237595562E-3</v>
      </c>
      <c r="J799" s="5">
        <f t="shared" ca="1" si="116"/>
        <v>0.13800742060033294</v>
      </c>
    </row>
    <row r="800" spans="1:10" x14ac:dyDescent="0.2">
      <c r="A800">
        <f t="shared" ca="1" si="108"/>
        <v>0.84809417211428784</v>
      </c>
      <c r="B800">
        <f t="shared" ca="1" si="109"/>
        <v>1.0282937805518817</v>
      </c>
      <c r="C800">
        <f t="shared" ca="1" si="113"/>
        <v>-45.075575216287639</v>
      </c>
      <c r="D800" s="22">
        <f t="shared" ca="1" si="110"/>
        <v>0.23512627169943934</v>
      </c>
      <c r="F800">
        <f t="shared" si="111"/>
        <v>0.79400000000000059</v>
      </c>
      <c r="G800">
        <f t="shared" ca="1" si="112"/>
        <v>-0.12592748505512147</v>
      </c>
      <c r="H800">
        <f t="shared" ca="1" si="114"/>
        <v>-0.12593414795208219</v>
      </c>
      <c r="I800">
        <f t="shared" ca="1" si="115"/>
        <v>9.318781296954199E-3</v>
      </c>
      <c r="J800" s="5">
        <f t="shared" ca="1" si="116"/>
        <v>0.1352529292490364</v>
      </c>
    </row>
    <row r="801" spans="1:10" x14ac:dyDescent="0.2">
      <c r="A801">
        <f t="shared" ca="1" si="108"/>
        <v>0.64236225174998463</v>
      </c>
      <c r="B801">
        <f t="shared" ca="1" si="109"/>
        <v>0.36478018630427322</v>
      </c>
      <c r="C801">
        <f t="shared" ca="1" si="113"/>
        <v>-44.710795029983366</v>
      </c>
      <c r="D801" s="22">
        <f t="shared" ca="1" si="110"/>
        <v>0.37326344366128134</v>
      </c>
      <c r="F801">
        <f t="shared" si="111"/>
        <v>0.7950000000000006</v>
      </c>
      <c r="G801">
        <f t="shared" ca="1" si="112"/>
        <v>-0.12265330556663476</v>
      </c>
      <c r="H801">
        <f t="shared" ca="1" si="114"/>
        <v>-0.12265980408695767</v>
      </c>
      <c r="I801">
        <f t="shared" ca="1" si="115"/>
        <v>9.3500211793423847E-3</v>
      </c>
      <c r="J801" s="5">
        <f t="shared" ca="1" si="116"/>
        <v>0.13200982526630006</v>
      </c>
    </row>
    <row r="802" spans="1:10" x14ac:dyDescent="0.2">
      <c r="A802">
        <f t="shared" ca="1" si="108"/>
        <v>0.63708091556134838</v>
      </c>
      <c r="B802">
        <f t="shared" ca="1" si="109"/>
        <v>0.35066702213810808</v>
      </c>
      <c r="C802">
        <f t="shared" ca="1" si="113"/>
        <v>-44.360128007845255</v>
      </c>
      <c r="D802" s="22">
        <f t="shared" ca="1" si="110"/>
        <v>0.37515267091924054</v>
      </c>
      <c r="F802">
        <f t="shared" si="111"/>
        <v>0.7960000000000006</v>
      </c>
      <c r="G802">
        <f t="shared" ca="1" si="112"/>
        <v>-0.12147756278969406</v>
      </c>
      <c r="H802">
        <f t="shared" ca="1" si="114"/>
        <v>-0.12148400187252692</v>
      </c>
      <c r="I802">
        <f t="shared" ca="1" si="115"/>
        <v>9.3617023102138212E-3</v>
      </c>
      <c r="J802" s="5">
        <f t="shared" ca="1" si="116"/>
        <v>0.13084570418274075</v>
      </c>
    </row>
    <row r="803" spans="1:10" x14ac:dyDescent="0.2">
      <c r="A803">
        <f t="shared" ca="1" si="108"/>
        <v>0.10714024921622611</v>
      </c>
      <c r="B803">
        <f t="shared" ca="1" si="109"/>
        <v>-1.2418809263541788</v>
      </c>
      <c r="C803">
        <f t="shared" ca="1" si="113"/>
        <v>-45.602008934199432</v>
      </c>
      <c r="D803" s="22">
        <f t="shared" ca="1" si="110"/>
        <v>0.18450611898413793</v>
      </c>
      <c r="F803">
        <f t="shared" si="111"/>
        <v>0.7970000000000006</v>
      </c>
      <c r="G803">
        <f t="shared" ca="1" si="112"/>
        <v>-0.12034656509351528</v>
      </c>
      <c r="H803">
        <f t="shared" ca="1" si="114"/>
        <v>-0.12035294698207455</v>
      </c>
      <c r="I803">
        <f t="shared" ca="1" si="115"/>
        <v>9.3729797114912011E-3</v>
      </c>
      <c r="J803" s="5">
        <f t="shared" ca="1" si="116"/>
        <v>0.12972592669356575</v>
      </c>
    </row>
    <row r="804" spans="1:10" x14ac:dyDescent="0.2">
      <c r="A804">
        <f t="shared" ca="1" si="108"/>
        <v>0.18311751607367777</v>
      </c>
      <c r="B804">
        <f t="shared" ca="1" si="109"/>
        <v>-0.90354817524903219</v>
      </c>
      <c r="C804">
        <f t="shared" ca="1" si="113"/>
        <v>-46.505557109448468</v>
      </c>
      <c r="D804" s="22">
        <f t="shared" ca="1" si="110"/>
        <v>0.26523523017331591</v>
      </c>
      <c r="F804">
        <f t="shared" si="111"/>
        <v>0.7980000000000006</v>
      </c>
      <c r="G804">
        <f t="shared" ca="1" si="112"/>
        <v>-0.12425150749826683</v>
      </c>
      <c r="H804">
        <f t="shared" ca="1" si="114"/>
        <v>-0.12425808399737537</v>
      </c>
      <c r="I804">
        <f t="shared" ca="1" si="115"/>
        <v>9.3371295740039585E-3</v>
      </c>
      <c r="J804" s="5">
        <f t="shared" ca="1" si="116"/>
        <v>0.13359521357137932</v>
      </c>
    </row>
    <row r="805" spans="1:10" x14ac:dyDescent="0.2">
      <c r="A805">
        <f t="shared" ca="1" si="108"/>
        <v>0.58298766603252927</v>
      </c>
      <c r="B805">
        <f t="shared" ca="1" si="109"/>
        <v>0.20954261986166056</v>
      </c>
      <c r="C805">
        <f t="shared" ca="1" si="113"/>
        <v>-46.29601448958681</v>
      </c>
      <c r="D805" s="22">
        <f t="shared" ca="1" si="110"/>
        <v>0.3902793212133091</v>
      </c>
      <c r="F805">
        <f t="shared" si="111"/>
        <v>0.7990000000000006</v>
      </c>
      <c r="G805">
        <f t="shared" ca="1" si="112"/>
        <v>-0.12708621082065499</v>
      </c>
      <c r="H805">
        <f t="shared" ca="1" si="114"/>
        <v>-0.12709292839845154</v>
      </c>
      <c r="I805">
        <f t="shared" ca="1" si="115"/>
        <v>9.3113734881508717E-3</v>
      </c>
      <c r="J805" s="5">
        <f t="shared" ca="1" si="116"/>
        <v>0.13640430188660241</v>
      </c>
    </row>
    <row r="806" spans="1:10" x14ac:dyDescent="0.2">
      <c r="A806">
        <f t="shared" ca="1" si="108"/>
        <v>0.73675588885235443</v>
      </c>
      <c r="B806">
        <f t="shared" ca="1" si="109"/>
        <v>0.63337586448825733</v>
      </c>
      <c r="C806">
        <f t="shared" ca="1" si="113"/>
        <v>-45.662638625098552</v>
      </c>
      <c r="D806" s="22">
        <f t="shared" ca="1" si="110"/>
        <v>0.32643611157378427</v>
      </c>
      <c r="F806">
        <f t="shared" si="111"/>
        <v>0.8000000000000006</v>
      </c>
      <c r="G806">
        <f t="shared" ca="1" si="112"/>
        <v>-0.12640090451954131</v>
      </c>
      <c r="H806">
        <f t="shared" ca="1" si="114"/>
        <v>-0.12640758715997003</v>
      </c>
      <c r="I806">
        <f t="shared" ca="1" si="115"/>
        <v>9.3184307552312134E-3</v>
      </c>
      <c r="J806" s="5">
        <f t="shared" ca="1" si="116"/>
        <v>0.13572601791520122</v>
      </c>
    </row>
    <row r="807" spans="1:10" x14ac:dyDescent="0.2">
      <c r="A807">
        <f t="shared" ca="1" si="108"/>
        <v>0.57527579195932499</v>
      </c>
      <c r="B807">
        <f t="shared" ca="1" si="109"/>
        <v>0.18982225487870791</v>
      </c>
      <c r="C807">
        <f t="shared" ca="1" si="113"/>
        <v>-45.472816370219846</v>
      </c>
      <c r="D807" s="22">
        <f t="shared" ca="1" si="110"/>
        <v>0.39181919712009389</v>
      </c>
      <c r="F807">
        <f t="shared" si="111"/>
        <v>0.8010000000000006</v>
      </c>
      <c r="G807">
        <f t="shared" ca="1" si="112"/>
        <v>-0.12437545535563987</v>
      </c>
      <c r="H807">
        <f t="shared" ca="1" si="114"/>
        <v>-0.12438203605449298</v>
      </c>
      <c r="I807">
        <f t="shared" ca="1" si="115"/>
        <v>9.3380005081441717E-3</v>
      </c>
      <c r="J807" s="5">
        <f t="shared" ca="1" si="116"/>
        <v>0.13372003656263715</v>
      </c>
    </row>
    <row r="808" spans="1:10" x14ac:dyDescent="0.2">
      <c r="A808">
        <f t="shared" ca="1" si="108"/>
        <v>0.22182824034072324</v>
      </c>
      <c r="B808">
        <f t="shared" ca="1" si="109"/>
        <v>-0.76603331305959066</v>
      </c>
      <c r="C808">
        <f t="shared" ca="1" si="113"/>
        <v>-46.238849683279433</v>
      </c>
      <c r="D808" s="22">
        <f t="shared" ca="1" si="110"/>
        <v>0.29749970322404096</v>
      </c>
      <c r="F808">
        <f t="shared" si="111"/>
        <v>0.8020000000000006</v>
      </c>
      <c r="G808">
        <f t="shared" ca="1" si="112"/>
        <v>-0.12375277826822176</v>
      </c>
      <c r="H808">
        <f t="shared" ca="1" si="114"/>
        <v>-0.12375932717488181</v>
      </c>
      <c r="I808">
        <f t="shared" ca="1" si="115"/>
        <v>9.3444952035940301E-3</v>
      </c>
      <c r="J808" s="5">
        <f t="shared" ca="1" si="116"/>
        <v>0.13310382237847584</v>
      </c>
    </row>
    <row r="809" spans="1:10" x14ac:dyDescent="0.2">
      <c r="A809">
        <f t="shared" ca="1" si="108"/>
        <v>0.38137261003934553</v>
      </c>
      <c r="B809">
        <f t="shared" ca="1" si="109"/>
        <v>-0.30187779957572469</v>
      </c>
      <c r="C809">
        <f t="shared" ca="1" si="113"/>
        <v>-46.540727482855161</v>
      </c>
      <c r="D809" s="22">
        <f t="shared" ca="1" si="110"/>
        <v>0.38117235297033703</v>
      </c>
      <c r="F809">
        <f t="shared" si="111"/>
        <v>0.8030000000000006</v>
      </c>
      <c r="G809">
        <f t="shared" ca="1" si="112"/>
        <v>-0.12615269302649948</v>
      </c>
      <c r="H809">
        <f t="shared" ca="1" si="114"/>
        <v>-0.12615936127499744</v>
      </c>
      <c r="I809">
        <f t="shared" ca="1" si="115"/>
        <v>9.322772020888024E-3</v>
      </c>
      <c r="J809" s="5">
        <f t="shared" ca="1" si="116"/>
        <v>0.13548213329588546</v>
      </c>
    </row>
    <row r="810" spans="1:10" x14ac:dyDescent="0.2">
      <c r="A810">
        <f t="shared" ca="1" si="108"/>
        <v>0.83950465103636907</v>
      </c>
      <c r="B810">
        <f t="shared" ca="1" si="109"/>
        <v>0.9924240785836963</v>
      </c>
      <c r="C810">
        <f t="shared" ca="1" si="113"/>
        <v>-45.548303404271465</v>
      </c>
      <c r="D810" s="22">
        <f t="shared" ca="1" si="110"/>
        <v>0.24380384057604146</v>
      </c>
      <c r="F810">
        <f t="shared" si="111"/>
        <v>0.8040000000000006</v>
      </c>
      <c r="G810">
        <f t="shared" ca="1" si="112"/>
        <v>-0.12708465258053933</v>
      </c>
      <c r="H810">
        <f t="shared" ca="1" si="114"/>
        <v>-0.12709136676056904</v>
      </c>
      <c r="I810">
        <f t="shared" ca="1" si="115"/>
        <v>9.3147614098889452E-3</v>
      </c>
      <c r="J810" s="5">
        <f t="shared" ca="1" si="116"/>
        <v>0.13640612817045797</v>
      </c>
    </row>
    <row r="811" spans="1:10" x14ac:dyDescent="0.2">
      <c r="A811">
        <f t="shared" ca="1" si="108"/>
        <v>0.15452289238867867</v>
      </c>
      <c r="B811">
        <f t="shared" ca="1" si="109"/>
        <v>-1.0172263056041277</v>
      </c>
      <c r="C811">
        <f t="shared" ca="1" si="113"/>
        <v>-46.565529709875591</v>
      </c>
      <c r="D811" s="22">
        <f t="shared" ca="1" si="110"/>
        <v>0.23780287338193351</v>
      </c>
      <c r="F811">
        <f t="shared" si="111"/>
        <v>0.8050000000000006</v>
      </c>
      <c r="G811">
        <f t="shared" ca="1" si="112"/>
        <v>-0.12392378166703505</v>
      </c>
      <c r="H811">
        <f t="shared" ca="1" si="114"/>
        <v>-0.12393033713077456</v>
      </c>
      <c r="I811">
        <f t="shared" ca="1" si="115"/>
        <v>9.3449277613043419E-3</v>
      </c>
      <c r="J811" s="5">
        <f t="shared" ca="1" si="116"/>
        <v>0.13327526489207892</v>
      </c>
    </row>
    <row r="812" spans="1:10" x14ac:dyDescent="0.2">
      <c r="A812">
        <f t="shared" ca="1" si="108"/>
        <v>0.16643793637388582</v>
      </c>
      <c r="B812">
        <f t="shared" ca="1" si="109"/>
        <v>-0.96833743886446122</v>
      </c>
      <c r="C812">
        <f t="shared" ca="1" si="113"/>
        <v>-47.53386714874005</v>
      </c>
      <c r="D812" s="22">
        <f t="shared" ca="1" si="110"/>
        <v>0.24962955726753944</v>
      </c>
      <c r="F812">
        <f t="shared" si="111"/>
        <v>0.8060000000000006</v>
      </c>
      <c r="G812">
        <f t="shared" ca="1" si="112"/>
        <v>-0.12711798159909768</v>
      </c>
      <c r="H812">
        <f t="shared" ca="1" si="114"/>
        <v>-0.12712469611860902</v>
      </c>
      <c r="I812">
        <f t="shared" ca="1" si="115"/>
        <v>9.3158007015575073E-3</v>
      </c>
      <c r="J812" s="5">
        <f t="shared" ca="1" si="116"/>
        <v>0.13644049682016654</v>
      </c>
    </row>
    <row r="813" spans="1:10" x14ac:dyDescent="0.2">
      <c r="A813">
        <f t="shared" ca="1" si="108"/>
        <v>0.47863956748504843</v>
      </c>
      <c r="B813">
        <f t="shared" ca="1" si="109"/>
        <v>-5.356827263714517E-2</v>
      </c>
      <c r="C813">
        <f t="shared" ca="1" si="113"/>
        <v>-47.587435421377194</v>
      </c>
      <c r="D813" s="22">
        <f t="shared" ca="1" si="110"/>
        <v>0.39837029646326177</v>
      </c>
      <c r="F813">
        <f t="shared" si="111"/>
        <v>0.80700000000000061</v>
      </c>
      <c r="G813">
        <f t="shared" ca="1" si="112"/>
        <v>-0.13015726968570224</v>
      </c>
      <c r="H813">
        <f t="shared" ca="1" si="114"/>
        <v>-0.13016413549942291</v>
      </c>
      <c r="I813">
        <f t="shared" ca="1" si="115"/>
        <v>9.2882002738472486E-3</v>
      </c>
      <c r="J813" s="5">
        <f t="shared" ca="1" si="116"/>
        <v>0.13945233577327015</v>
      </c>
    </row>
    <row r="814" spans="1:10" x14ac:dyDescent="0.2">
      <c r="A814">
        <f t="shared" ca="1" si="108"/>
        <v>0.98184514134710255</v>
      </c>
      <c r="B814">
        <f t="shared" ca="1" si="109"/>
        <v>2.0934419908535058</v>
      </c>
      <c r="C814">
        <f t="shared" ca="1" si="113"/>
        <v>-45.493993430523687</v>
      </c>
      <c r="D814" s="22">
        <f t="shared" ca="1" si="110"/>
        <v>4.4592561439267681E-2</v>
      </c>
      <c r="F814">
        <f t="shared" si="111"/>
        <v>0.80800000000000061</v>
      </c>
      <c r="G814">
        <f t="shared" ca="1" si="112"/>
        <v>-0.1303036443918012</v>
      </c>
      <c r="H814">
        <f t="shared" ca="1" si="114"/>
        <v>-0.13031051683772724</v>
      </c>
      <c r="I814">
        <f t="shared" ca="1" si="115"/>
        <v>9.2875092783326774E-3</v>
      </c>
      <c r="J814" s="5">
        <f t="shared" ca="1" si="116"/>
        <v>0.13959802611605993</v>
      </c>
    </row>
    <row r="815" spans="1:10" x14ac:dyDescent="0.2">
      <c r="A815">
        <f t="shared" ca="1" si="108"/>
        <v>0.74067850975676985</v>
      </c>
      <c r="B815">
        <f t="shared" ca="1" si="109"/>
        <v>0.64543862372683447</v>
      </c>
      <c r="C815">
        <f t="shared" ca="1" si="113"/>
        <v>-44.848554806796855</v>
      </c>
      <c r="D815" s="22">
        <f t="shared" ca="1" si="110"/>
        <v>0.32392798976490506</v>
      </c>
      <c r="F815">
        <f t="shared" si="111"/>
        <v>0.80900000000000061</v>
      </c>
      <c r="G815">
        <f t="shared" ca="1" si="112"/>
        <v>-0.12366090132675826</v>
      </c>
      <c r="H815">
        <f t="shared" ca="1" si="114"/>
        <v>-0.12366744094550901</v>
      </c>
      <c r="I815">
        <f t="shared" ca="1" si="115"/>
        <v>9.3500851844630431E-3</v>
      </c>
      <c r="J815" s="5">
        <f t="shared" ca="1" si="116"/>
        <v>0.13301752612997206</v>
      </c>
    </row>
    <row r="816" spans="1:10" x14ac:dyDescent="0.2">
      <c r="A816">
        <f t="shared" ca="1" si="108"/>
        <v>0.84447890577184659</v>
      </c>
      <c r="B816">
        <f t="shared" ca="1" si="109"/>
        <v>1.0130376275391519</v>
      </c>
      <c r="C816">
        <f t="shared" ca="1" si="113"/>
        <v>-43.835517179257707</v>
      </c>
      <c r="D816" s="22">
        <f t="shared" ca="1" si="110"/>
        <v>0.23881617849673595</v>
      </c>
      <c r="F816">
        <f t="shared" si="111"/>
        <v>0.81000000000000061</v>
      </c>
      <c r="G816">
        <f t="shared" ca="1" si="112"/>
        <v>-0.12159758226262665</v>
      </c>
      <c r="H816">
        <f t="shared" ca="1" si="114"/>
        <v>-0.12160401806059327</v>
      </c>
      <c r="I816">
        <f t="shared" ca="1" si="115"/>
        <v>9.370078837519065E-3</v>
      </c>
      <c r="J816" s="5">
        <f t="shared" ca="1" si="116"/>
        <v>0.13097409689811235</v>
      </c>
    </row>
    <row r="817" spans="1:10" x14ac:dyDescent="0.2">
      <c r="A817">
        <f t="shared" ca="1" si="108"/>
        <v>0.45370041582289644</v>
      </c>
      <c r="B817">
        <f t="shared" ca="1" si="109"/>
        <v>-0.11631760739691689</v>
      </c>
      <c r="C817">
        <f t="shared" ca="1" si="113"/>
        <v>-43.951834786654622</v>
      </c>
      <c r="D817" s="22">
        <f t="shared" ca="1" si="110"/>
        <v>0.39625258660588308</v>
      </c>
      <c r="F817">
        <f t="shared" si="111"/>
        <v>0.81100000000000061</v>
      </c>
      <c r="G817">
        <f t="shared" ca="1" si="112"/>
        <v>-0.11837207752251358</v>
      </c>
      <c r="H817">
        <f t="shared" ca="1" si="114"/>
        <v>-0.11837835140031018</v>
      </c>
      <c r="I817">
        <f t="shared" ca="1" si="115"/>
        <v>9.4010371312005566E-3</v>
      </c>
      <c r="J817" s="5">
        <f t="shared" ca="1" si="116"/>
        <v>0.12777938853151075</v>
      </c>
    </row>
    <row r="818" spans="1:10" x14ac:dyDescent="0.2">
      <c r="A818">
        <f t="shared" ca="1" si="108"/>
        <v>0.60841481507751238</v>
      </c>
      <c r="B818">
        <f t="shared" ca="1" si="109"/>
        <v>0.27518986916649424</v>
      </c>
      <c r="C818">
        <f t="shared" ca="1" si="113"/>
        <v>-43.676644917488126</v>
      </c>
      <c r="D818" s="22">
        <f t="shared" ca="1" si="110"/>
        <v>0.38411885146822689</v>
      </c>
      <c r="F818">
        <f t="shared" si="111"/>
        <v>0.81200000000000061</v>
      </c>
      <c r="G818">
        <f t="shared" ca="1" si="112"/>
        <v>-0.11871805158727855</v>
      </c>
      <c r="H818">
        <f t="shared" ca="1" si="114"/>
        <v>-0.11872434213652565</v>
      </c>
      <c r="I818">
        <f t="shared" ca="1" si="115"/>
        <v>9.3984726095240907E-3</v>
      </c>
      <c r="J818" s="5">
        <f t="shared" ca="1" si="116"/>
        <v>0.12812281474604975</v>
      </c>
    </row>
    <row r="819" spans="1:10" x14ac:dyDescent="0.2">
      <c r="A819">
        <f t="shared" ca="1" si="108"/>
        <v>0.39439334290316452</v>
      </c>
      <c r="B819">
        <f t="shared" ca="1" si="109"/>
        <v>-0.2678864995709071</v>
      </c>
      <c r="C819">
        <f t="shared" ca="1" si="113"/>
        <v>-43.944531417059032</v>
      </c>
      <c r="D819" s="22">
        <f t="shared" ca="1" si="110"/>
        <v>0.38488137019836616</v>
      </c>
      <c r="F819">
        <f t="shared" si="111"/>
        <v>0.81300000000000061</v>
      </c>
      <c r="G819">
        <f t="shared" ca="1" si="112"/>
        <v>-0.11782599760962965</v>
      </c>
      <c r="H819">
        <f t="shared" ca="1" si="114"/>
        <v>-0.11783224292674213</v>
      </c>
      <c r="I819">
        <f t="shared" ca="1" si="115"/>
        <v>9.4075486464485405E-3</v>
      </c>
      <c r="J819" s="5">
        <f t="shared" ca="1" si="116"/>
        <v>0.12723979157319068</v>
      </c>
    </row>
    <row r="820" spans="1:10" x14ac:dyDescent="0.2">
      <c r="A820">
        <f t="shared" ca="1" si="108"/>
        <v>0.31829507734393425</v>
      </c>
      <c r="B820">
        <f t="shared" ca="1" si="109"/>
        <v>-0.47247167523964423</v>
      </c>
      <c r="C820">
        <f t="shared" ca="1" si="113"/>
        <v>-44.417003092298678</v>
      </c>
      <c r="D820" s="22">
        <f t="shared" ca="1" si="110"/>
        <v>0.35680949211937985</v>
      </c>
      <c r="F820">
        <f t="shared" si="111"/>
        <v>0.81400000000000061</v>
      </c>
      <c r="G820">
        <f t="shared" ca="1" si="112"/>
        <v>-0.11865130523720629</v>
      </c>
      <c r="H820">
        <f t="shared" ca="1" si="114"/>
        <v>-0.11865759119550323</v>
      </c>
      <c r="I820">
        <f t="shared" ca="1" si="115"/>
        <v>9.4004755931056325E-3</v>
      </c>
      <c r="J820" s="5">
        <f t="shared" ca="1" si="116"/>
        <v>0.12805806678860887</v>
      </c>
    </row>
    <row r="821" spans="1:10" x14ac:dyDescent="0.2">
      <c r="A821">
        <f t="shared" ca="1" si="108"/>
        <v>0.52706773834332288</v>
      </c>
      <c r="B821">
        <f t="shared" ca="1" si="109"/>
        <v>6.7900898742217802E-2</v>
      </c>
      <c r="C821">
        <f t="shared" ca="1" si="113"/>
        <v>-44.349102193556462</v>
      </c>
      <c r="D821" s="22">
        <f t="shared" ca="1" si="110"/>
        <v>0.39802367154219365</v>
      </c>
      <c r="F821">
        <f t="shared" si="111"/>
        <v>0.81500000000000061</v>
      </c>
      <c r="G821">
        <f t="shared" ca="1" si="112"/>
        <v>-0.12012345312235669</v>
      </c>
      <c r="H821">
        <f t="shared" ca="1" si="114"/>
        <v>-0.12012981206005634</v>
      </c>
      <c r="I821">
        <f t="shared" ca="1" si="115"/>
        <v>9.3873327096072774E-3</v>
      </c>
      <c r="J821" s="5">
        <f t="shared" ca="1" si="116"/>
        <v>0.12951714476966361</v>
      </c>
    </row>
    <row r="822" spans="1:10" x14ac:dyDescent="0.2">
      <c r="A822">
        <f t="shared" ca="1" si="108"/>
        <v>0.6098021877325337</v>
      </c>
      <c r="B822">
        <f t="shared" ca="1" si="109"/>
        <v>0.27880350492243383</v>
      </c>
      <c r="C822">
        <f t="shared" ca="1" si="113"/>
        <v>-44.070298688634026</v>
      </c>
      <c r="D822" s="22">
        <f t="shared" ca="1" si="110"/>
        <v>0.3837345542572812</v>
      </c>
      <c r="F822">
        <f t="shared" si="111"/>
        <v>0.81600000000000061</v>
      </c>
      <c r="G822">
        <f t="shared" ca="1" si="112"/>
        <v>-0.1198867311180546</v>
      </c>
      <c r="H822">
        <f t="shared" ca="1" si="114"/>
        <v>-0.11989307758365246</v>
      </c>
      <c r="I822">
        <f t="shared" ca="1" si="115"/>
        <v>9.3902406186277352E-3</v>
      </c>
      <c r="J822" s="5">
        <f t="shared" ca="1" si="116"/>
        <v>0.1292833182022802</v>
      </c>
    </row>
    <row r="823" spans="1:10" x14ac:dyDescent="0.2">
      <c r="A823">
        <f t="shared" ca="1" si="108"/>
        <v>0.38749778533902934</v>
      </c>
      <c r="B823">
        <f t="shared" ca="1" si="109"/>
        <v>-0.28584665769966627</v>
      </c>
      <c r="C823">
        <f t="shared" ca="1" si="113"/>
        <v>-44.35614534633369</v>
      </c>
      <c r="D823" s="22">
        <f t="shared" ca="1" si="110"/>
        <v>0.38297227208632334</v>
      </c>
      <c r="F823">
        <f t="shared" si="111"/>
        <v>0.81700000000000061</v>
      </c>
      <c r="G823">
        <f t="shared" ca="1" si="112"/>
        <v>-0.11898313353001501</v>
      </c>
      <c r="H823">
        <f t="shared" ca="1" si="114"/>
        <v>-0.11898943418070124</v>
      </c>
      <c r="I823">
        <f t="shared" ca="1" si="115"/>
        <v>9.3994161154967205E-3</v>
      </c>
      <c r="J823" s="5">
        <f t="shared" ca="1" si="116"/>
        <v>0.12838885029619795</v>
      </c>
    </row>
    <row r="824" spans="1:10" x14ac:dyDescent="0.2">
      <c r="A824">
        <f t="shared" ca="1" si="108"/>
        <v>0.71519429837396375</v>
      </c>
      <c r="B824">
        <f t="shared" ca="1" si="109"/>
        <v>0.5686238979680649</v>
      </c>
      <c r="C824">
        <f t="shared" ca="1" si="113"/>
        <v>-43.787521448365624</v>
      </c>
      <c r="D824" s="22">
        <f t="shared" ca="1" si="110"/>
        <v>0.33939009791429425</v>
      </c>
      <c r="F824">
        <f t="shared" si="111"/>
        <v>0.81800000000000062</v>
      </c>
      <c r="G824">
        <f t="shared" ca="1" si="112"/>
        <v>-0.11986511761697674</v>
      </c>
      <c r="H824">
        <f t="shared" ca="1" si="114"/>
        <v>-0.11987146173716062</v>
      </c>
      <c r="I824">
        <f t="shared" ca="1" si="115"/>
        <v>9.3918157531992039E-3</v>
      </c>
      <c r="J824" s="5">
        <f t="shared" ca="1" si="116"/>
        <v>0.12926327749035982</v>
      </c>
    </row>
    <row r="825" spans="1:10" x14ac:dyDescent="0.2">
      <c r="A825">
        <f t="shared" ca="1" si="108"/>
        <v>0.75208734502239427</v>
      </c>
      <c r="B825">
        <f t="shared" ca="1" si="109"/>
        <v>0.68107298499151037</v>
      </c>
      <c r="C825">
        <f t="shared" ca="1" si="113"/>
        <v>-43.106448463374115</v>
      </c>
      <c r="D825" s="22">
        <f t="shared" ca="1" si="110"/>
        <v>0.3163618142297136</v>
      </c>
      <c r="F825">
        <f t="shared" si="111"/>
        <v>0.81900000000000062</v>
      </c>
      <c r="G825">
        <f t="shared" ca="1" si="112"/>
        <v>-0.11804507545850822</v>
      </c>
      <c r="H825">
        <f t="shared" ca="1" si="114"/>
        <v>-0.11805132794140463</v>
      </c>
      <c r="I825">
        <f t="shared" ca="1" si="115"/>
        <v>9.4096126785052706E-3</v>
      </c>
      <c r="J825" s="5">
        <f t="shared" ca="1" si="116"/>
        <v>0.1274609406199099</v>
      </c>
    </row>
    <row r="826" spans="1:10" x14ac:dyDescent="0.2">
      <c r="A826">
        <f t="shared" ca="1" si="108"/>
        <v>4.9140635232430951E-2</v>
      </c>
      <c r="B826">
        <f t="shared" ca="1" si="109"/>
        <v>-1.6532437270808147</v>
      </c>
      <c r="C826">
        <f t="shared" ca="1" si="113"/>
        <v>-44.759692190454928</v>
      </c>
      <c r="D826" s="22">
        <f t="shared" ca="1" si="110"/>
        <v>0.1017185143554115</v>
      </c>
      <c r="F826">
        <f t="shared" si="111"/>
        <v>0.82000000000000062</v>
      </c>
      <c r="G826">
        <f t="shared" ca="1" si="112"/>
        <v>-0.11586963783837606</v>
      </c>
      <c r="H826">
        <f t="shared" ca="1" si="114"/>
        <v>-0.11587578092322764</v>
      </c>
      <c r="I826">
        <f t="shared" ca="1" si="115"/>
        <v>9.4307962779575007E-3</v>
      </c>
      <c r="J826" s="5">
        <f t="shared" ca="1" si="116"/>
        <v>0.12530657720118515</v>
      </c>
    </row>
    <row r="827" spans="1:10" x14ac:dyDescent="0.2">
      <c r="A827">
        <f t="shared" ca="1" si="108"/>
        <v>0.10046194832421462</v>
      </c>
      <c r="B827">
        <f t="shared" ca="1" si="109"/>
        <v>-1.2789237829933233</v>
      </c>
      <c r="C827">
        <f t="shared" ca="1" si="113"/>
        <v>-46.038615973448252</v>
      </c>
      <c r="D827" s="22">
        <f t="shared" ca="1" si="110"/>
        <v>0.1760897352403967</v>
      </c>
      <c r="F827">
        <f t="shared" si="111"/>
        <v>0.82100000000000062</v>
      </c>
      <c r="G827">
        <f t="shared" ca="1" si="112"/>
        <v>-0.12107580626897158</v>
      </c>
      <c r="H827">
        <f t="shared" ca="1" si="114"/>
        <v>-0.12108220905009649</v>
      </c>
      <c r="I827">
        <f t="shared" ca="1" si="115"/>
        <v>9.3825118808525693E-3</v>
      </c>
      <c r="J827" s="5">
        <f t="shared" ca="1" si="116"/>
        <v>0.13046472093094907</v>
      </c>
    </row>
    <row r="828" spans="1:10" x14ac:dyDescent="0.2">
      <c r="A828">
        <f t="shared" ca="1" si="108"/>
        <v>0.54362004010150289</v>
      </c>
      <c r="B828">
        <f t="shared" ca="1" si="109"/>
        <v>0.10955800179376576</v>
      </c>
      <c r="C828">
        <f t="shared" ca="1" si="113"/>
        <v>-45.929057971654487</v>
      </c>
      <c r="D828" s="22">
        <f t="shared" ca="1" si="110"/>
        <v>0.39655520727880988</v>
      </c>
      <c r="F828">
        <f t="shared" si="111"/>
        <v>0.82200000000000062</v>
      </c>
      <c r="G828">
        <f t="shared" ca="1" si="112"/>
        <v>-0.12509780969452455</v>
      </c>
      <c r="H828">
        <f t="shared" ca="1" si="114"/>
        <v>-0.12510441293720931</v>
      </c>
      <c r="I828">
        <f t="shared" ca="1" si="115"/>
        <v>9.3455304866785476E-3</v>
      </c>
      <c r="J828" s="5">
        <f t="shared" ca="1" si="116"/>
        <v>0.13444994342388786</v>
      </c>
    </row>
    <row r="829" spans="1:10" x14ac:dyDescent="0.2">
      <c r="A829">
        <f t="shared" ca="1" si="108"/>
        <v>0.87175142183952503</v>
      </c>
      <c r="B829">
        <f t="shared" ca="1" si="109"/>
        <v>1.134709259621969</v>
      </c>
      <c r="C829">
        <f t="shared" ca="1" si="113"/>
        <v>-44.794348712032516</v>
      </c>
      <c r="D829" s="22">
        <f t="shared" ca="1" si="110"/>
        <v>0.20956505031048223</v>
      </c>
      <c r="F829">
        <f t="shared" si="111"/>
        <v>0.82300000000000062</v>
      </c>
      <c r="G829">
        <f t="shared" ca="1" si="112"/>
        <v>-0.12472886553936086</v>
      </c>
      <c r="H829">
        <f t="shared" ca="1" si="114"/>
        <v>-0.12473544967435046</v>
      </c>
      <c r="I829">
        <f t="shared" ca="1" si="115"/>
        <v>9.3496570082461927E-3</v>
      </c>
      <c r="J829" s="5">
        <f t="shared" ca="1" si="116"/>
        <v>0.13408510668259666</v>
      </c>
    </row>
    <row r="830" spans="1:10" x14ac:dyDescent="0.2">
      <c r="A830">
        <f t="shared" ca="1" si="108"/>
        <v>0.73047448569168083</v>
      </c>
      <c r="B830">
        <f t="shared" ca="1" si="109"/>
        <v>0.61424865120511374</v>
      </c>
      <c r="C830">
        <f t="shared" ca="1" si="113"/>
        <v>-44.180100060827399</v>
      </c>
      <c r="D830" s="22">
        <f t="shared" ca="1" si="110"/>
        <v>0.33035440840081903</v>
      </c>
      <c r="F830">
        <f t="shared" si="111"/>
        <v>0.82400000000000062</v>
      </c>
      <c r="G830">
        <f t="shared" ca="1" si="112"/>
        <v>-0.12111830743973694</v>
      </c>
      <c r="H830">
        <f t="shared" ca="1" si="114"/>
        <v>-0.12112471038689426</v>
      </c>
      <c r="I830">
        <f t="shared" ca="1" si="115"/>
        <v>9.3841577783566089E-3</v>
      </c>
      <c r="J830" s="5">
        <f t="shared" ca="1" si="116"/>
        <v>0.13050886816525087</v>
      </c>
    </row>
    <row r="831" spans="1:10" x14ac:dyDescent="0.2">
      <c r="A831">
        <f t="shared" ca="1" si="108"/>
        <v>0.74354118783354184</v>
      </c>
      <c r="B831">
        <f t="shared" ca="1" si="109"/>
        <v>0.6543014306874545</v>
      </c>
      <c r="C831">
        <f t="shared" ca="1" si="113"/>
        <v>-43.525798630139946</v>
      </c>
      <c r="D831" s="22">
        <f t="shared" ca="1" si="110"/>
        <v>0.32206763326279142</v>
      </c>
      <c r="F831">
        <f t="shared" si="111"/>
        <v>0.82500000000000062</v>
      </c>
      <c r="G831">
        <f t="shared" ca="1" si="112"/>
        <v>-0.11915386904424599</v>
      </c>
      <c r="H831">
        <f t="shared" ca="1" si="114"/>
        <v>-0.11916017312836109</v>
      </c>
      <c r="I831">
        <f t="shared" ca="1" si="115"/>
        <v>9.4032967845461401E-3</v>
      </c>
      <c r="J831" s="5">
        <f t="shared" ca="1" si="116"/>
        <v>0.12856346991290724</v>
      </c>
    </row>
    <row r="832" spans="1:10" x14ac:dyDescent="0.2">
      <c r="A832">
        <f t="shared" ca="1" si="108"/>
        <v>0.83063967538456207</v>
      </c>
      <c r="B832">
        <f t="shared" ca="1" si="109"/>
        <v>0.95669613555317112</v>
      </c>
      <c r="C832">
        <f t="shared" ca="1" si="113"/>
        <v>-42.569102494586772</v>
      </c>
      <c r="D832" s="22">
        <f t="shared" ca="1" si="110"/>
        <v>0.25244237324257096</v>
      </c>
      <c r="F832">
        <f t="shared" si="111"/>
        <v>0.82600000000000062</v>
      </c>
      <c r="G832">
        <f t="shared" ca="1" si="112"/>
        <v>-0.11706297540562471</v>
      </c>
      <c r="H832">
        <f t="shared" ca="1" si="114"/>
        <v>-0.11706917431376911</v>
      </c>
      <c r="I832">
        <f t="shared" ca="1" si="115"/>
        <v>9.4236683322628419E-3</v>
      </c>
      <c r="J832" s="5">
        <f t="shared" ca="1" si="116"/>
        <v>0.12649284264603194</v>
      </c>
    </row>
    <row r="833" spans="1:10" x14ac:dyDescent="0.2">
      <c r="A833">
        <f t="shared" ca="1" si="108"/>
        <v>0.23787800143960136</v>
      </c>
      <c r="B833">
        <f t="shared" ca="1" si="109"/>
        <v>-0.71314505355608526</v>
      </c>
      <c r="C833">
        <f t="shared" ca="1" si="113"/>
        <v>-43.282247548142855</v>
      </c>
      <c r="D833" s="22">
        <f t="shared" ca="1" si="110"/>
        <v>0.30936716633707517</v>
      </c>
      <c r="F833">
        <f t="shared" si="111"/>
        <v>0.82700000000000062</v>
      </c>
      <c r="G833">
        <f t="shared" ca="1" si="112"/>
        <v>-0.11401608263697198</v>
      </c>
      <c r="H833">
        <f t="shared" ca="1" si="114"/>
        <v>-0.11402212857930852</v>
      </c>
      <c r="I833">
        <f t="shared" ca="1" si="115"/>
        <v>9.453119294954045E-3</v>
      </c>
      <c r="J833" s="5">
        <f t="shared" ca="1" si="116"/>
        <v>0.12347524787426256</v>
      </c>
    </row>
    <row r="834" spans="1:10" x14ac:dyDescent="0.2">
      <c r="A834">
        <f t="shared" ca="1" si="108"/>
        <v>0.87753701151965346</v>
      </c>
      <c r="B834">
        <f t="shared" ca="1" si="109"/>
        <v>1.1627622507066517</v>
      </c>
      <c r="C834">
        <f t="shared" ca="1" si="113"/>
        <v>-42.119485297436206</v>
      </c>
      <c r="D834" s="22">
        <f t="shared" ca="1" si="110"/>
        <v>0.2029193724190804</v>
      </c>
      <c r="F834">
        <f t="shared" si="111"/>
        <v>0.82800000000000062</v>
      </c>
      <c r="G834">
        <f t="shared" ca="1" si="112"/>
        <v>-0.11624973201663751</v>
      </c>
      <c r="H834">
        <f t="shared" ca="1" si="114"/>
        <v>-0.11625588903777058</v>
      </c>
      <c r="I834">
        <f t="shared" ca="1" si="115"/>
        <v>9.432721059211285E-3</v>
      </c>
      <c r="J834" s="5">
        <f t="shared" ca="1" si="116"/>
        <v>0.12568861009698187</v>
      </c>
    </row>
    <row r="835" spans="1:10" x14ac:dyDescent="0.2">
      <c r="A835">
        <f t="shared" ca="1" si="108"/>
        <v>0.85640394689561072</v>
      </c>
      <c r="B835">
        <f t="shared" ca="1" si="109"/>
        <v>1.064301571746461</v>
      </c>
      <c r="C835">
        <f t="shared" ca="1" si="113"/>
        <v>-41.055183725689744</v>
      </c>
      <c r="D835" s="22">
        <f t="shared" ca="1" si="110"/>
        <v>0.2264327130058745</v>
      </c>
      <c r="F835">
        <f t="shared" si="111"/>
        <v>0.82900000000000063</v>
      </c>
      <c r="G835">
        <f t="shared" ca="1" si="112"/>
        <v>-0.11255131487634616</v>
      </c>
      <c r="H835">
        <f t="shared" ca="1" si="114"/>
        <v>-0.11255728635937005</v>
      </c>
      <c r="I835">
        <f t="shared" ca="1" si="115"/>
        <v>9.4683682548757989E-3</v>
      </c>
      <c r="J835" s="5">
        <f t="shared" ca="1" si="116"/>
        <v>0.12202565461424586</v>
      </c>
    </row>
    <row r="836" spans="1:10" x14ac:dyDescent="0.2">
      <c r="A836">
        <f t="shared" ca="1" si="108"/>
        <v>3.3228805139650208E-2</v>
      </c>
      <c r="B836">
        <f t="shared" ca="1" si="109"/>
        <v>-1.8353245861049206</v>
      </c>
      <c r="C836">
        <f t="shared" ca="1" si="113"/>
        <v>-42.890508311794662</v>
      </c>
      <c r="D836" s="22">
        <f t="shared" ca="1" si="110"/>
        <v>7.4040228775925199E-2</v>
      </c>
      <c r="F836">
        <f t="shared" si="111"/>
        <v>0.83000000000000063</v>
      </c>
      <c r="G836">
        <f t="shared" ca="1" si="112"/>
        <v>-0.10916461199740657</v>
      </c>
      <c r="H836">
        <f t="shared" ca="1" si="114"/>
        <v>-0.10917041354671819</v>
      </c>
      <c r="I836">
        <f t="shared" ca="1" si="115"/>
        <v>9.5011914132505353E-3</v>
      </c>
      <c r="J836" s="5">
        <f t="shared" ca="1" si="116"/>
        <v>0.11867160495996873</v>
      </c>
    </row>
    <row r="837" spans="1:10" x14ac:dyDescent="0.2">
      <c r="A837">
        <f t="shared" ca="1" si="108"/>
        <v>0.84881542957715828</v>
      </c>
      <c r="B837">
        <f t="shared" ca="1" si="109"/>
        <v>1.0313661660105602</v>
      </c>
      <c r="C837">
        <f t="shared" ca="1" si="113"/>
        <v>-41.859142145784105</v>
      </c>
      <c r="D837" s="22">
        <f t="shared" ca="1" si="110"/>
        <v>0.23438349973000919</v>
      </c>
      <c r="F837">
        <f t="shared" si="111"/>
        <v>0.83100000000000063</v>
      </c>
      <c r="G837">
        <f t="shared" ca="1" si="112"/>
        <v>-0.11494721234158625</v>
      </c>
      <c r="H837">
        <f t="shared" ca="1" si="114"/>
        <v>-0.11495330244316089</v>
      </c>
      <c r="I837">
        <f t="shared" ca="1" si="115"/>
        <v>9.4471054852183559E-3</v>
      </c>
      <c r="J837" s="5">
        <f t="shared" ca="1" si="116"/>
        <v>0.12440040792837925</v>
      </c>
    </row>
    <row r="838" spans="1:10" x14ac:dyDescent="0.2">
      <c r="A838">
        <f t="shared" ca="1" si="108"/>
        <v>1.8342715213700567E-2</v>
      </c>
      <c r="B838">
        <f t="shared" ca="1" si="109"/>
        <v>-2.0892477132389802</v>
      </c>
      <c r="C838">
        <f t="shared" ca="1" si="113"/>
        <v>-43.948389859023088</v>
      </c>
      <c r="D838" s="22">
        <f t="shared" ca="1" si="110"/>
        <v>4.4985433714676989E-2</v>
      </c>
      <c r="F838">
        <f t="shared" si="111"/>
        <v>0.83200000000000063</v>
      </c>
      <c r="G838">
        <f t="shared" ca="1" si="112"/>
        <v>-0.11166441557533852</v>
      </c>
      <c r="H838">
        <f t="shared" ca="1" si="114"/>
        <v>-0.11167034092668787</v>
      </c>
      <c r="I838">
        <f t="shared" ca="1" si="115"/>
        <v>9.4788676498339768E-3</v>
      </c>
      <c r="J838" s="5">
        <f t="shared" ca="1" si="116"/>
        <v>0.12114920857652185</v>
      </c>
    </row>
    <row r="839" spans="1:10" x14ac:dyDescent="0.2">
      <c r="A839">
        <f t="shared" ref="A839:A902" ca="1" si="117">RAND()</f>
        <v>0.36335419409884617</v>
      </c>
      <c r="B839">
        <f t="shared" ref="B839:B902" ca="1" si="118">NORMSINV(A839)</f>
        <v>-0.34950743743166285</v>
      </c>
      <c r="C839">
        <f t="shared" ca="1" si="113"/>
        <v>-44.297897296454749</v>
      </c>
      <c r="D839" s="22">
        <f t="shared" ref="D839:D902" ca="1" si="119">_xlfn.NORM.DIST(B839,0,1,FALSE)</f>
        <v>0.37530499723776206</v>
      </c>
      <c r="F839">
        <f t="shared" ref="F839:F902" si="120">F838+$M$2/$N$2</f>
        <v>0.83300000000000063</v>
      </c>
      <c r="G839">
        <f t="shared" ref="G839:G902" ca="1" si="121">G838*EXP(-$M$4*$O$2) + $O$4*(1-EXP(-$M$4*$O$2)) + $N$4* SQRT((1-EXP(-2*$M$4*$O$2))/(2*$M$4)) *B838</f>
        <v>-0.11824970123689631</v>
      </c>
      <c r="H839">
        <f t="shared" ca="1" si="114"/>
        <v>-0.1182559552627287</v>
      </c>
      <c r="I839">
        <f t="shared" ca="1" si="115"/>
        <v>9.4173438681702318E-3</v>
      </c>
      <c r="J839" s="5">
        <f t="shared" ca="1" si="116"/>
        <v>0.12767329913089892</v>
      </c>
    </row>
    <row r="840" spans="1:10" x14ac:dyDescent="0.2">
      <c r="A840">
        <f t="shared" ca="1" si="117"/>
        <v>0.49736788865679504</v>
      </c>
      <c r="B840">
        <f t="shared" ca="1" si="118"/>
        <v>-6.597772582045182E-3</v>
      </c>
      <c r="C840">
        <f t="shared" ref="C840:C903" ca="1" si="122">B840+C839</f>
        <v>-44.304495069036797</v>
      </c>
      <c r="D840" s="22">
        <f t="shared" ca="1" si="119"/>
        <v>0.39893359739690426</v>
      </c>
      <c r="F840">
        <f t="shared" si="120"/>
        <v>0.83400000000000063</v>
      </c>
      <c r="G840">
        <f t="shared" ca="1" si="121"/>
        <v>-0.119333061659762</v>
      </c>
      <c r="H840">
        <f t="shared" ref="H840:H903" ca="1" si="123">H839+($M$6 + $N$6*H839)*$O$2 + $O$6*H839^$P$6*SQRT($O$2)*B839</f>
        <v>-0.11933936922865528</v>
      </c>
      <c r="I840">
        <f t="shared" ref="I840:I903" ca="1" si="124">I839*EXP(($M$8-0.5*($N$8^2))*$O$2 + $N$8*SQRT($O$2)*B839)</f>
        <v>9.4078348988080457E-3</v>
      </c>
      <c r="J840" s="5">
        <f t="shared" ref="J840:J903" ca="1" si="125">ABS(H840-I840)</f>
        <v>0.12874720412746332</v>
      </c>
    </row>
    <row r="841" spans="1:10" x14ac:dyDescent="0.2">
      <c r="A841">
        <f t="shared" ca="1" si="117"/>
        <v>0.55392767545251897</v>
      </c>
      <c r="B841">
        <f t="shared" ca="1" si="118"/>
        <v>0.1355909640856125</v>
      </c>
      <c r="C841">
        <f t="shared" ca="1" si="122"/>
        <v>-44.168904104951181</v>
      </c>
      <c r="D841" s="22">
        <f t="shared" ca="1" si="119"/>
        <v>0.39529182555880898</v>
      </c>
      <c r="F841">
        <f t="shared" si="120"/>
        <v>0.83500000000000063</v>
      </c>
      <c r="G841">
        <f t="shared" ca="1" si="121"/>
        <v>-0.11933199239591187</v>
      </c>
      <c r="H841">
        <f t="shared" ca="1" si="123"/>
        <v>-0.11933829928057549</v>
      </c>
      <c r="I841">
        <f t="shared" ca="1" si="124"/>
        <v>9.4085323840151312E-3</v>
      </c>
      <c r="J841" s="5">
        <f t="shared" ca="1" si="125"/>
        <v>0.12874683166459061</v>
      </c>
    </row>
    <row r="842" spans="1:10" x14ac:dyDescent="0.2">
      <c r="A842">
        <f t="shared" ca="1" si="117"/>
        <v>0.45781689923862201</v>
      </c>
      <c r="B842">
        <f t="shared" ca="1" si="118"/>
        <v>-0.10593515860128007</v>
      </c>
      <c r="C842">
        <f t="shared" ca="1" si="122"/>
        <v>-44.274839263552458</v>
      </c>
      <c r="D842" s="22">
        <f t="shared" ca="1" si="119"/>
        <v>0.39671003240931957</v>
      </c>
      <c r="F842">
        <f t="shared" si="120"/>
        <v>0.83600000000000063</v>
      </c>
      <c r="G842">
        <f t="shared" ca="1" si="121"/>
        <v>-0.11888130545456765</v>
      </c>
      <c r="H842">
        <f t="shared" ca="1" si="123"/>
        <v>-0.1188875891739988</v>
      </c>
      <c r="I842">
        <f t="shared" ca="1" si="124"/>
        <v>9.4134616408771687E-3</v>
      </c>
      <c r="J842" s="5">
        <f t="shared" ca="1" si="125"/>
        <v>0.12830105081487597</v>
      </c>
    </row>
    <row r="843" spans="1:10" x14ac:dyDescent="0.2">
      <c r="A843">
        <f t="shared" ca="1" si="117"/>
        <v>0.37174038919547603</v>
      </c>
      <c r="B843">
        <f t="shared" ca="1" si="118"/>
        <v>-0.32724739246648665</v>
      </c>
      <c r="C843">
        <f t="shared" ca="1" si="122"/>
        <v>-44.602086656018948</v>
      </c>
      <c r="D843" s="22">
        <f t="shared" ca="1" si="119"/>
        <v>0.37814257908227189</v>
      </c>
      <c r="F843">
        <f t="shared" si="120"/>
        <v>0.83700000000000063</v>
      </c>
      <c r="G843">
        <f t="shared" ca="1" si="121"/>
        <v>-0.11919439805474208</v>
      </c>
      <c r="H843">
        <f t="shared" ca="1" si="123"/>
        <v>-0.11920069680055263</v>
      </c>
      <c r="I843">
        <f t="shared" ca="1" si="124"/>
        <v>9.4112027151864296E-3</v>
      </c>
      <c r="J843" s="5">
        <f t="shared" ca="1" si="125"/>
        <v>0.12861189951573906</v>
      </c>
    </row>
    <row r="844" spans="1:10" x14ac:dyDescent="0.2">
      <c r="A844">
        <f t="shared" ca="1" si="117"/>
        <v>3.3355648001380245E-2</v>
      </c>
      <c r="B844">
        <f t="shared" ca="1" si="118"/>
        <v>-1.8336141115100155</v>
      </c>
      <c r="C844">
        <f t="shared" ca="1" si="122"/>
        <v>-46.435700767528964</v>
      </c>
      <c r="D844" s="22">
        <f t="shared" ca="1" si="119"/>
        <v>7.4272918061151924E-2</v>
      </c>
      <c r="F844">
        <f t="shared" si="120"/>
        <v>0.83800000000000063</v>
      </c>
      <c r="G844">
        <f t="shared" ca="1" si="121"/>
        <v>-0.12020727508921711</v>
      </c>
      <c r="H844">
        <f t="shared" ca="1" si="123"/>
        <v>-0.12021362384941769</v>
      </c>
      <c r="I844">
        <f t="shared" ca="1" si="124"/>
        <v>9.4023617786476599E-3</v>
      </c>
      <c r="J844" s="5">
        <f t="shared" ca="1" si="125"/>
        <v>0.12961598562806537</v>
      </c>
    </row>
    <row r="845" spans="1:10" x14ac:dyDescent="0.2">
      <c r="A845">
        <f t="shared" ca="1" si="117"/>
        <v>0.75913953143968094</v>
      </c>
      <c r="B845">
        <f t="shared" ca="1" si="118"/>
        <v>0.70353735288156083</v>
      </c>
      <c r="C845">
        <f t="shared" ca="1" si="122"/>
        <v>-45.732163414647403</v>
      </c>
      <c r="D845" s="22">
        <f t="shared" ca="1" si="119"/>
        <v>0.31147975443514619</v>
      </c>
      <c r="F845">
        <f t="shared" si="120"/>
        <v>0.83900000000000063</v>
      </c>
      <c r="G845">
        <f t="shared" ca="1" si="121"/>
        <v>-0.12598336249713785</v>
      </c>
      <c r="H845">
        <f t="shared" ca="1" si="123"/>
        <v>-0.12598999942923036</v>
      </c>
      <c r="I845">
        <f t="shared" ca="1" si="124"/>
        <v>9.3488890103914212E-3</v>
      </c>
      <c r="J845" s="5">
        <f t="shared" ca="1" si="125"/>
        <v>0.13533888843962177</v>
      </c>
    </row>
    <row r="846" spans="1:10" x14ac:dyDescent="0.2">
      <c r="A846">
        <f t="shared" ca="1" si="117"/>
        <v>0.53662522312893057</v>
      </c>
      <c r="B846">
        <f t="shared" ca="1" si="118"/>
        <v>9.1935162970486428E-2</v>
      </c>
      <c r="C846">
        <f t="shared" ca="1" si="122"/>
        <v>-45.640228251676916</v>
      </c>
      <c r="D846" s="22">
        <f t="shared" ca="1" si="119"/>
        <v>0.3972598929453765</v>
      </c>
      <c r="F846">
        <f t="shared" si="120"/>
        <v>0.84000000000000064</v>
      </c>
      <c r="G846">
        <f t="shared" ca="1" si="121"/>
        <v>-0.12373609607104387</v>
      </c>
      <c r="H846">
        <f t="shared" ca="1" si="123"/>
        <v>-0.12374261997517609</v>
      </c>
      <c r="I846">
        <f t="shared" ca="1" si="124"/>
        <v>9.3706015548165114E-3</v>
      </c>
      <c r="J846" s="5">
        <f t="shared" ca="1" si="125"/>
        <v>0.13311322152999261</v>
      </c>
    </row>
    <row r="847" spans="1:10" x14ac:dyDescent="0.2">
      <c r="A847">
        <f t="shared" ca="1" si="117"/>
        <v>0.97354724393007896</v>
      </c>
      <c r="B847">
        <f t="shared" ca="1" si="118"/>
        <v>1.9356913693624196</v>
      </c>
      <c r="C847">
        <f t="shared" ca="1" si="122"/>
        <v>-43.7045368823145</v>
      </c>
      <c r="D847" s="22">
        <f t="shared" ca="1" si="119"/>
        <v>6.1274649364081037E-2</v>
      </c>
      <c r="F847">
        <f t="shared" si="120"/>
        <v>0.84100000000000064</v>
      </c>
      <c r="G847">
        <f t="shared" ca="1" si="121"/>
        <v>-0.1234230136036544</v>
      </c>
      <c r="H847">
        <f t="shared" ca="1" si="123"/>
        <v>-0.12342952120113307</v>
      </c>
      <c r="I847">
        <f t="shared" ca="1" si="124"/>
        <v>9.3742167227134285E-3</v>
      </c>
      <c r="J847" s="5">
        <f t="shared" ca="1" si="125"/>
        <v>0.1328037379238465</v>
      </c>
    </row>
    <row r="848" spans="1:10" x14ac:dyDescent="0.2">
      <c r="A848">
        <f t="shared" ca="1" si="117"/>
        <v>0.73225531996834325</v>
      </c>
      <c r="B848">
        <f t="shared" ca="1" si="118"/>
        <v>0.61964830017418537</v>
      </c>
      <c r="C848">
        <f t="shared" ca="1" si="122"/>
        <v>-43.084888582140316</v>
      </c>
      <c r="D848" s="22">
        <f t="shared" ca="1" si="119"/>
        <v>0.32925572807782577</v>
      </c>
      <c r="F848">
        <f t="shared" si="120"/>
        <v>0.84200000000000064</v>
      </c>
      <c r="G848">
        <f t="shared" ca="1" si="121"/>
        <v>-0.11727978489198314</v>
      </c>
      <c r="H848">
        <f t="shared" ca="1" si="123"/>
        <v>-0.11728598467469743</v>
      </c>
      <c r="I848">
        <f t="shared" ca="1" si="124"/>
        <v>9.4326701591823676E-3</v>
      </c>
      <c r="J848" s="5">
        <f t="shared" ca="1" si="125"/>
        <v>0.12671865483387981</v>
      </c>
    </row>
    <row r="849" spans="1:10" x14ac:dyDescent="0.2">
      <c r="A849">
        <f t="shared" ca="1" si="117"/>
        <v>0.91699476492224385</v>
      </c>
      <c r="B849">
        <f t="shared" ca="1" si="118"/>
        <v>1.3851373595786853</v>
      </c>
      <c r="C849">
        <f t="shared" ca="1" si="122"/>
        <v>-41.69975122256163</v>
      </c>
      <c r="D849" s="22">
        <f t="shared" ca="1" si="119"/>
        <v>0.15285870428960011</v>
      </c>
      <c r="F849">
        <f t="shared" si="120"/>
        <v>0.84300000000000064</v>
      </c>
      <c r="G849">
        <f t="shared" ca="1" si="121"/>
        <v>-0.11529865599397124</v>
      </c>
      <c r="H849">
        <f t="shared" ca="1" si="123"/>
        <v>-0.11530475609942782</v>
      </c>
      <c r="I849">
        <f t="shared" ca="1" si="124"/>
        <v>9.452069500955531E-3</v>
      </c>
      <c r="J849" s="5">
        <f t="shared" ca="1" si="125"/>
        <v>0.12475682560038336</v>
      </c>
    </row>
    <row r="850" spans="1:10" x14ac:dyDescent="0.2">
      <c r="A850">
        <f t="shared" ca="1" si="117"/>
        <v>0.80968714063802139</v>
      </c>
      <c r="B850">
        <f t="shared" ca="1" si="118"/>
        <v>0.87674396924417297</v>
      </c>
      <c r="C850">
        <f t="shared" ca="1" si="122"/>
        <v>-40.823007253317456</v>
      </c>
      <c r="D850" s="22">
        <f t="shared" ca="1" si="119"/>
        <v>0.27163975327733958</v>
      </c>
      <c r="F850">
        <f t="shared" si="120"/>
        <v>0.84400000000000064</v>
      </c>
      <c r="G850">
        <f t="shared" ca="1" si="121"/>
        <v>-0.11089715727669038</v>
      </c>
      <c r="H850">
        <f t="shared" ca="1" si="123"/>
        <v>-0.11090303669535759</v>
      </c>
      <c r="I850">
        <f t="shared" ca="1" si="124"/>
        <v>9.4944640888783658E-3</v>
      </c>
      <c r="J850" s="5">
        <f t="shared" ca="1" si="125"/>
        <v>0.12039750078423596</v>
      </c>
    </row>
    <row r="851" spans="1:10" x14ac:dyDescent="0.2">
      <c r="A851">
        <f t="shared" ca="1" si="117"/>
        <v>0.29512493827584618</v>
      </c>
      <c r="B851">
        <f t="shared" ca="1" si="118"/>
        <v>-0.53847396194457742</v>
      </c>
      <c r="C851">
        <f t="shared" ca="1" si="122"/>
        <v>-41.361481215262032</v>
      </c>
      <c r="D851" s="22">
        <f t="shared" ca="1" si="119"/>
        <v>0.34510186762667611</v>
      </c>
      <c r="F851">
        <f t="shared" si="120"/>
        <v>0.84500000000000064</v>
      </c>
      <c r="G851">
        <f t="shared" ca="1" si="121"/>
        <v>-0.10810369936740272</v>
      </c>
      <c r="H851">
        <f t="shared" ca="1" si="123"/>
        <v>-0.10810943852405985</v>
      </c>
      <c r="I851">
        <f t="shared" ca="1" si="124"/>
        <v>9.5217286112862873E-3</v>
      </c>
      <c r="J851" s="5">
        <f t="shared" ca="1" si="125"/>
        <v>0.11763116713534615</v>
      </c>
    </row>
    <row r="852" spans="1:10" x14ac:dyDescent="0.2">
      <c r="A852">
        <f t="shared" ca="1" si="117"/>
        <v>0.28427339384125028</v>
      </c>
      <c r="B852">
        <f t="shared" ca="1" si="118"/>
        <v>-0.57019302304137753</v>
      </c>
      <c r="C852">
        <f t="shared" ca="1" si="122"/>
        <v>-41.931674238303408</v>
      </c>
      <c r="D852" s="22">
        <f t="shared" ca="1" si="119"/>
        <v>0.33908699742023457</v>
      </c>
      <c r="F852">
        <f t="shared" si="120"/>
        <v>0.84600000000000064</v>
      </c>
      <c r="G852">
        <f t="shared" ca="1" si="121"/>
        <v>-0.10978560908172783</v>
      </c>
      <c r="H852">
        <f t="shared" ca="1" si="123"/>
        <v>-0.10979143176064714</v>
      </c>
      <c r="I852">
        <f t="shared" ca="1" si="124"/>
        <v>9.5064318366243974E-3</v>
      </c>
      <c r="J852" s="5">
        <f t="shared" ca="1" si="125"/>
        <v>0.11929786359727154</v>
      </c>
    </row>
    <row r="853" spans="1:10" x14ac:dyDescent="0.2">
      <c r="A853">
        <f t="shared" ca="1" si="117"/>
        <v>0.4042395332189791</v>
      </c>
      <c r="B853">
        <f t="shared" ca="1" si="118"/>
        <v>-0.24238860063775156</v>
      </c>
      <c r="C853">
        <f t="shared" ca="1" si="122"/>
        <v>-42.174062838941161</v>
      </c>
      <c r="D853" s="22">
        <f t="shared" ca="1" si="119"/>
        <v>0.38739336697268073</v>
      </c>
      <c r="F853">
        <f t="shared" si="120"/>
        <v>0.84700000000000064</v>
      </c>
      <c r="G853">
        <f t="shared" ca="1" si="121"/>
        <v>-0.11156765007678374</v>
      </c>
      <c r="H853">
        <f t="shared" ca="1" si="123"/>
        <v>-0.1115735612762187</v>
      </c>
      <c r="I853">
        <f t="shared" ca="1" si="124"/>
        <v>9.4902076783477639E-3</v>
      </c>
      <c r="J853" s="5">
        <f t="shared" ca="1" si="125"/>
        <v>0.12106376895456647</v>
      </c>
    </row>
    <row r="854" spans="1:10" x14ac:dyDescent="0.2">
      <c r="A854">
        <f t="shared" ca="1" si="117"/>
        <v>0.48790195724810392</v>
      </c>
      <c r="B854">
        <f t="shared" ca="1" si="118"/>
        <v>-3.0329945502440826E-2</v>
      </c>
      <c r="C854">
        <f t="shared" ca="1" si="122"/>
        <v>-42.204392784443598</v>
      </c>
      <c r="D854" s="22">
        <f t="shared" ca="1" si="119"/>
        <v>0.39875882797664658</v>
      </c>
      <c r="F854">
        <f t="shared" si="120"/>
        <v>0.84800000000000064</v>
      </c>
      <c r="G854">
        <f t="shared" ca="1" si="121"/>
        <v>-0.11231295610304924</v>
      </c>
      <c r="H854">
        <f t="shared" ca="1" si="123"/>
        <v>-0.11231890397696732</v>
      </c>
      <c r="I854">
        <f t="shared" ca="1" si="124"/>
        <v>9.4838371424989572E-3</v>
      </c>
      <c r="J854" s="5">
        <f t="shared" ca="1" si="125"/>
        <v>0.12180274111946628</v>
      </c>
    </row>
    <row r="855" spans="1:10" x14ac:dyDescent="0.2">
      <c r="A855">
        <f t="shared" ca="1" si="117"/>
        <v>0.3426955247708271</v>
      </c>
      <c r="B855">
        <f t="shared" ca="1" si="118"/>
        <v>-0.40511762784548594</v>
      </c>
      <c r="C855">
        <f t="shared" ca="1" si="122"/>
        <v>-42.609510412289083</v>
      </c>
      <c r="D855" s="22">
        <f t="shared" ca="1" si="119"/>
        <v>0.36751223094493357</v>
      </c>
      <c r="F855">
        <f t="shared" si="120"/>
        <v>0.84900000000000064</v>
      </c>
      <c r="G855">
        <f t="shared" ca="1" si="121"/>
        <v>-0.11238763278267919</v>
      </c>
      <c r="H855">
        <f t="shared" ca="1" si="123"/>
        <v>-0.11239358379566612</v>
      </c>
      <c r="I855">
        <f t="shared" ca="1" si="124"/>
        <v>9.4838284960023066E-3</v>
      </c>
      <c r="J855" s="5">
        <f t="shared" ca="1" si="125"/>
        <v>0.12187741229166843</v>
      </c>
    </row>
    <row r="856" spans="1:10" x14ac:dyDescent="0.2">
      <c r="A856">
        <f t="shared" ca="1" si="117"/>
        <v>0.3827755045642417</v>
      </c>
      <c r="B856">
        <f t="shared" ca="1" si="118"/>
        <v>-0.29819936144471909</v>
      </c>
      <c r="C856">
        <f t="shared" ca="1" si="122"/>
        <v>-42.907709773733799</v>
      </c>
      <c r="D856" s="22">
        <f t="shared" ca="1" si="119"/>
        <v>0.38159327497757073</v>
      </c>
      <c r="F856">
        <f t="shared" si="120"/>
        <v>0.85000000000000064</v>
      </c>
      <c r="G856">
        <f t="shared" ca="1" si="121"/>
        <v>-0.1136474254535275</v>
      </c>
      <c r="H856">
        <f t="shared" ca="1" si="123"/>
        <v>-0.11365343886156275</v>
      </c>
      <c r="I856">
        <f t="shared" ca="1" si="124"/>
        <v>9.472586448285426E-3</v>
      </c>
      <c r="J856" s="5">
        <f t="shared" ca="1" si="125"/>
        <v>0.12312602530984817</v>
      </c>
    </row>
    <row r="857" spans="1:10" x14ac:dyDescent="0.2">
      <c r="A857">
        <f t="shared" ca="1" si="117"/>
        <v>0.19062100597187204</v>
      </c>
      <c r="B857">
        <f t="shared" ca="1" si="118"/>
        <v>-0.87561013836535395</v>
      </c>
      <c r="C857">
        <f t="shared" ca="1" si="122"/>
        <v>-43.783319912099152</v>
      </c>
      <c r="D857" s="22">
        <f t="shared" ca="1" si="119"/>
        <v>0.27190974423721154</v>
      </c>
      <c r="F857">
        <f t="shared" si="120"/>
        <v>0.85100000000000064</v>
      </c>
      <c r="G857">
        <f t="shared" ca="1" si="121"/>
        <v>-0.11456900381066232</v>
      </c>
      <c r="H857">
        <f t="shared" ca="1" si="123"/>
        <v>-0.1145750626966497</v>
      </c>
      <c r="I857">
        <f t="shared" ca="1" si="124"/>
        <v>9.4645572023183827E-3</v>
      </c>
      <c r="J857" s="5">
        <f t="shared" ca="1" si="125"/>
        <v>0.12403961989896808</v>
      </c>
    </row>
    <row r="858" spans="1:10" x14ac:dyDescent="0.2">
      <c r="A858">
        <f t="shared" ca="1" si="117"/>
        <v>0.95866945242710033</v>
      </c>
      <c r="B858">
        <f t="shared" ca="1" si="118"/>
        <v>1.7354501992517264</v>
      </c>
      <c r="C858">
        <f t="shared" ca="1" si="122"/>
        <v>-42.047869712847429</v>
      </c>
      <c r="D858" s="22">
        <f t="shared" ca="1" si="119"/>
        <v>8.8492964239597169E-2</v>
      </c>
      <c r="F858">
        <f t="shared" si="120"/>
        <v>0.85200000000000065</v>
      </c>
      <c r="G858">
        <f t="shared" ca="1" si="121"/>
        <v>-0.11731633192230957</v>
      </c>
      <c r="H858">
        <f t="shared" ca="1" si="123"/>
        <v>-0.11732252756994974</v>
      </c>
      <c r="I858">
        <f t="shared" ca="1" si="124"/>
        <v>9.4392835159987278E-3</v>
      </c>
      <c r="J858" s="5">
        <f t="shared" ca="1" si="125"/>
        <v>0.12676181108594847</v>
      </c>
    </row>
    <row r="859" spans="1:10" x14ac:dyDescent="0.2">
      <c r="A859">
        <f t="shared" ca="1" si="117"/>
        <v>0.56104364059200973</v>
      </c>
      <c r="B859">
        <f t="shared" ca="1" si="118"/>
        <v>0.1536157485138146</v>
      </c>
      <c r="C859">
        <f t="shared" ca="1" si="122"/>
        <v>-41.894253964333615</v>
      </c>
      <c r="D859" s="22">
        <f t="shared" ca="1" si="119"/>
        <v>0.3942628609753796</v>
      </c>
      <c r="F859">
        <f t="shared" si="120"/>
        <v>0.85300000000000065</v>
      </c>
      <c r="G859">
        <f t="shared" ca="1" si="121"/>
        <v>-0.11180690036757128</v>
      </c>
      <c r="H859">
        <f t="shared" ca="1" si="123"/>
        <v>-0.11181281992176424</v>
      </c>
      <c r="I859">
        <f t="shared" ca="1" si="124"/>
        <v>9.4921301871840422E-3</v>
      </c>
      <c r="J859" s="5">
        <f t="shared" ca="1" si="125"/>
        <v>0.12130495010894829</v>
      </c>
    </row>
    <row r="860" spans="1:10" x14ac:dyDescent="0.2">
      <c r="A860">
        <f t="shared" ca="1" si="117"/>
        <v>1.831005060041635E-2</v>
      </c>
      <c r="B860">
        <f t="shared" ca="1" si="118"/>
        <v>-2.0899743799670096</v>
      </c>
      <c r="C860">
        <f t="shared" ca="1" si="122"/>
        <v>-43.984228344300625</v>
      </c>
      <c r="D860" s="22">
        <f t="shared" ca="1" si="119"/>
        <v>4.4917177380928777E-2</v>
      </c>
      <c r="F860">
        <f t="shared" si="120"/>
        <v>0.85400000000000065</v>
      </c>
      <c r="G860">
        <f t="shared" ca="1" si="121"/>
        <v>-0.11129996937452895</v>
      </c>
      <c r="H860">
        <f t="shared" ca="1" si="123"/>
        <v>-0.11130586298999678</v>
      </c>
      <c r="I860">
        <f t="shared" ca="1" si="124"/>
        <v>9.4976445864206546E-3</v>
      </c>
      <c r="J860" s="5">
        <f t="shared" ca="1" si="125"/>
        <v>0.12080350757641745</v>
      </c>
    </row>
    <row r="861" spans="1:10" x14ac:dyDescent="0.2">
      <c r="A861">
        <f t="shared" ca="1" si="117"/>
        <v>3.4475580239196835E-2</v>
      </c>
      <c r="B861">
        <f t="shared" ca="1" si="118"/>
        <v>-1.8187396435399357</v>
      </c>
      <c r="C861">
        <f t="shared" ca="1" si="122"/>
        <v>-45.80296798784056</v>
      </c>
      <c r="D861" s="22">
        <f t="shared" ca="1" si="119"/>
        <v>7.6318074710752748E-2</v>
      </c>
      <c r="F861">
        <f t="shared" si="120"/>
        <v>0.85500000000000065</v>
      </c>
      <c r="G861">
        <f t="shared" ca="1" si="121"/>
        <v>-0.11788758928595378</v>
      </c>
      <c r="H861">
        <f t="shared" ca="1" si="123"/>
        <v>-0.11789381169579172</v>
      </c>
      <c r="I861">
        <f t="shared" ca="1" si="124"/>
        <v>9.435977247526102E-3</v>
      </c>
      <c r="J861" s="5">
        <f t="shared" ca="1" si="125"/>
        <v>0.12732978894331781</v>
      </c>
    </row>
    <row r="862" spans="1:10" x14ac:dyDescent="0.2">
      <c r="A862">
        <f t="shared" ca="1" si="117"/>
        <v>0.40939474486162264</v>
      </c>
      <c r="B862">
        <f t="shared" ca="1" si="118"/>
        <v>-0.22910219210155816</v>
      </c>
      <c r="C862">
        <f t="shared" ca="1" si="122"/>
        <v>-46.032070179942117</v>
      </c>
      <c r="D862" s="22">
        <f t="shared" ca="1" si="119"/>
        <v>0.38860866650665793</v>
      </c>
      <c r="F862">
        <f t="shared" si="120"/>
        <v>0.85600000000000065</v>
      </c>
      <c r="G862">
        <f t="shared" ca="1" si="121"/>
        <v>-0.12361687380485001</v>
      </c>
      <c r="H862">
        <f t="shared" ca="1" si="123"/>
        <v>-0.12362338205905109</v>
      </c>
      <c r="I862">
        <f t="shared" ca="1" si="124"/>
        <v>9.3827546307095645E-3</v>
      </c>
      <c r="J862" s="5">
        <f t="shared" ca="1" si="125"/>
        <v>0.13300613668976066</v>
      </c>
    </row>
    <row r="863" spans="1:10" x14ac:dyDescent="0.2">
      <c r="A863">
        <f t="shared" ca="1" si="117"/>
        <v>0.77476731451511438</v>
      </c>
      <c r="B863">
        <f t="shared" ca="1" si="118"/>
        <v>0.75463940901649562</v>
      </c>
      <c r="C863">
        <f t="shared" ca="1" si="122"/>
        <v>-45.277430770925619</v>
      </c>
      <c r="D863" s="22">
        <f t="shared" ca="1" si="119"/>
        <v>0.30008819865272751</v>
      </c>
      <c r="F863">
        <f t="shared" si="120"/>
        <v>0.85700000000000065</v>
      </c>
      <c r="G863">
        <f t="shared" ca="1" si="121"/>
        <v>-0.12431896175676706</v>
      </c>
      <c r="H863">
        <f t="shared" ca="1" si="123"/>
        <v>-0.12432550446482354</v>
      </c>
      <c r="I863">
        <f t="shared" ca="1" si="124"/>
        <v>9.3768501883861929E-3</v>
      </c>
      <c r="J863" s="5">
        <f t="shared" ca="1" si="125"/>
        <v>0.13370235465320973</v>
      </c>
    </row>
    <row r="864" spans="1:10" x14ac:dyDescent="0.2">
      <c r="A864">
        <f t="shared" ca="1" si="117"/>
        <v>0.69613892884334161</v>
      </c>
      <c r="B864">
        <f t="shared" ca="1" si="118"/>
        <v>0.51332765478249798</v>
      </c>
      <c r="C864">
        <f t="shared" ca="1" si="122"/>
        <v>-44.764103116143119</v>
      </c>
      <c r="D864" s="22">
        <f t="shared" ca="1" si="119"/>
        <v>0.34969596487900223</v>
      </c>
      <c r="F864">
        <f t="shared" si="120"/>
        <v>0.85800000000000065</v>
      </c>
      <c r="G864">
        <f t="shared" ca="1" si="121"/>
        <v>-0.12191027095152911</v>
      </c>
      <c r="H864">
        <f t="shared" ca="1" si="123"/>
        <v>-0.12191669256976152</v>
      </c>
      <c r="I864">
        <f t="shared" ca="1" si="124"/>
        <v>9.4001466024280379E-3</v>
      </c>
      <c r="J864" s="5">
        <f t="shared" ca="1" si="125"/>
        <v>0.13131683917218956</v>
      </c>
    </row>
    <row r="865" spans="1:10" x14ac:dyDescent="0.2">
      <c r="A865">
        <f t="shared" ca="1" si="117"/>
        <v>0.7813085300776198</v>
      </c>
      <c r="B865">
        <f t="shared" ca="1" si="118"/>
        <v>0.77662009895647288</v>
      </c>
      <c r="C865">
        <f t="shared" ca="1" si="122"/>
        <v>-43.987483017186648</v>
      </c>
      <c r="D865" s="22">
        <f t="shared" ca="1" si="119"/>
        <v>0.29508025102754926</v>
      </c>
      <c r="F865">
        <f t="shared" si="120"/>
        <v>0.85900000000000065</v>
      </c>
      <c r="G865">
        <f t="shared" ca="1" si="121"/>
        <v>-0.12026487761973007</v>
      </c>
      <c r="H865">
        <f t="shared" ca="1" si="123"/>
        <v>-0.12027121632543923</v>
      </c>
      <c r="I865">
        <f t="shared" ca="1" si="124"/>
        <v>9.4163126142652182E-3</v>
      </c>
      <c r="J865" s="5">
        <f t="shared" ca="1" si="125"/>
        <v>0.12968752893970445</v>
      </c>
    </row>
    <row r="866" spans="1:10" x14ac:dyDescent="0.2">
      <c r="A866">
        <f t="shared" ca="1" si="117"/>
        <v>0.64504733525974678</v>
      </c>
      <c r="B866">
        <f t="shared" ca="1" si="118"/>
        <v>0.37198323793900678</v>
      </c>
      <c r="C866">
        <f t="shared" ca="1" si="122"/>
        <v>-43.615499779247642</v>
      </c>
      <c r="D866" s="22">
        <f t="shared" ca="1" si="119"/>
        <v>0.37227431227744673</v>
      </c>
      <c r="F866">
        <f t="shared" si="120"/>
        <v>0.86000000000000065</v>
      </c>
      <c r="G866">
        <f t="shared" ca="1" si="121"/>
        <v>-0.11778708663319122</v>
      </c>
      <c r="H866">
        <f t="shared" ca="1" si="123"/>
        <v>-0.11779330081443888</v>
      </c>
      <c r="I866">
        <f t="shared" ca="1" si="124"/>
        <v>9.4403632389717523E-3</v>
      </c>
      <c r="J866" s="5">
        <f t="shared" ca="1" si="125"/>
        <v>0.12723366405341063</v>
      </c>
    </row>
    <row r="867" spans="1:10" x14ac:dyDescent="0.2">
      <c r="A867">
        <f t="shared" ca="1" si="117"/>
        <v>0.49793699909643452</v>
      </c>
      <c r="B867">
        <f t="shared" ca="1" si="118"/>
        <v>-5.1711994428098708E-3</v>
      </c>
      <c r="C867">
        <f t="shared" ca="1" si="122"/>
        <v>-43.620670978690455</v>
      </c>
      <c r="D867" s="22">
        <f t="shared" ca="1" si="119"/>
        <v>0.39893694631875792</v>
      </c>
      <c r="F867">
        <f t="shared" si="120"/>
        <v>0.86100000000000065</v>
      </c>
      <c r="G867">
        <f t="shared" ca="1" si="121"/>
        <v>-0.11658905354339903</v>
      </c>
      <c r="H867">
        <f t="shared" ca="1" si="123"/>
        <v>-0.11659520720106581</v>
      </c>
      <c r="I867">
        <f t="shared" ca="1" si="124"/>
        <v>9.4523725397772478E-3</v>
      </c>
      <c r="J867" s="5">
        <f t="shared" ca="1" si="125"/>
        <v>0.12604757974084305</v>
      </c>
    </row>
    <row r="868" spans="1:10" x14ac:dyDescent="0.2">
      <c r="A868">
        <f t="shared" ca="1" si="117"/>
        <v>0.18478868625589584</v>
      </c>
      <c r="B868">
        <f t="shared" ca="1" si="118"/>
        <v>-0.89726529146593959</v>
      </c>
      <c r="C868">
        <f t="shared" ca="1" si="122"/>
        <v>-44.517936270156397</v>
      </c>
      <c r="D868" s="22">
        <f t="shared" ca="1" si="119"/>
        <v>0.26673995810808276</v>
      </c>
      <c r="F868">
        <f t="shared" si="120"/>
        <v>0.86200000000000065</v>
      </c>
      <c r="G868">
        <f t="shared" ca="1" si="121"/>
        <v>-0.11658374767182379</v>
      </c>
      <c r="H868">
        <f t="shared" ca="1" si="123"/>
        <v>-0.11658990044881996</v>
      </c>
      <c r="I868">
        <f t="shared" ca="1" si="124"/>
        <v>9.4531159719429079E-3</v>
      </c>
      <c r="J868" s="5">
        <f t="shared" ca="1" si="125"/>
        <v>0.12604301642076288</v>
      </c>
    </row>
    <row r="869" spans="1:10" x14ac:dyDescent="0.2">
      <c r="A869">
        <f t="shared" ca="1" si="117"/>
        <v>0.20254028902197052</v>
      </c>
      <c r="B869">
        <f t="shared" ca="1" si="118"/>
        <v>-0.8325818866768806</v>
      </c>
      <c r="C869">
        <f t="shared" ca="1" si="122"/>
        <v>-45.350518156833274</v>
      </c>
      <c r="D869" s="22">
        <f t="shared" ca="1" si="119"/>
        <v>0.28208838583180201</v>
      </c>
      <c r="F869">
        <f t="shared" si="120"/>
        <v>0.86300000000000066</v>
      </c>
      <c r="G869">
        <f t="shared" ca="1" si="121"/>
        <v>-0.11939935050219813</v>
      </c>
      <c r="H869">
        <f t="shared" ca="1" si="123"/>
        <v>-0.11940564344522228</v>
      </c>
      <c r="I869">
        <f t="shared" ca="1" si="124"/>
        <v>9.4272272427997107E-3</v>
      </c>
      <c r="J869" s="5">
        <f t="shared" ca="1" si="125"/>
        <v>0.12883287068802199</v>
      </c>
    </row>
    <row r="870" spans="1:10" x14ac:dyDescent="0.2">
      <c r="A870">
        <f t="shared" ca="1" si="117"/>
        <v>0.74706648070092907</v>
      </c>
      <c r="B870">
        <f t="shared" ca="1" si="118"/>
        <v>0.66528685182627667</v>
      </c>
      <c r="C870">
        <f t="shared" ca="1" si="122"/>
        <v>-44.685231305007001</v>
      </c>
      <c r="D870" s="22">
        <f t="shared" ca="1" si="119"/>
        <v>0.31974168907393946</v>
      </c>
      <c r="F870">
        <f t="shared" si="120"/>
        <v>0.86400000000000066</v>
      </c>
      <c r="G870">
        <f t="shared" ca="1" si="121"/>
        <v>-0.12201013512733709</v>
      </c>
      <c r="H870">
        <f t="shared" ca="1" si="123"/>
        <v>-0.12201655798137689</v>
      </c>
      <c r="I870">
        <f t="shared" ca="1" si="124"/>
        <v>9.4033326394034056E-3</v>
      </c>
      <c r="J870" s="5">
        <f t="shared" ca="1" si="125"/>
        <v>0.1314198906207803</v>
      </c>
    </row>
    <row r="871" spans="1:10" x14ac:dyDescent="0.2">
      <c r="A871">
        <f t="shared" ca="1" si="117"/>
        <v>0.61894806310764372</v>
      </c>
      <c r="B871">
        <f t="shared" ca="1" si="118"/>
        <v>0.30271918775345236</v>
      </c>
      <c r="C871">
        <f t="shared" ca="1" si="122"/>
        <v>-44.382512117253548</v>
      </c>
      <c r="D871" s="22">
        <f t="shared" ca="1" si="119"/>
        <v>0.38107541396676237</v>
      </c>
      <c r="F871">
        <f t="shared" si="120"/>
        <v>0.86500000000000066</v>
      </c>
      <c r="G871">
        <f t="shared" ca="1" si="121"/>
        <v>-0.11988421866140873</v>
      </c>
      <c r="H871">
        <f t="shared" ca="1" si="123"/>
        <v>-0.11989053457644477</v>
      </c>
      <c r="I871">
        <f t="shared" ca="1" si="124"/>
        <v>9.4240316400920603E-3</v>
      </c>
      <c r="J871" s="5">
        <f t="shared" ca="1" si="125"/>
        <v>0.12931456621653684</v>
      </c>
    </row>
    <row r="872" spans="1:10" x14ac:dyDescent="0.2">
      <c r="A872">
        <f t="shared" ca="1" si="117"/>
        <v>0.85380498766294544</v>
      </c>
      <c r="B872">
        <f t="shared" ca="1" si="118"/>
        <v>1.0528930218275165</v>
      </c>
      <c r="C872">
        <f t="shared" ca="1" si="122"/>
        <v>-43.329619095426033</v>
      </c>
      <c r="D872" s="22">
        <f t="shared" ca="1" si="119"/>
        <v>0.22918393438347445</v>
      </c>
      <c r="F872">
        <f t="shared" si="120"/>
        <v>0.86600000000000066</v>
      </c>
      <c r="G872">
        <f t="shared" ca="1" si="121"/>
        <v>-0.11890499707630196</v>
      </c>
      <c r="H872">
        <f t="shared" ca="1" si="123"/>
        <v>-0.11891126339825007</v>
      </c>
      <c r="I872">
        <f t="shared" ca="1" si="124"/>
        <v>9.4339535995646359E-3</v>
      </c>
      <c r="J872" s="5">
        <f t="shared" ca="1" si="125"/>
        <v>0.1283452169978147</v>
      </c>
    </row>
    <row r="873" spans="1:10" x14ac:dyDescent="0.2">
      <c r="A873">
        <f t="shared" ca="1" si="117"/>
        <v>0.27848303244359163</v>
      </c>
      <c r="B873">
        <f t="shared" ca="1" si="118"/>
        <v>-0.58735387521532934</v>
      </c>
      <c r="C873">
        <f t="shared" ca="1" si="122"/>
        <v>-43.916972970641361</v>
      </c>
      <c r="D873" s="22">
        <f t="shared" ca="1" si="119"/>
        <v>0.33573577222670042</v>
      </c>
      <c r="F873">
        <f t="shared" si="120"/>
        <v>0.86700000000000066</v>
      </c>
      <c r="G873">
        <f t="shared" ca="1" si="121"/>
        <v>-0.11555373405967835</v>
      </c>
      <c r="H873">
        <f t="shared" ca="1" si="123"/>
        <v>-0.11555983219043792</v>
      </c>
      <c r="I873">
        <f t="shared" ca="1" si="124"/>
        <v>9.4663159332200961E-3</v>
      </c>
      <c r="J873" s="5">
        <f t="shared" ca="1" si="125"/>
        <v>0.125026148123658</v>
      </c>
    </row>
    <row r="874" spans="1:10" x14ac:dyDescent="0.2">
      <c r="A874">
        <f t="shared" ca="1" si="117"/>
        <v>0.93793972959045591</v>
      </c>
      <c r="B874">
        <f t="shared" ca="1" si="118"/>
        <v>1.5377058983344467</v>
      </c>
      <c r="C874">
        <f t="shared" ca="1" si="122"/>
        <v>-42.379267072306916</v>
      </c>
      <c r="D874" s="22">
        <f t="shared" ca="1" si="119"/>
        <v>0.12230855985616415</v>
      </c>
      <c r="F874">
        <f t="shared" si="120"/>
        <v>0.86800000000000066</v>
      </c>
      <c r="G874">
        <f t="shared" ca="1" si="121"/>
        <v>-0.11738946293727935</v>
      </c>
      <c r="H874">
        <f t="shared" ca="1" si="123"/>
        <v>-0.11739565224542564</v>
      </c>
      <c r="I874">
        <f t="shared" ca="1" si="124"/>
        <v>9.4496474172601781E-3</v>
      </c>
      <c r="J874" s="5">
        <f t="shared" ca="1" si="125"/>
        <v>0.12684529966268582</v>
      </c>
    </row>
    <row r="875" spans="1:10" x14ac:dyDescent="0.2">
      <c r="A875">
        <f t="shared" ca="1" si="117"/>
        <v>0.35132738055471779</v>
      </c>
      <c r="B875">
        <f t="shared" ca="1" si="118"/>
        <v>-0.38173928028991422</v>
      </c>
      <c r="C875">
        <f t="shared" ca="1" si="122"/>
        <v>-42.76100635259683</v>
      </c>
      <c r="D875" s="22">
        <f t="shared" ca="1" si="119"/>
        <v>0.37090809395111679</v>
      </c>
      <c r="F875">
        <f t="shared" si="120"/>
        <v>0.86900000000000066</v>
      </c>
      <c r="G875">
        <f t="shared" ca="1" si="121"/>
        <v>-0.11250531519020496</v>
      </c>
      <c r="H875">
        <f t="shared" ca="1" si="123"/>
        <v>-0.11251125966998893</v>
      </c>
      <c r="I875">
        <f t="shared" ca="1" si="124"/>
        <v>9.4966118106147145E-3</v>
      </c>
      <c r="J875" s="5">
        <f t="shared" ca="1" si="125"/>
        <v>0.12200787148060364</v>
      </c>
    </row>
    <row r="876" spans="1:10" x14ac:dyDescent="0.2">
      <c r="A876">
        <f t="shared" ca="1" si="117"/>
        <v>0.49231182522850914</v>
      </c>
      <c r="B876">
        <f t="shared" ca="1" si="118"/>
        <v>-1.9272589274357571E-2</v>
      </c>
      <c r="C876">
        <f t="shared" ca="1" si="122"/>
        <v>-42.780278941871188</v>
      </c>
      <c r="D876" s="22">
        <f t="shared" ca="1" si="119"/>
        <v>0.39886819717723271</v>
      </c>
      <c r="F876">
        <f t="shared" si="120"/>
        <v>0.87000000000000066</v>
      </c>
      <c r="G876">
        <f t="shared" ca="1" si="121"/>
        <v>-0.11369117096348157</v>
      </c>
      <c r="H876">
        <f t="shared" ca="1" si="123"/>
        <v>-0.11369717414209148</v>
      </c>
      <c r="I876">
        <f t="shared" ca="1" si="124"/>
        <v>9.4860558767220562E-3</v>
      </c>
      <c r="J876" s="5">
        <f t="shared" ca="1" si="125"/>
        <v>0.12318323001881354</v>
      </c>
    </row>
    <row r="877" spans="1:10" x14ac:dyDescent="0.2">
      <c r="A877">
        <f t="shared" ca="1" si="117"/>
        <v>0.80977350560799555</v>
      </c>
      <c r="B877">
        <f t="shared" ca="1" si="118"/>
        <v>0.87706195293324574</v>
      </c>
      <c r="C877">
        <f t="shared" ca="1" si="122"/>
        <v>-41.903216988937942</v>
      </c>
      <c r="D877" s="22">
        <f t="shared" ca="1" si="119"/>
        <v>0.27156401958007337</v>
      </c>
      <c r="F877">
        <f t="shared" si="120"/>
        <v>0.87100000000000066</v>
      </c>
      <c r="G877">
        <f t="shared" ca="1" si="121"/>
        <v>-0.11373074514618441</v>
      </c>
      <c r="H877">
        <f t="shared" ca="1" si="123"/>
        <v>-0.11373674970319317</v>
      </c>
      <c r="I877">
        <f t="shared" ca="1" si="124"/>
        <v>9.4863789272135873E-3</v>
      </c>
      <c r="J877" s="5">
        <f t="shared" ca="1" si="125"/>
        <v>0.12322312863040676</v>
      </c>
    </row>
    <row r="878" spans="1:10" x14ac:dyDescent="0.2">
      <c r="A878">
        <f t="shared" ca="1" si="117"/>
        <v>0.817645355097257</v>
      </c>
      <c r="B878">
        <f t="shared" ca="1" si="118"/>
        <v>0.90642812908877268</v>
      </c>
      <c r="C878">
        <f t="shared" ca="1" si="122"/>
        <v>-40.996788859849168</v>
      </c>
      <c r="D878" s="22">
        <f t="shared" ca="1" si="119"/>
        <v>0.26454484127917044</v>
      </c>
      <c r="F878">
        <f t="shared" si="120"/>
        <v>0.87200000000000066</v>
      </c>
      <c r="G878">
        <f t="shared" ca="1" si="121"/>
        <v>-0.11093599838983656</v>
      </c>
      <c r="H878">
        <f t="shared" ca="1" si="123"/>
        <v>-0.11094186260787839</v>
      </c>
      <c r="I878">
        <f t="shared" ca="1" si="124"/>
        <v>9.5136297985359743E-3</v>
      </c>
      <c r="J878" s="5">
        <f t="shared" ca="1" si="125"/>
        <v>0.12045549240641436</v>
      </c>
    </row>
    <row r="879" spans="1:10" x14ac:dyDescent="0.2">
      <c r="A879">
        <f t="shared" ca="1" si="117"/>
        <v>0.69719837575108079</v>
      </c>
      <c r="B879">
        <f t="shared" ca="1" si="118"/>
        <v>0.516359640606459</v>
      </c>
      <c r="C879">
        <f t="shared" ca="1" si="122"/>
        <v>-40.480429219242708</v>
      </c>
      <c r="D879" s="22">
        <f t="shared" ca="1" si="119"/>
        <v>0.34915051578633993</v>
      </c>
      <c r="F879">
        <f t="shared" si="120"/>
        <v>0.87300000000000066</v>
      </c>
      <c r="G879">
        <f t="shared" ca="1" si="121"/>
        <v>-0.10804867173437657</v>
      </c>
      <c r="H879">
        <f t="shared" ca="1" si="123"/>
        <v>-0.10805439099845196</v>
      </c>
      <c r="I879">
        <f t="shared" ca="1" si="124"/>
        <v>9.541845004350423E-3</v>
      </c>
      <c r="J879" s="5">
        <f t="shared" ca="1" si="125"/>
        <v>0.11759623600280239</v>
      </c>
    </row>
    <row r="880" spans="1:10" x14ac:dyDescent="0.2">
      <c r="A880">
        <f t="shared" ca="1" si="117"/>
        <v>0.62751188579267314</v>
      </c>
      <c r="B880">
        <f t="shared" ca="1" si="118"/>
        <v>0.32527066801718607</v>
      </c>
      <c r="C880">
        <f t="shared" ca="1" si="122"/>
        <v>-40.155158551225526</v>
      </c>
      <c r="D880" s="22">
        <f t="shared" ca="1" si="119"/>
        <v>0.37838653104009029</v>
      </c>
      <c r="F880">
        <f t="shared" si="120"/>
        <v>0.87400000000000067</v>
      </c>
      <c r="G880">
        <f t="shared" ca="1" si="121"/>
        <v>-0.10639507699153558</v>
      </c>
      <c r="H880">
        <f t="shared" ca="1" si="123"/>
        <v>-0.10640071300324974</v>
      </c>
      <c r="I880">
        <f t="shared" ca="1" si="124"/>
        <v>9.5583463484723904E-3</v>
      </c>
      <c r="J880" s="5">
        <f t="shared" ca="1" si="125"/>
        <v>0.11595905935172213</v>
      </c>
    </row>
    <row r="881" spans="1:10" x14ac:dyDescent="0.2">
      <c r="A881">
        <f t="shared" ca="1" si="117"/>
        <v>0.71464783288983258</v>
      </c>
      <c r="B881">
        <f t="shared" ca="1" si="118"/>
        <v>0.567014494176449</v>
      </c>
      <c r="C881">
        <f t="shared" ca="1" si="122"/>
        <v>-39.588144057049078</v>
      </c>
      <c r="D881" s="22">
        <f t="shared" ca="1" si="119"/>
        <v>0.33970039143919845</v>
      </c>
      <c r="F881">
        <f t="shared" si="120"/>
        <v>0.87500000000000067</v>
      </c>
      <c r="G881">
        <f t="shared" ca="1" si="121"/>
        <v>-0.10534589377646417</v>
      </c>
      <c r="H881">
        <f t="shared" ca="1" si="123"/>
        <v>-0.10535147676497061</v>
      </c>
      <c r="I881">
        <f t="shared" ca="1" si="124"/>
        <v>9.5690921056074407E-3</v>
      </c>
      <c r="J881" s="5">
        <f t="shared" ca="1" si="125"/>
        <v>0.11492056887057805</v>
      </c>
    </row>
    <row r="882" spans="1:10" x14ac:dyDescent="0.2">
      <c r="A882">
        <f t="shared" ca="1" si="117"/>
        <v>0.7649643022253152</v>
      </c>
      <c r="B882">
        <f t="shared" ca="1" si="118"/>
        <v>0.722362891420949</v>
      </c>
      <c r="C882">
        <f t="shared" ca="1" si="122"/>
        <v>-38.865781165628128</v>
      </c>
      <c r="D882" s="22">
        <f t="shared" ca="1" si="119"/>
        <v>0.30732710603569147</v>
      </c>
      <c r="F882">
        <f t="shared" si="120"/>
        <v>0.87600000000000067</v>
      </c>
      <c r="G882">
        <f t="shared" ca="1" si="121"/>
        <v>-0.10353239259498392</v>
      </c>
      <c r="H882">
        <f t="shared" ca="1" si="123"/>
        <v>-0.10353788434936825</v>
      </c>
      <c r="I882">
        <f t="shared" ca="1" si="124"/>
        <v>9.587176166003606E-3</v>
      </c>
      <c r="J882" s="5">
        <f t="shared" ca="1" si="125"/>
        <v>0.11312506051537186</v>
      </c>
    </row>
    <row r="883" spans="1:10" x14ac:dyDescent="0.2">
      <c r="A883">
        <f t="shared" ca="1" si="117"/>
        <v>4.191371286434098E-3</v>
      </c>
      <c r="B883">
        <f t="shared" ca="1" si="118"/>
        <v>-2.6362521038395634</v>
      </c>
      <c r="C883">
        <f t="shared" ca="1" si="122"/>
        <v>-41.502033269467688</v>
      </c>
      <c r="D883" s="22">
        <f t="shared" ca="1" si="119"/>
        <v>1.2353064479412996E-2</v>
      </c>
      <c r="F883">
        <f t="shared" si="120"/>
        <v>0.87700000000000067</v>
      </c>
      <c r="G883">
        <f t="shared" ca="1" si="121"/>
        <v>-0.10122784255012029</v>
      </c>
      <c r="H883">
        <f t="shared" ca="1" si="123"/>
        <v>-0.10123321852685821</v>
      </c>
      <c r="I883">
        <f t="shared" ca="1" si="124"/>
        <v>9.6100142082684893E-3</v>
      </c>
      <c r="J883" s="5">
        <f t="shared" ca="1" si="125"/>
        <v>0.1108432327351267</v>
      </c>
    </row>
    <row r="884" spans="1:10" x14ac:dyDescent="0.2">
      <c r="A884">
        <f t="shared" ca="1" si="117"/>
        <v>8.4007950220582828E-2</v>
      </c>
      <c r="B884">
        <f t="shared" ca="1" si="118"/>
        <v>-1.3786071837568272</v>
      </c>
      <c r="C884">
        <f t="shared" ca="1" si="122"/>
        <v>-42.880640453224515</v>
      </c>
      <c r="D884" s="22">
        <f t="shared" ca="1" si="119"/>
        <v>0.15424432361791371</v>
      </c>
      <c r="F884">
        <f t="shared" si="120"/>
        <v>0.87800000000000067</v>
      </c>
      <c r="G884">
        <f t="shared" ca="1" si="121"/>
        <v>-0.10954386509582506</v>
      </c>
      <c r="H884">
        <f t="shared" ca="1" si="123"/>
        <v>-0.10954965633954927</v>
      </c>
      <c r="I884">
        <f t="shared" ca="1" si="124"/>
        <v>9.5311381659892395E-3</v>
      </c>
      <c r="J884" s="5">
        <f t="shared" ca="1" si="125"/>
        <v>0.11908079450553852</v>
      </c>
    </row>
    <row r="885" spans="1:10" x14ac:dyDescent="0.2">
      <c r="A885">
        <f t="shared" ca="1" si="117"/>
        <v>0.14628804584250121</v>
      </c>
      <c r="B885">
        <f t="shared" ca="1" si="118"/>
        <v>-1.0524871747404305</v>
      </c>
      <c r="C885">
        <f t="shared" ca="1" si="122"/>
        <v>-43.933127627964943</v>
      </c>
      <c r="D885" s="22">
        <f t="shared" ca="1" si="119"/>
        <v>0.22928186983212251</v>
      </c>
      <c r="F885">
        <f t="shared" si="120"/>
        <v>0.87900000000000067</v>
      </c>
      <c r="G885">
        <f t="shared" ca="1" si="121"/>
        <v>-0.11388223248848875</v>
      </c>
      <c r="H885">
        <f t="shared" ca="1" si="123"/>
        <v>-0.11388824007325718</v>
      </c>
      <c r="I885">
        <f t="shared" ca="1" si="124"/>
        <v>9.4905788033860013E-3</v>
      </c>
      <c r="J885" s="5">
        <f t="shared" ca="1" si="125"/>
        <v>0.12337881887664318</v>
      </c>
    </row>
    <row r="886" spans="1:10" x14ac:dyDescent="0.2">
      <c r="A886">
        <f t="shared" ca="1" si="117"/>
        <v>7.7172231534873847E-2</v>
      </c>
      <c r="B886">
        <f t="shared" ca="1" si="118"/>
        <v>-1.4243524791132731</v>
      </c>
      <c r="C886">
        <f t="shared" ca="1" si="122"/>
        <v>-45.357480107078217</v>
      </c>
      <c r="D886" s="22">
        <f t="shared" ca="1" si="119"/>
        <v>0.14466587215475638</v>
      </c>
      <c r="F886">
        <f t="shared" si="120"/>
        <v>0.88000000000000067</v>
      </c>
      <c r="G886">
        <f t="shared" ca="1" si="121"/>
        <v>-0.11718893560901036</v>
      </c>
      <c r="H886">
        <f t="shared" ca="1" si="123"/>
        <v>-0.11719510792954524</v>
      </c>
      <c r="I886">
        <f t="shared" ca="1" si="124"/>
        <v>9.4599428796614642E-3</v>
      </c>
      <c r="J886" s="5">
        <f t="shared" ca="1" si="125"/>
        <v>0.12665505080920669</v>
      </c>
    </row>
    <row r="887" spans="1:10" x14ac:dyDescent="0.2">
      <c r="A887">
        <f t="shared" ca="1" si="117"/>
        <v>0.61256737517171955</v>
      </c>
      <c r="B887">
        <f t="shared" ca="1" si="118"/>
        <v>0.28601680603783536</v>
      </c>
      <c r="C887">
        <f t="shared" ca="1" si="122"/>
        <v>-45.071463301040382</v>
      </c>
      <c r="D887" s="22">
        <f t="shared" ca="1" si="119"/>
        <v>0.38295364062868043</v>
      </c>
      <c r="F887">
        <f t="shared" si="120"/>
        <v>0.88100000000000067</v>
      </c>
      <c r="G887">
        <f t="shared" ca="1" si="121"/>
        <v>-0.12167119062574538</v>
      </c>
      <c r="H887">
        <f t="shared" ca="1" si="123"/>
        <v>-0.12167758644365764</v>
      </c>
      <c r="I887">
        <f t="shared" ca="1" si="124"/>
        <v>9.4183239387031058E-3</v>
      </c>
      <c r="J887" s="5">
        <f t="shared" ca="1" si="125"/>
        <v>0.13109591038236074</v>
      </c>
    </row>
    <row r="888" spans="1:10" x14ac:dyDescent="0.2">
      <c r="A888">
        <f t="shared" ca="1" si="117"/>
        <v>0.49559141863103107</v>
      </c>
      <c r="B888">
        <f t="shared" ca="1" si="118"/>
        <v>-1.1050899633381121E-2</v>
      </c>
      <c r="C888">
        <f t="shared" ca="1" si="122"/>
        <v>-45.082514200673764</v>
      </c>
      <c r="D888" s="22">
        <f t="shared" ca="1" si="119"/>
        <v>0.39891792125421693</v>
      </c>
      <c r="F888">
        <f t="shared" si="120"/>
        <v>0.88200000000000067</v>
      </c>
      <c r="G888">
        <f t="shared" ca="1" si="121"/>
        <v>-0.12074460528017925</v>
      </c>
      <c r="H888">
        <f t="shared" ca="1" si="123"/>
        <v>-0.12075095412884712</v>
      </c>
      <c r="I888">
        <f t="shared" ca="1" si="124"/>
        <v>9.4277419253462596E-3</v>
      </c>
      <c r="J888" s="5">
        <f t="shared" ca="1" si="125"/>
        <v>0.13017869605419338</v>
      </c>
    </row>
    <row r="889" spans="1:10" x14ac:dyDescent="0.2">
      <c r="A889">
        <f t="shared" ca="1" si="117"/>
        <v>0.15795433329832986</v>
      </c>
      <c r="B889">
        <f t="shared" ca="1" si="118"/>
        <v>-1.0029009243524263</v>
      </c>
      <c r="C889">
        <f t="shared" ca="1" si="122"/>
        <v>-46.085415125026188</v>
      </c>
      <c r="D889" s="22">
        <f t="shared" ca="1" si="119"/>
        <v>0.24126878771940402</v>
      </c>
      <c r="F889">
        <f t="shared" si="120"/>
        <v>0.88300000000000067</v>
      </c>
      <c r="G889">
        <f t="shared" ca="1" si="121"/>
        <v>-0.12075747618914502</v>
      </c>
      <c r="H889">
        <f t="shared" ca="1" si="123"/>
        <v>-0.12076382504646964</v>
      </c>
      <c r="I889">
        <f t="shared" ca="1" si="124"/>
        <v>9.4283081158377767E-3</v>
      </c>
      <c r="J889" s="5">
        <f t="shared" ca="1" si="125"/>
        <v>0.13019213316230741</v>
      </c>
    </row>
    <row r="890" spans="1:10" x14ac:dyDescent="0.2">
      <c r="A890">
        <f t="shared" ca="1" si="117"/>
        <v>0.72613058243012718</v>
      </c>
      <c r="B890">
        <f t="shared" ca="1" si="118"/>
        <v>0.60115187434939055</v>
      </c>
      <c r="C890">
        <f t="shared" ca="1" si="122"/>
        <v>-45.484263250676797</v>
      </c>
      <c r="D890" s="22">
        <f t="shared" ca="1" si="119"/>
        <v>0.33299416182196084</v>
      </c>
      <c r="F890">
        <f t="shared" si="120"/>
        <v>0.88400000000000067</v>
      </c>
      <c r="G890">
        <f t="shared" ca="1" si="121"/>
        <v>-0.12390669416776608</v>
      </c>
      <c r="H890">
        <f t="shared" ca="1" si="123"/>
        <v>-0.12391319985240688</v>
      </c>
      <c r="I890">
        <f t="shared" ca="1" si="124"/>
        <v>9.3993469577664229E-3</v>
      </c>
      <c r="J890" s="5">
        <f t="shared" ca="1" si="125"/>
        <v>0.13331254681017329</v>
      </c>
    </row>
    <row r="891" spans="1:10" x14ac:dyDescent="0.2">
      <c r="A891">
        <f t="shared" ca="1" si="117"/>
        <v>0.57601606418702334</v>
      </c>
      <c r="B891">
        <f t="shared" ca="1" si="118"/>
        <v>0.19171191584834771</v>
      </c>
      <c r="C891">
        <f t="shared" ca="1" si="122"/>
        <v>-45.292551334828453</v>
      </c>
      <c r="D891" s="22">
        <f t="shared" ca="1" si="119"/>
        <v>0.39167797758686274</v>
      </c>
      <c r="F891">
        <f t="shared" si="120"/>
        <v>0.88500000000000068</v>
      </c>
      <c r="G891">
        <f t="shared" ca="1" si="121"/>
        <v>-0.1219833905217189</v>
      </c>
      <c r="H891">
        <f t="shared" ca="1" si="123"/>
        <v>-0.12198979938979822</v>
      </c>
      <c r="I891">
        <f t="shared" ca="1" si="124"/>
        <v>9.4181268764384832E-3</v>
      </c>
      <c r="J891" s="5">
        <f t="shared" ca="1" si="125"/>
        <v>0.13140792626623671</v>
      </c>
    </row>
    <row r="892" spans="1:10" x14ac:dyDescent="0.2">
      <c r="A892">
        <f t="shared" ca="1" si="117"/>
        <v>0.28223890079615865</v>
      </c>
      <c r="B892">
        <f t="shared" ca="1" si="118"/>
        <v>-0.57620326056195559</v>
      </c>
      <c r="C892">
        <f t="shared" ca="1" si="122"/>
        <v>-45.868754595390406</v>
      </c>
      <c r="D892" s="22">
        <f t="shared" ca="1" si="119"/>
        <v>0.33792083329772649</v>
      </c>
      <c r="F892">
        <f t="shared" si="120"/>
        <v>0.88600000000000068</v>
      </c>
      <c r="G892">
        <f t="shared" ca="1" si="121"/>
        <v>-0.12135497729492385</v>
      </c>
      <c r="H892">
        <f t="shared" ca="1" si="123"/>
        <v>-0.12136135410118393</v>
      </c>
      <c r="I892">
        <f t="shared" ca="1" si="124"/>
        <v>9.4247336193515243E-3</v>
      </c>
      <c r="J892" s="5">
        <f t="shared" ca="1" si="125"/>
        <v>0.13078608772053546</v>
      </c>
    </row>
    <row r="893" spans="1:10" x14ac:dyDescent="0.2">
      <c r="A893">
        <f t="shared" ca="1" si="117"/>
        <v>0.25969397498121094</v>
      </c>
      <c r="B893">
        <f t="shared" ca="1" si="118"/>
        <v>-0.64428915016201849</v>
      </c>
      <c r="C893">
        <f t="shared" ca="1" si="122"/>
        <v>-46.513043745552423</v>
      </c>
      <c r="D893" s="22">
        <f t="shared" ca="1" si="119"/>
        <v>0.32416819169441879</v>
      </c>
      <c r="F893">
        <f t="shared" si="120"/>
        <v>0.88700000000000068</v>
      </c>
      <c r="G893">
        <f t="shared" ca="1" si="121"/>
        <v>-0.12315486650058459</v>
      </c>
      <c r="H893">
        <f t="shared" ca="1" si="123"/>
        <v>-0.12316133266436506</v>
      </c>
      <c r="I893">
        <f t="shared" ca="1" si="124"/>
        <v>9.408470071935876E-3</v>
      </c>
      <c r="J893" s="5">
        <f t="shared" ca="1" si="125"/>
        <v>0.13256980273630092</v>
      </c>
    </row>
    <row r="894" spans="1:10" x14ac:dyDescent="0.2">
      <c r="A894">
        <f t="shared" ca="1" si="117"/>
        <v>0.21907093323286042</v>
      </c>
      <c r="B894">
        <f t="shared" ca="1" si="118"/>
        <v>-0.77533477385179228</v>
      </c>
      <c r="C894">
        <f t="shared" ca="1" si="122"/>
        <v>-47.288378519404212</v>
      </c>
      <c r="D894" s="22">
        <f t="shared" ca="1" si="119"/>
        <v>0.2953747059538871</v>
      </c>
      <c r="F894">
        <f t="shared" si="120"/>
        <v>0.88800000000000068</v>
      </c>
      <c r="G894">
        <f t="shared" ca="1" si="121"/>
        <v>-0.12516987144910302</v>
      </c>
      <c r="H894">
        <f t="shared" ca="1" si="123"/>
        <v>-0.12517643771734485</v>
      </c>
      <c r="I894">
        <f t="shared" ca="1" si="124"/>
        <v>9.3902125979305959E-3</v>
      </c>
      <c r="J894" s="5">
        <f t="shared" ca="1" si="125"/>
        <v>0.13456665031527545</v>
      </c>
    </row>
    <row r="895" spans="1:10" x14ac:dyDescent="0.2">
      <c r="A895">
        <f t="shared" ca="1" si="117"/>
        <v>0.48079885472450623</v>
      </c>
      <c r="B895">
        <f t="shared" ca="1" si="118"/>
        <v>-4.8148731054857521E-2</v>
      </c>
      <c r="C895">
        <f t="shared" ca="1" si="122"/>
        <v>-47.336527250459071</v>
      </c>
      <c r="D895" s="22">
        <f t="shared" ca="1" si="119"/>
        <v>0.39848011430852315</v>
      </c>
      <c r="F895">
        <f t="shared" si="120"/>
        <v>0.88900000000000068</v>
      </c>
      <c r="G895">
        <f t="shared" ca="1" si="121"/>
        <v>-0.12759905683618916</v>
      </c>
      <c r="H895">
        <f t="shared" ca="1" si="123"/>
        <v>-0.12760574390807636</v>
      </c>
      <c r="I895">
        <f t="shared" ca="1" si="124"/>
        <v>9.3681075801172412E-3</v>
      </c>
      <c r="J895" s="5">
        <f t="shared" ca="1" si="125"/>
        <v>0.1369738514881936</v>
      </c>
    </row>
    <row r="896" spans="1:10" x14ac:dyDescent="0.2">
      <c r="A896">
        <f t="shared" ca="1" si="117"/>
        <v>0.99386176514160329</v>
      </c>
      <c r="B896">
        <f t="shared" ca="1" si="118"/>
        <v>2.5040960629042885</v>
      </c>
      <c r="C896">
        <f t="shared" ca="1" si="122"/>
        <v>-44.832431187554782</v>
      </c>
      <c r="D896" s="22">
        <f t="shared" ca="1" si="119"/>
        <v>1.7349578283155361E-2</v>
      </c>
      <c r="F896">
        <f t="shared" si="120"/>
        <v>0.89000000000000068</v>
      </c>
      <c r="G896">
        <f t="shared" ca="1" si="121"/>
        <v>-0.12772855011237746</v>
      </c>
      <c r="H896">
        <f t="shared" ca="1" si="123"/>
        <v>-0.12773524299026578</v>
      </c>
      <c r="I896">
        <f t="shared" ca="1" si="124"/>
        <v>9.3675711808515628E-3</v>
      </c>
      <c r="J896" s="5">
        <f t="shared" ca="1" si="125"/>
        <v>0.13710281417111736</v>
      </c>
    </row>
    <row r="897" spans="1:10" x14ac:dyDescent="0.2">
      <c r="A897">
        <f t="shared" ca="1" si="117"/>
        <v>0.49511153599240598</v>
      </c>
      <c r="B897">
        <f t="shared" ca="1" si="118"/>
        <v>-1.2253868762017901E-2</v>
      </c>
      <c r="C897">
        <f t="shared" ca="1" si="122"/>
        <v>-44.844685056316798</v>
      </c>
      <c r="D897" s="22">
        <f t="shared" ca="1" si="119"/>
        <v>0.39891232947801619</v>
      </c>
      <c r="F897">
        <f t="shared" si="120"/>
        <v>0.89100000000000068</v>
      </c>
      <c r="G897">
        <f t="shared" ca="1" si="121"/>
        <v>-0.11978752727318867</v>
      </c>
      <c r="H897">
        <f t="shared" ca="1" si="123"/>
        <v>-0.11979382242732893</v>
      </c>
      <c r="I897">
        <f t="shared" ca="1" si="124"/>
        <v>9.4429411808473491E-3</v>
      </c>
      <c r="J897" s="5">
        <f t="shared" ca="1" si="125"/>
        <v>0.12923676360817629</v>
      </c>
    </row>
    <row r="898" spans="1:10" x14ac:dyDescent="0.2">
      <c r="A898">
        <f t="shared" ca="1" si="117"/>
        <v>0.94746590930460939</v>
      </c>
      <c r="B898">
        <f t="shared" ca="1" si="118"/>
        <v>1.6207643755406191</v>
      </c>
      <c r="C898">
        <f t="shared" ca="1" si="122"/>
        <v>-43.223920680776182</v>
      </c>
      <c r="D898" s="22">
        <f t="shared" ca="1" si="119"/>
        <v>0.10727312639295146</v>
      </c>
      <c r="F898">
        <f t="shared" si="120"/>
        <v>0.89200000000000068</v>
      </c>
      <c r="G898">
        <f t="shared" ca="1" si="121"/>
        <v>-0.11980429781737309</v>
      </c>
      <c r="H898">
        <f t="shared" ca="1" si="123"/>
        <v>-0.11981059318052296</v>
      </c>
      <c r="I898">
        <f t="shared" ca="1" si="124"/>
        <v>9.4434723599490858E-3</v>
      </c>
      <c r="J898" s="5">
        <f t="shared" ca="1" si="125"/>
        <v>0.12925406554047206</v>
      </c>
    </row>
    <row r="899" spans="1:10" x14ac:dyDescent="0.2">
      <c r="A899">
        <f t="shared" ca="1" si="117"/>
        <v>0.64525711316987111</v>
      </c>
      <c r="B899">
        <f t="shared" ca="1" si="118"/>
        <v>0.37254680062266771</v>
      </c>
      <c r="C899">
        <f t="shared" ca="1" si="122"/>
        <v>-42.851373880153517</v>
      </c>
      <c r="D899" s="22">
        <f t="shared" ca="1" si="119"/>
        <v>0.37219621930175645</v>
      </c>
      <c r="F899">
        <f t="shared" si="120"/>
        <v>0.89300000000000068</v>
      </c>
      <c r="G899">
        <f t="shared" ca="1" si="121"/>
        <v>-0.11465726776407896</v>
      </c>
      <c r="H899">
        <f t="shared" ca="1" si="123"/>
        <v>-0.11466330514403605</v>
      </c>
      <c r="I899">
        <f t="shared" ca="1" si="124"/>
        <v>9.492899083687412E-3</v>
      </c>
      <c r="J899" s="5">
        <f t="shared" ca="1" si="125"/>
        <v>0.12415620422772347</v>
      </c>
    </row>
    <row r="900" spans="1:10" x14ac:dyDescent="0.2">
      <c r="A900">
        <f t="shared" ca="1" si="117"/>
        <v>0.98375388304002098</v>
      </c>
      <c r="B900">
        <f t="shared" ca="1" si="118"/>
        <v>2.1383020792823437</v>
      </c>
      <c r="C900">
        <f t="shared" ca="1" si="122"/>
        <v>-40.713071800871177</v>
      </c>
      <c r="D900" s="22">
        <f t="shared" ca="1" si="119"/>
        <v>4.0554585413365075E-2</v>
      </c>
      <c r="F900">
        <f t="shared" si="120"/>
        <v>0.89400000000000068</v>
      </c>
      <c r="G900">
        <f t="shared" ca="1" si="121"/>
        <v>-0.11345776558794383</v>
      </c>
      <c r="H900">
        <f t="shared" ca="1" si="123"/>
        <v>-0.11346374238854538</v>
      </c>
      <c r="I900">
        <f t="shared" ca="1" si="124"/>
        <v>9.5049921557635829E-3</v>
      </c>
      <c r="J900" s="5">
        <f t="shared" ca="1" si="125"/>
        <v>0.12296873454430897</v>
      </c>
    </row>
    <row r="901" spans="1:10" x14ac:dyDescent="0.2">
      <c r="A901">
        <f t="shared" ca="1" si="117"/>
        <v>0.86401941702902652</v>
      </c>
      <c r="B901">
        <f t="shared" ca="1" si="118"/>
        <v>1.0985574041378641</v>
      </c>
      <c r="C901">
        <f t="shared" ca="1" si="122"/>
        <v>-39.614514396733313</v>
      </c>
      <c r="D901" s="22">
        <f t="shared" ca="1" si="119"/>
        <v>0.21819792433555404</v>
      </c>
      <c r="F901">
        <f t="shared" si="120"/>
        <v>0.89500000000000068</v>
      </c>
      <c r="G901">
        <f t="shared" ca="1" si="121"/>
        <v>-0.10667485406379026</v>
      </c>
      <c r="H901">
        <f t="shared" ca="1" si="123"/>
        <v>-0.10668049111830039</v>
      </c>
      <c r="I901">
        <f t="shared" ca="1" si="124"/>
        <v>9.5703909434080459E-3</v>
      </c>
      <c r="J901" s="5">
        <f t="shared" ca="1" si="125"/>
        <v>0.11625088206170843</v>
      </c>
    </row>
    <row r="902" spans="1:10" x14ac:dyDescent="0.2">
      <c r="A902">
        <f t="shared" ca="1" si="117"/>
        <v>0.28911063047290353</v>
      </c>
      <c r="B902">
        <f t="shared" ca="1" si="118"/>
        <v>-0.55598477780826694</v>
      </c>
      <c r="C902">
        <f t="shared" ca="1" si="122"/>
        <v>-40.170499174541582</v>
      </c>
      <c r="D902" s="22">
        <f t="shared" ca="1" si="119"/>
        <v>0.34181074585461446</v>
      </c>
      <c r="F902">
        <f t="shared" si="120"/>
        <v>0.89600000000000068</v>
      </c>
      <c r="G902">
        <f t="shared" ca="1" si="121"/>
        <v>-0.10318041776414578</v>
      </c>
      <c r="H902">
        <f t="shared" ca="1" si="123"/>
        <v>-0.10318587953167083</v>
      </c>
      <c r="I902">
        <f t="shared" ca="1" si="124"/>
        <v>9.6046081516394065E-3</v>
      </c>
      <c r="J902" s="5">
        <f t="shared" ca="1" si="125"/>
        <v>0.11279048768331024</v>
      </c>
    </row>
    <row r="903" spans="1:10" x14ac:dyDescent="0.2">
      <c r="A903">
        <f t="shared" ref="A903:A966" ca="1" si="126">RAND()</f>
        <v>0.86953186487984846</v>
      </c>
      <c r="B903">
        <f t="shared" ref="B903:B966" ca="1" si="127">NORMSINV(A903)</f>
        <v>1.1241809478308988</v>
      </c>
      <c r="C903">
        <f t="shared" ca="1" si="122"/>
        <v>-39.046318226710682</v>
      </c>
      <c r="D903" s="22">
        <f t="shared" ref="D903:D966" ca="1" si="128">_xlfn.NORM.DIST(B903,0,1,FALSE)</f>
        <v>0.21207189489495176</v>
      </c>
      <c r="F903">
        <f t="shared" ref="F903:F966" si="129">F902+$M$2/$N$2</f>
        <v>0.89700000000000069</v>
      </c>
      <c r="G903">
        <f t="shared" ref="G903:G966" ca="1" si="130">G902*EXP(-$M$4*$O$2) + $O$4*(1-EXP(-$M$4*$O$2)) + $N$4* SQRT((1-EXP(-2*$M$4*$O$2))/(2*$M$4)) *B902</f>
        <v>-0.10491819107524496</v>
      </c>
      <c r="H903">
        <f t="shared" ca="1" si="123"/>
        <v>-0.10492373918597443</v>
      </c>
      <c r="I903">
        <f t="shared" ca="1" si="124"/>
        <v>9.5886472529251345E-3</v>
      </c>
      <c r="J903" s="5">
        <f t="shared" ca="1" si="125"/>
        <v>0.11451238643889956</v>
      </c>
    </row>
    <row r="904" spans="1:10" x14ac:dyDescent="0.2">
      <c r="A904">
        <f t="shared" ca="1" si="126"/>
        <v>5.024836221689466E-2</v>
      </c>
      <c r="B904">
        <f t="shared" ca="1" si="127"/>
        <v>-1.6424502689174325</v>
      </c>
      <c r="C904">
        <f t="shared" ref="C904:C967" ca="1" si="131">B904+C903</f>
        <v>-40.688768495628111</v>
      </c>
      <c r="D904" s="22">
        <f t="shared" ca="1" si="128"/>
        <v>0.10354386122046887</v>
      </c>
      <c r="F904">
        <f t="shared" si="129"/>
        <v>0.89800000000000069</v>
      </c>
      <c r="G904">
        <f t="shared" ca="1" si="130"/>
        <v>-0.10134290572459068</v>
      </c>
      <c r="H904">
        <f t="shared" ref="H904:H967" ca="1" si="132">H903+($M$6 + $N$6*H903)*$O$2 + $O$6*H903^$P$6*SQRT($O$2)*B903</f>
        <v>-0.10134827451474326</v>
      </c>
      <c r="I904">
        <f t="shared" ref="I904:I967" ca="1" si="133">I903*EXP(($M$8-0.5*($N$8^2))*$O$2 + $N$8*SQRT($O$2)*B903)</f>
        <v>9.6237094989545611E-3</v>
      </c>
      <c r="J904" s="5">
        <f t="shared" ref="J904:J967" ca="1" si="134">ABS(H904-I904)</f>
        <v>0.11097198401369783</v>
      </c>
    </row>
    <row r="905" spans="1:10" x14ac:dyDescent="0.2">
      <c r="A905">
        <f t="shared" ca="1" si="126"/>
        <v>0.91658066752297229</v>
      </c>
      <c r="B905">
        <f t="shared" ca="1" si="127"/>
        <v>1.3824334054925027</v>
      </c>
      <c r="C905">
        <f t="shared" ca="1" si="131"/>
        <v>-39.306335090135605</v>
      </c>
      <c r="D905" s="22">
        <f t="shared" ca="1" si="128"/>
        <v>0.15343172586852707</v>
      </c>
      <c r="F905">
        <f t="shared" si="129"/>
        <v>0.89900000000000069</v>
      </c>
      <c r="G905">
        <f t="shared" ca="1" si="130"/>
        <v>-0.10651639655066479</v>
      </c>
      <c r="H905">
        <f t="shared" ca="1" si="132"/>
        <v>-0.10652202348062693</v>
      </c>
      <c r="I905">
        <f t="shared" ca="1" si="133"/>
        <v>9.5747642117668084E-3</v>
      </c>
      <c r="J905" s="5">
        <f t="shared" ca="1" si="134"/>
        <v>0.11609678769239375</v>
      </c>
    </row>
    <row r="906" spans="1:10" x14ac:dyDescent="0.2">
      <c r="A906">
        <f t="shared" ca="1" si="126"/>
        <v>0.93699415584913848</v>
      </c>
      <c r="B906">
        <f t="shared" ca="1" si="127"/>
        <v>1.5300203643792318</v>
      </c>
      <c r="C906">
        <f t="shared" ca="1" si="131"/>
        <v>-37.776314725756372</v>
      </c>
      <c r="D906" s="22">
        <f t="shared" ca="1" si="128"/>
        <v>0.1237589334167921</v>
      </c>
      <c r="F906">
        <f t="shared" si="129"/>
        <v>0.90000000000000069</v>
      </c>
      <c r="G906">
        <f t="shared" ca="1" si="130"/>
        <v>-0.10212432624150442</v>
      </c>
      <c r="H906">
        <f t="shared" ca="1" si="132"/>
        <v>-0.10212973300341943</v>
      </c>
      <c r="I906">
        <f t="shared" ca="1" si="133"/>
        <v>9.6176268748112831E-3</v>
      </c>
      <c r="J906" s="5">
        <f t="shared" ca="1" si="134"/>
        <v>0.11174735987823071</v>
      </c>
    </row>
    <row r="907" spans="1:10" x14ac:dyDescent="0.2">
      <c r="A907">
        <f t="shared" ca="1" si="126"/>
        <v>0.80341842277979147</v>
      </c>
      <c r="B907">
        <f t="shared" ca="1" si="127"/>
        <v>0.85389502845812892</v>
      </c>
      <c r="C907">
        <f t="shared" ca="1" si="131"/>
        <v>-36.922419697298245</v>
      </c>
      <c r="D907" s="22">
        <f t="shared" ca="1" si="128"/>
        <v>0.27706396108170789</v>
      </c>
      <c r="F907">
        <f t="shared" si="129"/>
        <v>0.90100000000000069</v>
      </c>
      <c r="G907">
        <f t="shared" ca="1" si="130"/>
        <v>-9.726600750897052E-2</v>
      </c>
      <c r="H907">
        <f t="shared" ca="1" si="132"/>
        <v>-9.727117081223996E-2</v>
      </c>
      <c r="I907">
        <f t="shared" ca="1" si="133"/>
        <v>9.6651912161168623E-3</v>
      </c>
      <c r="J907" s="5">
        <f t="shared" ca="1" si="134"/>
        <v>0.10693636202835682</v>
      </c>
    </row>
    <row r="908" spans="1:10" x14ac:dyDescent="0.2">
      <c r="A908">
        <f t="shared" ca="1" si="126"/>
        <v>6.7267599116669352E-3</v>
      </c>
      <c r="B908">
        <f t="shared" ca="1" si="127"/>
        <v>-2.4715328287784071</v>
      </c>
      <c r="C908">
        <f t="shared" ca="1" si="131"/>
        <v>-39.393952526076653</v>
      </c>
      <c r="D908" s="22">
        <f t="shared" ca="1" si="128"/>
        <v>1.8813590054235916E-2</v>
      </c>
      <c r="F908">
        <f t="shared" si="129"/>
        <v>0.90200000000000069</v>
      </c>
      <c r="G908">
        <f t="shared" ca="1" si="130"/>
        <v>-9.4546163728928156E-2</v>
      </c>
      <c r="H908">
        <f t="shared" ca="1" si="132"/>
        <v>-9.4551190522536743E-2</v>
      </c>
      <c r="I908">
        <f t="shared" ca="1" si="133"/>
        <v>9.692245666931755E-3</v>
      </c>
      <c r="J908" s="5">
        <f t="shared" ca="1" si="134"/>
        <v>0.10424343618946849</v>
      </c>
    </row>
    <row r="909" spans="1:10" x14ac:dyDescent="0.2">
      <c r="A909">
        <f t="shared" ca="1" si="126"/>
        <v>0.15536484077605417</v>
      </c>
      <c r="B909">
        <f t="shared" ca="1" si="127"/>
        <v>-1.0136921278774429</v>
      </c>
      <c r="C909">
        <f t="shared" ca="1" si="131"/>
        <v>-40.407644653954094</v>
      </c>
      <c r="D909" s="22">
        <f t="shared" ca="1" si="128"/>
        <v>0.23865783674201019</v>
      </c>
      <c r="F909">
        <f t="shared" si="129"/>
        <v>0.90300000000000069</v>
      </c>
      <c r="G909">
        <f t="shared" ca="1" si="130"/>
        <v>-0.10234199236870178</v>
      </c>
      <c r="H909">
        <f t="shared" ca="1" si="132"/>
        <v>-0.10234740845430321</v>
      </c>
      <c r="I909">
        <f t="shared" ca="1" si="133"/>
        <v>9.6177031365440625E-3</v>
      </c>
      <c r="J909" s="5">
        <f t="shared" ca="1" si="134"/>
        <v>0.11196511159084727</v>
      </c>
    </row>
    <row r="910" spans="1:10" x14ac:dyDescent="0.2">
      <c r="A910">
        <f t="shared" ca="1" si="126"/>
        <v>0.98878616780195394</v>
      </c>
      <c r="B910">
        <f t="shared" ca="1" si="127"/>
        <v>2.283045906525897</v>
      </c>
      <c r="C910">
        <f t="shared" ca="1" si="131"/>
        <v>-38.124598747428195</v>
      </c>
      <c r="D910" s="22">
        <f t="shared" ca="1" si="128"/>
        <v>2.9449220469628213E-2</v>
      </c>
      <c r="F910">
        <f t="shared" si="129"/>
        <v>0.90400000000000069</v>
      </c>
      <c r="G910">
        <f t="shared" ca="1" si="130"/>
        <v>-0.10552717487929603</v>
      </c>
      <c r="H910">
        <f t="shared" ca="1" si="132"/>
        <v>-0.10553274968373316</v>
      </c>
      <c r="I910">
        <f t="shared" ca="1" si="133"/>
        <v>9.5878330209945919E-3</v>
      </c>
      <c r="J910" s="5">
        <f t="shared" ca="1" si="134"/>
        <v>0.11512058270472775</v>
      </c>
    </row>
    <row r="911" spans="1:10" x14ac:dyDescent="0.2">
      <c r="A911">
        <f t="shared" ca="1" si="126"/>
        <v>0.31526410086919177</v>
      </c>
      <c r="B911">
        <f t="shared" ca="1" si="127"/>
        <v>-0.48098353372263497</v>
      </c>
      <c r="C911">
        <f t="shared" ca="1" si="131"/>
        <v>-38.605582281150831</v>
      </c>
      <c r="D911" s="22">
        <f t="shared" ca="1" si="128"/>
        <v>0.35536455068940914</v>
      </c>
      <c r="F911">
        <f t="shared" si="129"/>
        <v>0.90500000000000069</v>
      </c>
      <c r="G911">
        <f t="shared" ca="1" si="130"/>
        <v>-9.828735908827714E-2</v>
      </c>
      <c r="H911">
        <f t="shared" ca="1" si="132"/>
        <v>-9.8292571341419083E-2</v>
      </c>
      <c r="I911">
        <f t="shared" ca="1" si="133"/>
        <v>9.6582215437407953E-3</v>
      </c>
      <c r="J911" s="5">
        <f t="shared" ca="1" si="134"/>
        <v>0.10795079288515988</v>
      </c>
    </row>
    <row r="912" spans="1:10" x14ac:dyDescent="0.2">
      <c r="A912">
        <f t="shared" ca="1" si="126"/>
        <v>0.29563932894680323</v>
      </c>
      <c r="B912">
        <f t="shared" ca="1" si="127"/>
        <v>-0.53698401190539147</v>
      </c>
      <c r="C912">
        <f t="shared" ca="1" si="131"/>
        <v>-39.14256629305622</v>
      </c>
      <c r="D912" s="22">
        <f t="shared" ca="1" si="128"/>
        <v>0.34537847034988312</v>
      </c>
      <c r="F912">
        <f t="shared" si="129"/>
        <v>0.90600000000000069</v>
      </c>
      <c r="G912">
        <f t="shared" ca="1" si="130"/>
        <v>-9.9788458780366435E-2</v>
      </c>
      <c r="H912">
        <f t="shared" ca="1" si="132"/>
        <v>-9.9793745567884867E-2</v>
      </c>
      <c r="I912">
        <f t="shared" ca="1" si="133"/>
        <v>9.6444587014367887E-3</v>
      </c>
      <c r="J912" s="5">
        <f t="shared" ca="1" si="134"/>
        <v>0.10943820426932166</v>
      </c>
    </row>
    <row r="913" spans="1:10" x14ac:dyDescent="0.2">
      <c r="A913">
        <f t="shared" ca="1" si="126"/>
        <v>9.6054636839101204E-2</v>
      </c>
      <c r="B913">
        <f t="shared" ca="1" si="127"/>
        <v>-1.3043646744645396</v>
      </c>
      <c r="C913">
        <f t="shared" ca="1" si="131"/>
        <v>-40.446930967520757</v>
      </c>
      <c r="D913" s="22">
        <f t="shared" ca="1" si="128"/>
        <v>0.170397363827895</v>
      </c>
      <c r="F913">
        <f t="shared" si="129"/>
        <v>0.90700000000000069</v>
      </c>
      <c r="G913">
        <f t="shared" ca="1" si="130"/>
        <v>-0.1014664885770237</v>
      </c>
      <c r="H913">
        <f t="shared" ca="1" si="132"/>
        <v>-0.10147185873804408</v>
      </c>
      <c r="I913">
        <f t="shared" ca="1" si="133"/>
        <v>9.6290101276498737E-3</v>
      </c>
      <c r="J913" s="5">
        <f t="shared" ca="1" si="134"/>
        <v>0.11110086886569395</v>
      </c>
    </row>
    <row r="914" spans="1:10" x14ac:dyDescent="0.2">
      <c r="A914">
        <f t="shared" ca="1" si="126"/>
        <v>0.97629014330860164</v>
      </c>
      <c r="B914">
        <f t="shared" ca="1" si="127"/>
        <v>1.9825321445500954</v>
      </c>
      <c r="C914">
        <f t="shared" ca="1" si="131"/>
        <v>-38.464398822970665</v>
      </c>
      <c r="D914" s="22">
        <f t="shared" ca="1" si="128"/>
        <v>5.5901985241534141E-2</v>
      </c>
      <c r="F914">
        <f t="shared" si="129"/>
        <v>0.9080000000000007</v>
      </c>
      <c r="G914">
        <f t="shared" ca="1" si="130"/>
        <v>-0.10557089997666623</v>
      </c>
      <c r="H914">
        <f t="shared" ca="1" si="132"/>
        <v>-0.1055764748229423</v>
      </c>
      <c r="I914">
        <f t="shared" ca="1" si="133"/>
        <v>9.5902855740993276E-3</v>
      </c>
      <c r="J914" s="5">
        <f t="shared" ca="1" si="134"/>
        <v>0.11516676039704163</v>
      </c>
    </row>
    <row r="915" spans="1:10" x14ac:dyDescent="0.2">
      <c r="A915">
        <f t="shared" ca="1" si="126"/>
        <v>0.38553563101714361</v>
      </c>
      <c r="B915">
        <f t="shared" ca="1" si="127"/>
        <v>-0.29097392485491674</v>
      </c>
      <c r="C915">
        <f t="shared" ca="1" si="131"/>
        <v>-38.755372747825582</v>
      </c>
      <c r="D915" s="22">
        <f t="shared" ca="1" si="128"/>
        <v>0.38240636782656745</v>
      </c>
      <c r="F915">
        <f t="shared" si="129"/>
        <v>0.9090000000000007</v>
      </c>
      <c r="G915">
        <f t="shared" ca="1" si="130"/>
        <v>-9.9281340256007392E-2</v>
      </c>
      <c r="H915">
        <f t="shared" ca="1" si="132"/>
        <v>-9.9286600064183536E-2</v>
      </c>
      <c r="I915">
        <f t="shared" ca="1" si="133"/>
        <v>9.6515158303894111E-3</v>
      </c>
      <c r="J915" s="5">
        <f t="shared" ca="1" si="134"/>
        <v>0.10893811589457295</v>
      </c>
    </row>
    <row r="916" spans="1:10" x14ac:dyDescent="0.2">
      <c r="A916">
        <f t="shared" ca="1" si="126"/>
        <v>2.3970654887867426E-2</v>
      </c>
      <c r="B916">
        <f t="shared" ca="1" si="127"/>
        <v>-1.9778882943780496</v>
      </c>
      <c r="C916">
        <f t="shared" ca="1" si="131"/>
        <v>-40.73326104220363</v>
      </c>
      <c r="D916" s="22">
        <f t="shared" ca="1" si="128"/>
        <v>5.6418419567310002E-2</v>
      </c>
      <c r="F916">
        <f t="shared" si="129"/>
        <v>0.9100000000000007</v>
      </c>
      <c r="G916">
        <f t="shared" ca="1" si="130"/>
        <v>-0.10018150745551525</v>
      </c>
      <c r="H916">
        <f t="shared" ca="1" si="132"/>
        <v>-0.10018681174643734</v>
      </c>
      <c r="I916">
        <f t="shared" ca="1" si="133"/>
        <v>9.6435552600593246E-3</v>
      </c>
      <c r="J916" s="5">
        <f t="shared" ca="1" si="134"/>
        <v>0.10983036700649666</v>
      </c>
    </row>
    <row r="917" spans="1:10" x14ac:dyDescent="0.2">
      <c r="A917">
        <f t="shared" ca="1" si="126"/>
        <v>0.72581999132051045</v>
      </c>
      <c r="B917">
        <f t="shared" ca="1" si="127"/>
        <v>0.60021941322150507</v>
      </c>
      <c r="C917">
        <f t="shared" ca="1" si="131"/>
        <v>-40.133041628982127</v>
      </c>
      <c r="D917" s="22">
        <f t="shared" ca="1" si="128"/>
        <v>0.33318072942907689</v>
      </c>
      <c r="F917">
        <f t="shared" si="129"/>
        <v>0.9110000000000007</v>
      </c>
      <c r="G917">
        <f t="shared" ca="1" si="130"/>
        <v>-0.10641580955469565</v>
      </c>
      <c r="H917">
        <f t="shared" ca="1" si="132"/>
        <v>-0.10642142503288295</v>
      </c>
      <c r="I917">
        <f t="shared" ca="1" si="133"/>
        <v>9.5843370771375429E-3</v>
      </c>
      <c r="J917" s="5">
        <f t="shared" ca="1" si="134"/>
        <v>0.11600576211002049</v>
      </c>
    </row>
    <row r="918" spans="1:10" x14ac:dyDescent="0.2">
      <c r="A918">
        <f t="shared" ca="1" si="126"/>
        <v>0.57961979396870289</v>
      </c>
      <c r="B918">
        <f t="shared" ca="1" si="127"/>
        <v>0.20092091668723308</v>
      </c>
      <c r="C918">
        <f t="shared" ca="1" si="131"/>
        <v>-39.932120712294896</v>
      </c>
      <c r="D918" s="22">
        <f t="shared" ca="1" si="128"/>
        <v>0.39097051127071131</v>
      </c>
      <c r="F918">
        <f t="shared" si="129"/>
        <v>0.9120000000000007</v>
      </c>
      <c r="G918">
        <f t="shared" ca="1" si="130"/>
        <v>-0.10449720346322305</v>
      </c>
      <c r="H918">
        <f t="shared" ca="1" si="132"/>
        <v>-0.10450272244874992</v>
      </c>
      <c r="I918">
        <f t="shared" ca="1" si="133"/>
        <v>9.6034582887608907E-3</v>
      </c>
      <c r="J918" s="5">
        <f t="shared" ca="1" si="134"/>
        <v>0.1141061807375108</v>
      </c>
    </row>
    <row r="919" spans="1:10" x14ac:dyDescent="0.2">
      <c r="A919">
        <f t="shared" ca="1" si="126"/>
        <v>0.10510035182992039</v>
      </c>
      <c r="B919">
        <f t="shared" ca="1" si="127"/>
        <v>-1.2530137473979748</v>
      </c>
      <c r="C919">
        <f t="shared" ca="1" si="131"/>
        <v>-41.185134459692868</v>
      </c>
      <c r="D919" s="22">
        <f t="shared" ca="1" si="128"/>
        <v>0.18196148070397852</v>
      </c>
      <c r="F919">
        <f t="shared" si="129"/>
        <v>0.9130000000000007</v>
      </c>
      <c r="G919">
        <f t="shared" ca="1" si="130"/>
        <v>-0.10384141880609077</v>
      </c>
      <c r="H919">
        <f t="shared" ca="1" si="132"/>
        <v>-0.10384690445020446</v>
      </c>
      <c r="I919">
        <f t="shared" ca="1" si="133"/>
        <v>9.6104749067996466E-3</v>
      </c>
      <c r="J919" s="5">
        <f t="shared" ca="1" si="134"/>
        <v>0.1134573793570041</v>
      </c>
    </row>
    <row r="920" spans="1:10" x14ac:dyDescent="0.2">
      <c r="A920">
        <f t="shared" ca="1" si="126"/>
        <v>0.48078720044936785</v>
      </c>
      <c r="B920">
        <f t="shared" ca="1" si="127"/>
        <v>-4.8177977892848493E-2</v>
      </c>
      <c r="C920">
        <f t="shared" ca="1" si="131"/>
        <v>-41.233312437585717</v>
      </c>
      <c r="D920" s="22">
        <f t="shared" ca="1" si="128"/>
        <v>0.39847955299953852</v>
      </c>
      <c r="F920">
        <f t="shared" si="129"/>
        <v>0.9140000000000007</v>
      </c>
      <c r="G920">
        <f t="shared" ca="1" si="130"/>
        <v>-0.1077832149540493</v>
      </c>
      <c r="H920">
        <f t="shared" ca="1" si="132"/>
        <v>-0.10778889714103992</v>
      </c>
      <c r="I920">
        <f t="shared" ca="1" si="133"/>
        <v>9.573379351013718E-3</v>
      </c>
      <c r="J920" s="5">
        <f t="shared" ca="1" si="134"/>
        <v>0.11736227649205364</v>
      </c>
    </row>
    <row r="921" spans="1:10" x14ac:dyDescent="0.2">
      <c r="A921">
        <f t="shared" ca="1" si="126"/>
        <v>0.76103922205715657</v>
      </c>
      <c r="B921">
        <f t="shared" ca="1" si="127"/>
        <v>0.70964943486169552</v>
      </c>
      <c r="C921">
        <f t="shared" ca="1" si="131"/>
        <v>-40.523663002724021</v>
      </c>
      <c r="D921" s="22">
        <f t="shared" ca="1" si="128"/>
        <v>0.31013744977321178</v>
      </c>
      <c r="F921">
        <f t="shared" si="129"/>
        <v>0.9150000000000007</v>
      </c>
      <c r="G921">
        <f t="shared" ca="1" si="130"/>
        <v>-0.10791478219734821</v>
      </c>
      <c r="H921">
        <f t="shared" ca="1" si="132"/>
        <v>-0.10792047039452846</v>
      </c>
      <c r="I921">
        <f t="shared" ca="1" si="133"/>
        <v>9.5728303129346513E-3</v>
      </c>
      <c r="J921" s="5">
        <f t="shared" ca="1" si="134"/>
        <v>0.11749330070746311</v>
      </c>
    </row>
    <row r="922" spans="1:10" x14ac:dyDescent="0.2">
      <c r="A922">
        <f t="shared" ca="1" si="126"/>
        <v>0.39837665226541885</v>
      </c>
      <c r="B922">
        <f t="shared" ca="1" si="127"/>
        <v>-0.25755118898853419</v>
      </c>
      <c r="C922">
        <f t="shared" ca="1" si="131"/>
        <v>-40.781214191712557</v>
      </c>
      <c r="D922" s="22">
        <f t="shared" ca="1" si="128"/>
        <v>0.38592785131506974</v>
      </c>
      <c r="F922">
        <f t="shared" si="129"/>
        <v>0.9160000000000007</v>
      </c>
      <c r="G922">
        <f t="shared" ca="1" si="130"/>
        <v>-0.10564999540500618</v>
      </c>
      <c r="H922">
        <f t="shared" ca="1" si="132"/>
        <v>-0.10565556979307475</v>
      </c>
      <c r="I922">
        <f t="shared" ca="1" si="133"/>
        <v>9.5952484111706884E-3</v>
      </c>
      <c r="J922" s="5">
        <f t="shared" ca="1" si="134"/>
        <v>0.11525081820424543</v>
      </c>
    </row>
    <row r="923" spans="1:10" x14ac:dyDescent="0.2">
      <c r="A923">
        <f t="shared" ca="1" si="126"/>
        <v>0.40621218918670587</v>
      </c>
      <c r="B923">
        <f t="shared" ca="1" si="127"/>
        <v>-0.23729959229374795</v>
      </c>
      <c r="C923">
        <f t="shared" ca="1" si="131"/>
        <v>-41.018513784006302</v>
      </c>
      <c r="D923" s="22">
        <f t="shared" ca="1" si="128"/>
        <v>0.38786649583980543</v>
      </c>
      <c r="F923">
        <f t="shared" si="129"/>
        <v>0.9170000000000007</v>
      </c>
      <c r="G923">
        <f t="shared" ca="1" si="130"/>
        <v>-0.10644383908424776</v>
      </c>
      <c r="H923">
        <f t="shared" ca="1" si="132"/>
        <v>-0.10644945260738368</v>
      </c>
      <c r="I923">
        <f t="shared" ca="1" si="133"/>
        <v>9.58834760801262E-3</v>
      </c>
      <c r="J923" s="5">
        <f t="shared" ca="1" si="134"/>
        <v>0.11603780021539631</v>
      </c>
    </row>
    <row r="924" spans="1:10" x14ac:dyDescent="0.2">
      <c r="A924">
        <f t="shared" ca="1" si="126"/>
        <v>7.5440729360634506E-2</v>
      </c>
      <c r="B924">
        <f t="shared" ca="1" si="127"/>
        <v>-1.4364249467348771</v>
      </c>
      <c r="C924">
        <f t="shared" ca="1" si="131"/>
        <v>-42.454938730741176</v>
      </c>
      <c r="D924" s="22">
        <f t="shared" ca="1" si="128"/>
        <v>0.14218918106872705</v>
      </c>
      <c r="F924">
        <f t="shared" si="129"/>
        <v>0.9180000000000007</v>
      </c>
      <c r="G924">
        <f t="shared" ca="1" si="130"/>
        <v>-0.10717356541320501</v>
      </c>
      <c r="H924">
        <f t="shared" ca="1" si="132"/>
        <v>-0.10717921486160052</v>
      </c>
      <c r="I924">
        <f t="shared" ca="1" si="133"/>
        <v>9.582065394887972E-3</v>
      </c>
      <c r="J924" s="5">
        <f t="shared" ca="1" si="134"/>
        <v>0.11676128025648849</v>
      </c>
    </row>
    <row r="925" spans="1:10" x14ac:dyDescent="0.2">
      <c r="A925">
        <f t="shared" ca="1" si="126"/>
        <v>1.8675653329741748E-2</v>
      </c>
      <c r="B925">
        <f t="shared" ca="1" si="127"/>
        <v>-2.0819032632866477</v>
      </c>
      <c r="C925">
        <f t="shared" ca="1" si="131"/>
        <v>-44.536841994027824</v>
      </c>
      <c r="D925" s="22">
        <f t="shared" ca="1" si="128"/>
        <v>4.5679798167381776E-2</v>
      </c>
      <c r="F925">
        <f t="shared" si="129"/>
        <v>0.91900000000000071</v>
      </c>
      <c r="G925">
        <f t="shared" ca="1" si="130"/>
        <v>-0.11169499650280214</v>
      </c>
      <c r="H925">
        <f t="shared" ca="1" si="132"/>
        <v>-0.11170087145968262</v>
      </c>
      <c r="I925">
        <f t="shared" ca="1" si="133"/>
        <v>9.5395449835875418E-3</v>
      </c>
      <c r="J925" s="5">
        <f t="shared" ca="1" si="134"/>
        <v>0.12124041644327016</v>
      </c>
    </row>
    <row r="926" spans="1:10" x14ac:dyDescent="0.2">
      <c r="A926">
        <f t="shared" ca="1" si="126"/>
        <v>0.76327235201128962</v>
      </c>
      <c r="B926">
        <f t="shared" ca="1" si="127"/>
        <v>0.71686840940786711</v>
      </c>
      <c r="C926">
        <f t="shared" ca="1" si="131"/>
        <v>-43.819973584619959</v>
      </c>
      <c r="D926" s="22">
        <f t="shared" ca="1" si="128"/>
        <v>0.30854465682633531</v>
      </c>
      <c r="F926">
        <f t="shared" si="129"/>
        <v>0.92000000000000071</v>
      </c>
      <c r="G926">
        <f t="shared" ca="1" si="130"/>
        <v>-0.11825705507762072</v>
      </c>
      <c r="H926">
        <f t="shared" ca="1" si="132"/>
        <v>-0.11826325755265966</v>
      </c>
      <c r="I926">
        <f t="shared" ca="1" si="133"/>
        <v>9.4778474903165731E-3</v>
      </c>
      <c r="J926" s="5">
        <f t="shared" ca="1" si="134"/>
        <v>0.12774110504297623</v>
      </c>
    </row>
    <row r="927" spans="1:10" x14ac:dyDescent="0.2">
      <c r="A927">
        <f t="shared" ca="1" si="126"/>
        <v>0.92613197855595786</v>
      </c>
      <c r="B927">
        <f t="shared" ca="1" si="127"/>
        <v>1.4475746577363622</v>
      </c>
      <c r="C927">
        <f t="shared" ca="1" si="131"/>
        <v>-42.372398926883598</v>
      </c>
      <c r="D927" s="22">
        <f t="shared" ca="1" si="128"/>
        <v>0.13992136005795172</v>
      </c>
      <c r="F927">
        <f t="shared" si="129"/>
        <v>0.92100000000000071</v>
      </c>
      <c r="G927">
        <f t="shared" ca="1" si="130"/>
        <v>-0.11596840684913616</v>
      </c>
      <c r="H927">
        <f t="shared" ca="1" si="132"/>
        <v>-0.11597449427055345</v>
      </c>
      <c r="I927">
        <f t="shared" ca="1" si="133"/>
        <v>9.5002600266500502E-3</v>
      </c>
      <c r="J927" s="5">
        <f t="shared" ca="1" si="134"/>
        <v>0.12547475429720351</v>
      </c>
    </row>
    <row r="928" spans="1:10" x14ac:dyDescent="0.2">
      <c r="A928">
        <f t="shared" ca="1" si="126"/>
        <v>0.12121025130350782</v>
      </c>
      <c r="B928">
        <f t="shared" ca="1" si="127"/>
        <v>-1.168958126319648</v>
      </c>
      <c r="C928">
        <f t="shared" ca="1" si="131"/>
        <v>-43.541357053203242</v>
      </c>
      <c r="D928" s="22">
        <f t="shared" ca="1" si="128"/>
        <v>0.20145886069022229</v>
      </c>
      <c r="F928">
        <f t="shared" si="129"/>
        <v>0.92200000000000071</v>
      </c>
      <c r="G928">
        <f t="shared" ca="1" si="130"/>
        <v>-0.11136940695878546</v>
      </c>
      <c r="H928">
        <f t="shared" ca="1" si="132"/>
        <v>-0.11137526381954081</v>
      </c>
      <c r="I928">
        <f t="shared" ca="1" si="133"/>
        <v>9.5447551288587625E-3</v>
      </c>
      <c r="J928" s="5">
        <f t="shared" ca="1" si="134"/>
        <v>0.12092001894839957</v>
      </c>
    </row>
    <row r="929" spans="1:10" x14ac:dyDescent="0.2">
      <c r="A929">
        <f t="shared" ca="1" si="126"/>
        <v>0.50895241604865593</v>
      </c>
      <c r="B929">
        <f t="shared" ca="1" si="127"/>
        <v>2.2442262911777585E-2</v>
      </c>
      <c r="C929">
        <f t="shared" ca="1" si="131"/>
        <v>-43.518914790291461</v>
      </c>
      <c r="D929" s="22">
        <f t="shared" ca="1" si="128"/>
        <v>0.39884182838030741</v>
      </c>
      <c r="F929">
        <f t="shared" si="129"/>
        <v>0.92300000000000071</v>
      </c>
      <c r="G929">
        <f t="shared" ca="1" si="130"/>
        <v>-0.11504465642262672</v>
      </c>
      <c r="H929">
        <f t="shared" ca="1" si="132"/>
        <v>-0.11505069646169176</v>
      </c>
      <c r="I929">
        <f t="shared" ca="1" si="133"/>
        <v>9.5104408532481546E-3</v>
      </c>
      <c r="J929" s="5">
        <f t="shared" ca="1" si="134"/>
        <v>0.12456113731493992</v>
      </c>
    </row>
    <row r="930" spans="1:10" x14ac:dyDescent="0.2">
      <c r="A930">
        <f t="shared" ca="1" si="126"/>
        <v>0.85218994937487136</v>
      </c>
      <c r="B930">
        <f t="shared" ca="1" si="127"/>
        <v>1.0458720696044472</v>
      </c>
      <c r="C930">
        <f t="shared" ca="1" si="131"/>
        <v>-42.473042720687012</v>
      </c>
      <c r="D930" s="22">
        <f t="shared" ca="1" si="128"/>
        <v>0.23087872041176549</v>
      </c>
      <c r="F930">
        <f t="shared" si="129"/>
        <v>0.92400000000000071</v>
      </c>
      <c r="G930">
        <f t="shared" ca="1" si="130"/>
        <v>-0.11495218791380786</v>
      </c>
      <c r="H930">
        <f t="shared" ca="1" si="132"/>
        <v>-0.11495822272539605</v>
      </c>
      <c r="I930">
        <f t="shared" ca="1" si="133"/>
        <v>9.5120194194284555E-3</v>
      </c>
      <c r="J930" s="5">
        <f t="shared" ca="1" si="134"/>
        <v>0.12447024214482451</v>
      </c>
    </row>
    <row r="931" spans="1:10" x14ac:dyDescent="0.2">
      <c r="A931">
        <f t="shared" ca="1" si="126"/>
        <v>0.54357838493836708</v>
      </c>
      <c r="B931">
        <f t="shared" ca="1" si="127"/>
        <v>0.10945295986578032</v>
      </c>
      <c r="C931">
        <f t="shared" ca="1" si="131"/>
        <v>-42.363589760821235</v>
      </c>
      <c r="D931" s="22">
        <f t="shared" ca="1" si="128"/>
        <v>0.3965597687474739</v>
      </c>
      <c r="F931">
        <f t="shared" si="129"/>
        <v>0.92500000000000071</v>
      </c>
      <c r="G931">
        <f t="shared" ca="1" si="130"/>
        <v>-0.11162352124864144</v>
      </c>
      <c r="H931">
        <f t="shared" ca="1" si="132"/>
        <v>-0.1116293890220193</v>
      </c>
      <c r="I931">
        <f t="shared" ca="1" si="133"/>
        <v>9.5444376410241515E-3</v>
      </c>
      <c r="J931" s="5">
        <f t="shared" ca="1" si="134"/>
        <v>0.12117382666304345</v>
      </c>
    </row>
    <row r="932" spans="1:10" x14ac:dyDescent="0.2">
      <c r="A932">
        <f t="shared" ca="1" si="126"/>
        <v>0.89543232831099406</v>
      </c>
      <c r="B932">
        <f t="shared" ca="1" si="127"/>
        <v>1.2559465673889509</v>
      </c>
      <c r="C932">
        <f t="shared" ca="1" si="131"/>
        <v>-41.107643193432281</v>
      </c>
      <c r="D932" s="22">
        <f t="shared" ca="1" si="128"/>
        <v>0.18129324451594622</v>
      </c>
      <c r="F932">
        <f t="shared" si="129"/>
        <v>0.92600000000000071</v>
      </c>
      <c r="G932">
        <f t="shared" ca="1" si="130"/>
        <v>-0.11125625661008751</v>
      </c>
      <c r="H932">
        <f t="shared" ca="1" si="132"/>
        <v>-0.11126210543329423</v>
      </c>
      <c r="I932">
        <f t="shared" ca="1" si="133"/>
        <v>9.5486488183088962E-3</v>
      </c>
      <c r="J932" s="5">
        <f t="shared" ca="1" si="134"/>
        <v>0.12081075425160313</v>
      </c>
    </row>
    <row r="933" spans="1:10" x14ac:dyDescent="0.2">
      <c r="A933">
        <f t="shared" ca="1" si="126"/>
        <v>0.78588906970049155</v>
      </c>
      <c r="B933">
        <f t="shared" ca="1" si="127"/>
        <v>0.79223809370740028</v>
      </c>
      <c r="C933">
        <f t="shared" ca="1" si="131"/>
        <v>-40.315405099724885</v>
      </c>
      <c r="D933" s="22">
        <f t="shared" ca="1" si="128"/>
        <v>0.29148721550613776</v>
      </c>
      <c r="F933">
        <f t="shared" si="129"/>
        <v>0.92700000000000071</v>
      </c>
      <c r="G933">
        <f t="shared" ca="1" si="130"/>
        <v>-0.10726367884256804</v>
      </c>
      <c r="H933">
        <f t="shared" ca="1" si="132"/>
        <v>-0.10726932745033166</v>
      </c>
      <c r="I933">
        <f t="shared" ca="1" si="133"/>
        <v>9.5875589112257784E-3</v>
      </c>
      <c r="J933" s="5">
        <f t="shared" ca="1" si="134"/>
        <v>0.11685688636155744</v>
      </c>
    </row>
    <row r="934" spans="1:10" x14ac:dyDescent="0.2">
      <c r="A934">
        <f t="shared" ca="1" si="126"/>
        <v>5.913971303435972E-2</v>
      </c>
      <c r="B934">
        <f t="shared" ca="1" si="127"/>
        <v>-1.5620363490419855</v>
      </c>
      <c r="C934">
        <f t="shared" ca="1" si="131"/>
        <v>-41.877441448766874</v>
      </c>
      <c r="D934" s="22">
        <f t="shared" ca="1" si="128"/>
        <v>0.11778229560130989</v>
      </c>
      <c r="F934">
        <f t="shared" si="129"/>
        <v>0.92800000000000071</v>
      </c>
      <c r="G934">
        <f t="shared" ca="1" si="130"/>
        <v>-0.10473780194432451</v>
      </c>
      <c r="H934">
        <f t="shared" ca="1" si="132"/>
        <v>-0.10474332369232132</v>
      </c>
      <c r="I934">
        <f t="shared" ca="1" si="133"/>
        <v>9.6125216594359977E-3</v>
      </c>
      <c r="J934" s="5">
        <f t="shared" ca="1" si="134"/>
        <v>0.11435584535175733</v>
      </c>
    </row>
    <row r="935" spans="1:10" x14ac:dyDescent="0.2">
      <c r="A935">
        <f t="shared" ca="1" si="126"/>
        <v>0.3978177340589133</v>
      </c>
      <c r="B935">
        <f t="shared" ca="1" si="127"/>
        <v>-0.25899970498324371</v>
      </c>
      <c r="C935">
        <f t="shared" ca="1" si="131"/>
        <v>-42.13644115375012</v>
      </c>
      <c r="D935" s="22">
        <f t="shared" ca="1" si="128"/>
        <v>0.38578349649069632</v>
      </c>
      <c r="F935">
        <f t="shared" si="129"/>
        <v>0.92900000000000071</v>
      </c>
      <c r="G935">
        <f t="shared" ca="1" si="130"/>
        <v>-0.10965667486938924</v>
      </c>
      <c r="H935">
        <f t="shared" ca="1" si="132"/>
        <v>-0.10966244201089853</v>
      </c>
      <c r="I935">
        <f t="shared" ca="1" si="133"/>
        <v>9.5660655290223419E-3</v>
      </c>
      <c r="J935" s="5">
        <f t="shared" ca="1" si="134"/>
        <v>0.11922850753992087</v>
      </c>
    </row>
    <row r="936" spans="1:10" x14ac:dyDescent="0.2">
      <c r="A936">
        <f t="shared" ca="1" si="126"/>
        <v>0.58514343329967233</v>
      </c>
      <c r="B936">
        <f t="shared" ca="1" si="127"/>
        <v>0.21506949941779782</v>
      </c>
      <c r="C936">
        <f t="shared" ca="1" si="131"/>
        <v>-41.921371654332319</v>
      </c>
      <c r="D936" s="22">
        <f t="shared" ca="1" si="128"/>
        <v>0.3898216399243663</v>
      </c>
      <c r="F936">
        <f t="shared" si="129"/>
        <v>0.93000000000000071</v>
      </c>
      <c r="G936">
        <f t="shared" ca="1" si="130"/>
        <v>-0.11045469828146663</v>
      </c>
      <c r="H936">
        <f t="shared" ca="1" si="132"/>
        <v>-0.11046050474775615</v>
      </c>
      <c r="I936">
        <f t="shared" ca="1" si="133"/>
        <v>9.5591419270913049E-3</v>
      </c>
      <c r="J936" s="5">
        <f t="shared" ca="1" si="134"/>
        <v>0.12001964667484745</v>
      </c>
    </row>
    <row r="937" spans="1:10" x14ac:dyDescent="0.2">
      <c r="A937">
        <f t="shared" ca="1" si="126"/>
        <v>0.12121010244572916</v>
      </c>
      <c r="B937">
        <f t="shared" ca="1" si="127"/>
        <v>-1.1689588652191056</v>
      </c>
      <c r="C937">
        <f t="shared" ca="1" si="131"/>
        <v>-43.090330519551422</v>
      </c>
      <c r="D937" s="22">
        <f t="shared" ca="1" si="128"/>
        <v>0.20145868668165734</v>
      </c>
      <c r="F937">
        <f t="shared" si="129"/>
        <v>0.93100000000000072</v>
      </c>
      <c r="G937">
        <f t="shared" ca="1" si="130"/>
        <v>-0.10975357839454125</v>
      </c>
      <c r="H937">
        <f t="shared" ca="1" si="132"/>
        <v>-0.10975934922388887</v>
      </c>
      <c r="I937">
        <f t="shared" ca="1" si="133"/>
        <v>9.5665541808394421E-3</v>
      </c>
      <c r="J937" s="5">
        <f t="shared" ca="1" si="134"/>
        <v>0.11932590340472832</v>
      </c>
    </row>
    <row r="938" spans="1:10" x14ac:dyDescent="0.2">
      <c r="A938">
        <f t="shared" ca="1" si="126"/>
        <v>0.24364256231132586</v>
      </c>
      <c r="B938">
        <f t="shared" ca="1" si="127"/>
        <v>-0.69463332123211063</v>
      </c>
      <c r="C938">
        <f t="shared" ca="1" si="131"/>
        <v>-43.784963840783533</v>
      </c>
      <c r="D938" s="22">
        <f t="shared" ca="1" si="128"/>
        <v>0.31342466253310192</v>
      </c>
      <c r="F938">
        <f t="shared" si="129"/>
        <v>0.93200000000000072</v>
      </c>
      <c r="G938">
        <f t="shared" ca="1" si="130"/>
        <v>-0.11342899176964849</v>
      </c>
      <c r="H938">
        <f t="shared" ca="1" si="132"/>
        <v>-0.11343494579410465</v>
      </c>
      <c r="I938">
        <f t="shared" ca="1" si="133"/>
        <v>9.5321615133521463E-3</v>
      </c>
      <c r="J938" s="5">
        <f t="shared" ca="1" si="134"/>
        <v>0.1229671073074568</v>
      </c>
    </row>
    <row r="939" spans="1:10" x14ac:dyDescent="0.2">
      <c r="A939">
        <f t="shared" ca="1" si="126"/>
        <v>0.88755137883723434</v>
      </c>
      <c r="B939">
        <f t="shared" ca="1" si="127"/>
        <v>1.2136085453474408</v>
      </c>
      <c r="C939">
        <f t="shared" ca="1" si="131"/>
        <v>-42.571355295436092</v>
      </c>
      <c r="D939" s="22">
        <f t="shared" ca="1" si="128"/>
        <v>0.19102301059456928</v>
      </c>
      <c r="F939">
        <f t="shared" si="129"/>
        <v>0.93300000000000072</v>
      </c>
      <c r="G939">
        <f t="shared" ca="1" si="130"/>
        <v>-0.11560416354472619</v>
      </c>
      <c r="H939">
        <f t="shared" ca="1" si="132"/>
        <v>-0.11561022573326611</v>
      </c>
      <c r="I939">
        <f t="shared" ca="1" si="133"/>
        <v>9.5121495355280344E-3</v>
      </c>
      <c r="J939" s="5">
        <f t="shared" ca="1" si="134"/>
        <v>0.12512237526879413</v>
      </c>
    </row>
    <row r="940" spans="1:10" x14ac:dyDescent="0.2">
      <c r="A940">
        <f t="shared" ca="1" si="126"/>
        <v>0.3585876257020697</v>
      </c>
      <c r="B940">
        <f t="shared" ca="1" si="127"/>
        <v>-0.36223657298278716</v>
      </c>
      <c r="C940">
        <f t="shared" ca="1" si="131"/>
        <v>-42.93359186841888</v>
      </c>
      <c r="D940" s="22">
        <f t="shared" ca="1" si="128"/>
        <v>0.37360873188857047</v>
      </c>
      <c r="F940">
        <f t="shared" si="129"/>
        <v>0.93400000000000072</v>
      </c>
      <c r="G940">
        <f t="shared" ca="1" si="130"/>
        <v>-0.11174502889557951</v>
      </c>
      <c r="H940">
        <f t="shared" ca="1" si="132"/>
        <v>-0.11175089751955114</v>
      </c>
      <c r="I940">
        <f t="shared" ca="1" si="133"/>
        <v>9.5496322622464994E-3</v>
      </c>
      <c r="J940" s="5">
        <f t="shared" ca="1" si="134"/>
        <v>0.12130052978179764</v>
      </c>
    </row>
    <row r="941" spans="1:10" x14ac:dyDescent="0.2">
      <c r="A941">
        <f t="shared" ca="1" si="126"/>
        <v>0.48181711967207341</v>
      </c>
      <c r="B941">
        <f t="shared" ca="1" si="127"/>
        <v>-4.5593513412859103E-2</v>
      </c>
      <c r="C941">
        <f t="shared" ca="1" si="131"/>
        <v>-42.979185381831741</v>
      </c>
      <c r="D941" s="22">
        <f t="shared" ca="1" si="128"/>
        <v>0.39852784150337889</v>
      </c>
      <c r="F941">
        <f t="shared" si="129"/>
        <v>0.93500000000000072</v>
      </c>
      <c r="G941">
        <f t="shared" ca="1" si="130"/>
        <v>-0.11286929080157444</v>
      </c>
      <c r="H941">
        <f t="shared" ca="1" si="132"/>
        <v>-0.1128752150522386</v>
      </c>
      <c r="I941">
        <f t="shared" ca="1" si="133"/>
        <v>9.5396057113389318E-3</v>
      </c>
      <c r="J941" s="5">
        <f t="shared" ca="1" si="134"/>
        <v>0.12241482076357754</v>
      </c>
    </row>
    <row r="942" spans="1:10" x14ac:dyDescent="0.2">
      <c r="A942">
        <f t="shared" ca="1" si="126"/>
        <v>8.3666626551669565E-2</v>
      </c>
      <c r="B942">
        <f t="shared" ca="1" si="127"/>
        <v>-1.3808234445449716</v>
      </c>
      <c r="C942">
        <f t="shared" ca="1" si="131"/>
        <v>-44.360008826376713</v>
      </c>
      <c r="D942" s="22">
        <f t="shared" ca="1" si="128"/>
        <v>0.15377339431759141</v>
      </c>
      <c r="F942">
        <f t="shared" si="129"/>
        <v>0.93600000000000072</v>
      </c>
      <c r="G942">
        <f t="shared" ca="1" si="130"/>
        <v>-0.11299217707705225</v>
      </c>
      <c r="H942">
        <f t="shared" ca="1" si="132"/>
        <v>-0.11299810687964745</v>
      </c>
      <c r="I942">
        <f t="shared" ca="1" si="133"/>
        <v>9.5391365712772479E-3</v>
      </c>
      <c r="J942" s="5">
        <f t="shared" ca="1" si="134"/>
        <v>0.1225372434509247</v>
      </c>
    </row>
    <row r="943" spans="1:10" x14ac:dyDescent="0.2">
      <c r="A943">
        <f t="shared" ca="1" si="126"/>
        <v>0.97197250665081014</v>
      </c>
      <c r="B943">
        <f t="shared" ca="1" si="127"/>
        <v>1.9106079130906723</v>
      </c>
      <c r="C943">
        <f t="shared" ca="1" si="131"/>
        <v>-42.449400913286041</v>
      </c>
      <c r="D943" s="22">
        <f t="shared" ca="1" si="128"/>
        <v>6.4302946020310808E-2</v>
      </c>
      <c r="F943">
        <f t="shared" si="129"/>
        <v>0.93700000000000072</v>
      </c>
      <c r="G943">
        <f t="shared" ca="1" si="130"/>
        <v>-0.11733720773733126</v>
      </c>
      <c r="H943">
        <f t="shared" ca="1" si="132"/>
        <v>-0.1173433542002808</v>
      </c>
      <c r="I943">
        <f t="shared" ca="1" si="133"/>
        <v>9.4984766021320617E-3</v>
      </c>
      <c r="J943" s="5">
        <f t="shared" ca="1" si="134"/>
        <v>0.12684183080241287</v>
      </c>
    </row>
    <row r="944" spans="1:10" x14ac:dyDescent="0.2">
      <c r="A944">
        <f t="shared" ca="1" si="126"/>
        <v>0.64935262283578021</v>
      </c>
      <c r="B944">
        <f t="shared" ca="1" si="127"/>
        <v>0.38357327056379747</v>
      </c>
      <c r="C944">
        <f t="shared" ca="1" si="131"/>
        <v>-42.06582764272224</v>
      </c>
      <c r="D944" s="22">
        <f t="shared" ca="1" si="128"/>
        <v>0.37064788645936564</v>
      </c>
      <c r="F944">
        <f t="shared" si="129"/>
        <v>0.93800000000000072</v>
      </c>
      <c r="G944">
        <f t="shared" ca="1" si="130"/>
        <v>-0.11127390446334914</v>
      </c>
      <c r="H944">
        <f t="shared" ca="1" si="132"/>
        <v>-0.11127974714395321</v>
      </c>
      <c r="I944">
        <f t="shared" ca="1" si="133"/>
        <v>9.556946772574201E-3</v>
      </c>
      <c r="J944" s="5">
        <f t="shared" ca="1" si="134"/>
        <v>0.1208366939165274</v>
      </c>
    </row>
    <row r="945" spans="1:10" x14ac:dyDescent="0.2">
      <c r="A945">
        <f t="shared" ca="1" si="126"/>
        <v>0.6609364810571996</v>
      </c>
      <c r="B945">
        <f t="shared" ca="1" si="127"/>
        <v>0.41502030634781695</v>
      </c>
      <c r="C945">
        <f t="shared" ca="1" si="131"/>
        <v>-41.65080733637442</v>
      </c>
      <c r="D945" s="22">
        <f t="shared" ca="1" si="128"/>
        <v>0.36602287023753871</v>
      </c>
      <c r="F945">
        <f t="shared" si="129"/>
        <v>0.93900000000000072</v>
      </c>
      <c r="G945">
        <f t="shared" ca="1" si="130"/>
        <v>-0.11003987359042783</v>
      </c>
      <c r="H945">
        <f t="shared" ca="1" si="132"/>
        <v>-0.11004565398469719</v>
      </c>
      <c r="I945">
        <f t="shared" ca="1" si="133"/>
        <v>9.5694551046714531E-3</v>
      </c>
      <c r="J945" s="5">
        <f t="shared" ca="1" si="134"/>
        <v>0.11961510908936865</v>
      </c>
    </row>
    <row r="946" spans="1:10" x14ac:dyDescent="0.2">
      <c r="A946">
        <f t="shared" ca="1" si="126"/>
        <v>0.97732828428295426</v>
      </c>
      <c r="B946">
        <f t="shared" ca="1" si="127"/>
        <v>2.0014545094545126</v>
      </c>
      <c r="C946">
        <f t="shared" ca="1" si="131"/>
        <v>-39.649352826919909</v>
      </c>
      <c r="D946" s="22">
        <f t="shared" ca="1" si="128"/>
        <v>5.383407705000598E-2</v>
      </c>
      <c r="F946">
        <f t="shared" si="129"/>
        <v>0.94000000000000072</v>
      </c>
      <c r="G946">
        <f t="shared" ca="1" si="130"/>
        <v>-0.10870652682769132</v>
      </c>
      <c r="H946">
        <f t="shared" ca="1" si="132"/>
        <v>-0.10871223997601878</v>
      </c>
      <c r="I946">
        <f t="shared" ca="1" si="133"/>
        <v>9.5829327281954143E-3</v>
      </c>
      <c r="J946" s="5">
        <f t="shared" ca="1" si="134"/>
        <v>0.11829517270421419</v>
      </c>
    </row>
    <row r="947" spans="1:10" x14ac:dyDescent="0.2">
      <c r="A947">
        <f t="shared" ca="1" si="126"/>
        <v>0.36344556595000488</v>
      </c>
      <c r="B947">
        <f t="shared" ca="1" si="127"/>
        <v>-0.34926398752962234</v>
      </c>
      <c r="C947">
        <f t="shared" ca="1" si="131"/>
        <v>-39.998616814449534</v>
      </c>
      <c r="D947" s="22">
        <f t="shared" ca="1" si="128"/>
        <v>0.37533692125692214</v>
      </c>
      <c r="F947">
        <f t="shared" si="129"/>
        <v>0.94100000000000072</v>
      </c>
      <c r="G947">
        <f t="shared" ca="1" si="130"/>
        <v>-0.10235681877997412</v>
      </c>
      <c r="H947">
        <f t="shared" ca="1" si="132"/>
        <v>-0.10236221386892991</v>
      </c>
      <c r="I947">
        <f t="shared" ca="1" si="133"/>
        <v>9.6446931390952208E-3</v>
      </c>
      <c r="J947" s="5">
        <f t="shared" ca="1" si="134"/>
        <v>0.11200690700802513</v>
      </c>
    </row>
    <row r="948" spans="1:10" x14ac:dyDescent="0.2">
      <c r="A948">
        <f t="shared" ca="1" si="126"/>
        <v>0.98850622955870127</v>
      </c>
      <c r="B948">
        <f t="shared" ca="1" si="127"/>
        <v>2.2736416536531046</v>
      </c>
      <c r="C948">
        <f t="shared" ca="1" si="131"/>
        <v>-37.724975160796433</v>
      </c>
      <c r="D948" s="22">
        <f t="shared" ca="1" si="128"/>
        <v>3.008701132445022E-2</v>
      </c>
      <c r="F948">
        <f t="shared" si="129"/>
        <v>0.94200000000000073</v>
      </c>
      <c r="G948">
        <f t="shared" ca="1" si="130"/>
        <v>-0.10344099859392836</v>
      </c>
      <c r="H948">
        <f t="shared" ca="1" si="132"/>
        <v>-0.10344644735280928</v>
      </c>
      <c r="I948">
        <f t="shared" ca="1" si="133"/>
        <v>9.6349620260129994E-3</v>
      </c>
      <c r="J948" s="5">
        <f t="shared" ca="1" si="134"/>
        <v>0.11308140937882227</v>
      </c>
    </row>
    <row r="949" spans="1:10" x14ac:dyDescent="0.2">
      <c r="A949">
        <f t="shared" ca="1" si="126"/>
        <v>0.91992481792607861</v>
      </c>
      <c r="B949">
        <f t="shared" ca="1" si="127"/>
        <v>1.4045660293562279</v>
      </c>
      <c r="C949">
        <f t="shared" ca="1" si="131"/>
        <v>-36.320409131440208</v>
      </c>
      <c r="D949" s="22">
        <f t="shared" ca="1" si="128"/>
        <v>0.14877184344988109</v>
      </c>
      <c r="F949">
        <f t="shared" si="129"/>
        <v>0.94300000000000073</v>
      </c>
      <c r="G949">
        <f t="shared" ca="1" si="130"/>
        <v>-9.6231128781996703E-2</v>
      </c>
      <c r="H949">
        <f t="shared" ca="1" si="132"/>
        <v>-9.6236216499498484E-2</v>
      </c>
      <c r="I949">
        <f t="shared" ca="1" si="133"/>
        <v>9.7054079115824563E-3</v>
      </c>
      <c r="J949" s="5">
        <f t="shared" ca="1" si="134"/>
        <v>0.10594162441108095</v>
      </c>
    </row>
    <row r="950" spans="1:10" x14ac:dyDescent="0.2">
      <c r="A950">
        <f t="shared" ca="1" si="126"/>
        <v>0.28657717359862778</v>
      </c>
      <c r="B950">
        <f t="shared" ca="1" si="127"/>
        <v>-0.56341203016935903</v>
      </c>
      <c r="C950">
        <f t="shared" ca="1" si="131"/>
        <v>-36.883821161609568</v>
      </c>
      <c r="D950" s="22">
        <f t="shared" ca="1" si="128"/>
        <v>0.34039278060391942</v>
      </c>
      <c r="F950">
        <f t="shared" si="129"/>
        <v>0.94400000000000073</v>
      </c>
      <c r="G950">
        <f t="shared" ca="1" si="130"/>
        <v>-9.1770100945512703E-2</v>
      </c>
      <c r="H950">
        <f t="shared" ca="1" si="132"/>
        <v>-9.177496510098393E-2</v>
      </c>
      <c r="I950">
        <f t="shared" ca="1" si="133"/>
        <v>9.7495377593602422E-3</v>
      </c>
      <c r="J950" s="5">
        <f t="shared" ca="1" si="134"/>
        <v>0.10152450286034417</v>
      </c>
    </row>
    <row r="951" spans="1:10" x14ac:dyDescent="0.2">
      <c r="A951">
        <f t="shared" ca="1" si="126"/>
        <v>0.84900196206595968</v>
      </c>
      <c r="B951">
        <f t="shared" ca="1" si="127"/>
        <v>1.0321623359803349</v>
      </c>
      <c r="C951">
        <f t="shared" ca="1" si="131"/>
        <v>-35.851658825629229</v>
      </c>
      <c r="D951" s="22">
        <f t="shared" ca="1" si="128"/>
        <v>0.23419104218658088</v>
      </c>
      <c r="F951">
        <f t="shared" si="129"/>
        <v>0.94500000000000073</v>
      </c>
      <c r="G951">
        <f t="shared" ca="1" si="130"/>
        <v>-9.3532501091159195E-2</v>
      </c>
      <c r="H951">
        <f t="shared" ca="1" si="132"/>
        <v>-9.3537452880948516E-2</v>
      </c>
      <c r="I951">
        <f t="shared" ca="1" si="133"/>
        <v>9.7331074127025869E-3</v>
      </c>
      <c r="J951" s="5">
        <f t="shared" ca="1" si="134"/>
        <v>0.1032705602936511</v>
      </c>
    </row>
    <row r="952" spans="1:10" x14ac:dyDescent="0.2">
      <c r="A952">
        <f t="shared" ca="1" si="126"/>
        <v>0.65963823905595498</v>
      </c>
      <c r="B952">
        <f t="shared" ca="1" si="127"/>
        <v>0.41147601927550193</v>
      </c>
      <c r="C952">
        <f t="shared" ca="1" si="131"/>
        <v>-35.440182806353725</v>
      </c>
      <c r="D952" s="22">
        <f t="shared" ca="1" si="128"/>
        <v>0.3665593657978175</v>
      </c>
      <c r="F952">
        <f t="shared" si="129"/>
        <v>0.94600000000000073</v>
      </c>
      <c r="G952">
        <f t="shared" ca="1" si="130"/>
        <v>-9.0249328104337681E-2</v>
      </c>
      <c r="H952">
        <f t="shared" ca="1" si="132"/>
        <v>-9.02541152389226E-2</v>
      </c>
      <c r="I952">
        <f t="shared" ca="1" si="133"/>
        <v>9.765855733517223E-3</v>
      </c>
      <c r="J952" s="5">
        <f t="shared" ca="1" si="134"/>
        <v>0.10001997097243982</v>
      </c>
    </row>
    <row r="953" spans="1:10" x14ac:dyDescent="0.2">
      <c r="A953">
        <f t="shared" ca="1" si="126"/>
        <v>0.68055622667151983</v>
      </c>
      <c r="B953">
        <f t="shared" ca="1" si="127"/>
        <v>0.46925476184546772</v>
      </c>
      <c r="C953">
        <f t="shared" ca="1" si="131"/>
        <v>-34.970928044508256</v>
      </c>
      <c r="D953" s="22">
        <f t="shared" ca="1" si="128"/>
        <v>0.35735037034134853</v>
      </c>
      <c r="F953">
        <f t="shared" si="129"/>
        <v>0.94700000000000073</v>
      </c>
      <c r="G953">
        <f t="shared" ca="1" si="130"/>
        <v>-8.8929167756652716E-2</v>
      </c>
      <c r="H953">
        <f t="shared" ca="1" si="132"/>
        <v>-8.893388840394878E-2</v>
      </c>
      <c r="I953">
        <f t="shared" ca="1" si="133"/>
        <v>9.779500358299293E-3</v>
      </c>
      <c r="J953" s="5">
        <f t="shared" ca="1" si="134"/>
        <v>9.8713388762248069E-2</v>
      </c>
    </row>
    <row r="954" spans="1:10" x14ac:dyDescent="0.2">
      <c r="A954">
        <f t="shared" ca="1" si="126"/>
        <v>0.73644797317339727</v>
      </c>
      <c r="B954">
        <f t="shared" ca="1" si="127"/>
        <v>0.63243288125346742</v>
      </c>
      <c r="C954">
        <f t="shared" ca="1" si="131"/>
        <v>-34.338495163254791</v>
      </c>
      <c r="D954" s="22">
        <f t="shared" ca="1" si="128"/>
        <v>0.32663099273903079</v>
      </c>
      <c r="F954">
        <f t="shared" si="129"/>
        <v>0.94800000000000073</v>
      </c>
      <c r="G954">
        <f t="shared" ca="1" si="130"/>
        <v>-8.7426436126781013E-2</v>
      </c>
      <c r="H954">
        <f t="shared" ca="1" si="132"/>
        <v>-8.7431081164796823E-2</v>
      </c>
      <c r="I954">
        <f t="shared" ca="1" si="133"/>
        <v>9.7949535432776749E-3</v>
      </c>
      <c r="J954" s="5">
        <f t="shared" ca="1" si="134"/>
        <v>9.7226034708074505E-2</v>
      </c>
    </row>
    <row r="955" spans="1:10" x14ac:dyDescent="0.2">
      <c r="A955">
        <f t="shared" ca="1" si="126"/>
        <v>1.7430820655437773E-2</v>
      </c>
      <c r="B955">
        <f t="shared" ca="1" si="127"/>
        <v>-2.1099618585984286</v>
      </c>
      <c r="C955">
        <f t="shared" ca="1" si="131"/>
        <v>-36.448457021853223</v>
      </c>
      <c r="D955" s="22">
        <f t="shared" ca="1" si="128"/>
        <v>4.3070883992454796E-2</v>
      </c>
      <c r="F955">
        <f t="shared" si="129"/>
        <v>0.94900000000000073</v>
      </c>
      <c r="G955">
        <f t="shared" ca="1" si="130"/>
        <v>-8.540786604057779E-2</v>
      </c>
      <c r="H955">
        <f t="shared" ca="1" si="132"/>
        <v>-8.5412409684736582E-2</v>
      </c>
      <c r="I955">
        <f t="shared" ca="1" si="133"/>
        <v>9.8154947780526355E-3</v>
      </c>
      <c r="J955" s="5">
        <f t="shared" ca="1" si="134"/>
        <v>9.5227904462789212E-2</v>
      </c>
    </row>
    <row r="956" spans="1:10" x14ac:dyDescent="0.2">
      <c r="A956">
        <f t="shared" ca="1" si="126"/>
        <v>0.67060195863097183</v>
      </c>
      <c r="B956">
        <f t="shared" ca="1" si="127"/>
        <v>0.44157596073019983</v>
      </c>
      <c r="C956">
        <f t="shared" ca="1" si="131"/>
        <v>-36.006881061123025</v>
      </c>
      <c r="D956" s="22">
        <f t="shared" ca="1" si="128"/>
        <v>0.36188340750436765</v>
      </c>
      <c r="F956">
        <f t="shared" si="129"/>
        <v>0.95000000000000073</v>
      </c>
      <c r="G956">
        <f t="shared" ca="1" si="130"/>
        <v>-9.2061277829872848E-2</v>
      </c>
      <c r="H956">
        <f t="shared" ca="1" si="132"/>
        <v>-9.2066153693021263E-2</v>
      </c>
      <c r="I956">
        <f t="shared" ca="1" si="133"/>
        <v>9.7511473168147254E-3</v>
      </c>
      <c r="J956" s="5">
        <f t="shared" ca="1" si="134"/>
        <v>0.10181730100983599</v>
      </c>
    </row>
    <row r="957" spans="1:10" x14ac:dyDescent="0.2">
      <c r="A957">
        <f t="shared" ca="1" si="126"/>
        <v>0.13569432610395082</v>
      </c>
      <c r="B957">
        <f t="shared" ca="1" si="127"/>
        <v>-1.0998702645930143</v>
      </c>
      <c r="C957">
        <f t="shared" ca="1" si="131"/>
        <v>-37.10675132571604</v>
      </c>
      <c r="D957" s="22">
        <f t="shared" ca="1" si="128"/>
        <v>0.21788326687233614</v>
      </c>
      <c r="F957">
        <f t="shared" si="129"/>
        <v>0.95100000000000073</v>
      </c>
      <c r="G957">
        <f t="shared" ca="1" si="130"/>
        <v>-9.064575668286054E-2</v>
      </c>
      <c r="H957">
        <f t="shared" ca="1" si="132"/>
        <v>-9.0650561281767461E-2</v>
      </c>
      <c r="I957">
        <f t="shared" ca="1" si="133"/>
        <v>9.7657008892146346E-3</v>
      </c>
      <c r="J957" s="5">
        <f t="shared" ca="1" si="134"/>
        <v>0.1004162621709821</v>
      </c>
    </row>
    <row r="958" spans="1:10" x14ac:dyDescent="0.2">
      <c r="A958">
        <f t="shared" ca="1" si="126"/>
        <v>1.2430066392739136E-2</v>
      </c>
      <c r="B958">
        <f t="shared" ca="1" si="127"/>
        <v>-2.2435692004759047</v>
      </c>
      <c r="C958">
        <f t="shared" ca="1" si="131"/>
        <v>-39.350320526191943</v>
      </c>
      <c r="D958" s="22">
        <f t="shared" ca="1" si="128"/>
        <v>3.2201575087516879E-2</v>
      </c>
      <c r="F958">
        <f t="shared" si="129"/>
        <v>0.95200000000000073</v>
      </c>
      <c r="G958">
        <f t="shared" ca="1" si="130"/>
        <v>-9.4104614329682618E-2</v>
      </c>
      <c r="H958">
        <f t="shared" ca="1" si="132"/>
        <v>-9.4109591392445263E-2</v>
      </c>
      <c r="I958">
        <f t="shared" ca="1" si="133"/>
        <v>9.7327184166156218E-3</v>
      </c>
      <c r="J958" s="5">
        <f t="shared" ca="1" si="134"/>
        <v>0.10384230980906088</v>
      </c>
    </row>
    <row r="959" spans="1:10" x14ac:dyDescent="0.2">
      <c r="A959">
        <f t="shared" ca="1" si="126"/>
        <v>0.34570352280417438</v>
      </c>
      <c r="B959">
        <f t="shared" ca="1" si="127"/>
        <v>-0.39694632026816107</v>
      </c>
      <c r="C959">
        <f t="shared" ca="1" si="131"/>
        <v>-39.747266846460107</v>
      </c>
      <c r="D959" s="22">
        <f t="shared" ca="1" si="128"/>
        <v>0.36871852762212204</v>
      </c>
      <c r="F959">
        <f t="shared" si="129"/>
        <v>0.95300000000000074</v>
      </c>
      <c r="G959">
        <f t="shared" ca="1" si="130"/>
        <v>-0.10117963887578924</v>
      </c>
      <c r="H959">
        <f t="shared" ca="1" si="132"/>
        <v>-0.10118496919501281</v>
      </c>
      <c r="I959">
        <f t="shared" ca="1" si="133"/>
        <v>9.6648293254676023E-3</v>
      </c>
      <c r="J959" s="5">
        <f t="shared" ca="1" si="134"/>
        <v>0.11084979852048041</v>
      </c>
    </row>
    <row r="960" spans="1:10" x14ac:dyDescent="0.2">
      <c r="A960">
        <f t="shared" ca="1" si="126"/>
        <v>0.72212141044521927</v>
      </c>
      <c r="B960">
        <f t="shared" ca="1" si="127"/>
        <v>0.58915518170031844</v>
      </c>
      <c r="C960">
        <f t="shared" ca="1" si="131"/>
        <v>-39.158111664759787</v>
      </c>
      <c r="D960" s="22">
        <f t="shared" ca="1" si="128"/>
        <v>0.33538020605630559</v>
      </c>
      <c r="F960">
        <f t="shared" si="129"/>
        <v>0.95400000000000074</v>
      </c>
      <c r="G960">
        <f t="shared" ca="1" si="130"/>
        <v>-0.10241471363852733</v>
      </c>
      <c r="H960">
        <f t="shared" ca="1" si="132"/>
        <v>-0.10242010517896336</v>
      </c>
      <c r="I960">
        <f t="shared" ca="1" si="133"/>
        <v>9.6536221667711791E-3</v>
      </c>
      <c r="J960" s="5">
        <f t="shared" ca="1" si="134"/>
        <v>0.11207372734573454</v>
      </c>
    </row>
    <row r="961" spans="1:10" x14ac:dyDescent="0.2">
      <c r="A961">
        <f t="shared" ca="1" si="126"/>
        <v>0.36033327477223209</v>
      </c>
      <c r="B961">
        <f t="shared" ca="1" si="127"/>
        <v>-0.35756810661308325</v>
      </c>
      <c r="C961">
        <f t="shared" ca="1" si="131"/>
        <v>-39.515679771372866</v>
      </c>
      <c r="D961" s="22">
        <f t="shared" ca="1" si="128"/>
        <v>0.37423699393232795</v>
      </c>
      <c r="F961">
        <f t="shared" si="129"/>
        <v>0.95500000000000074</v>
      </c>
      <c r="G961">
        <f t="shared" ca="1" si="130"/>
        <v>-0.1005314940594722</v>
      </c>
      <c r="H961">
        <f t="shared" ca="1" si="132"/>
        <v>-0.1005367908989821</v>
      </c>
      <c r="I961">
        <f t="shared" ca="1" si="133"/>
        <v>9.6725431749411783E-3</v>
      </c>
      <c r="J961" s="5">
        <f t="shared" ca="1" si="134"/>
        <v>0.11020933407392328</v>
      </c>
    </row>
    <row r="962" spans="1:10" x14ac:dyDescent="0.2">
      <c r="A962">
        <f t="shared" ca="1" si="126"/>
        <v>0.37075631402109199</v>
      </c>
      <c r="B962">
        <f t="shared" ca="1" si="127"/>
        <v>-0.32985089604240331</v>
      </c>
      <c r="C962">
        <f t="shared" ca="1" si="131"/>
        <v>-39.845530667415268</v>
      </c>
      <c r="D962" s="22">
        <f t="shared" ca="1" si="128"/>
        <v>0.37781926220847245</v>
      </c>
      <c r="F962">
        <f t="shared" si="129"/>
        <v>0.95600000000000074</v>
      </c>
      <c r="G962">
        <f t="shared" ca="1" si="130"/>
        <v>-0.10164211501409537</v>
      </c>
      <c r="H962">
        <f t="shared" ca="1" si="132"/>
        <v>-0.10164746685542346</v>
      </c>
      <c r="I962">
        <f t="shared" ca="1" si="133"/>
        <v>9.662530221575311E-3</v>
      </c>
      <c r="J962" s="5">
        <f t="shared" ca="1" si="134"/>
        <v>0.11130999707699878</v>
      </c>
    </row>
    <row r="963" spans="1:10" x14ac:dyDescent="0.2">
      <c r="A963">
        <f t="shared" ca="1" si="126"/>
        <v>0.43752932080447227</v>
      </c>
      <c r="B963">
        <f t="shared" ca="1" si="127"/>
        <v>-0.15723627364432685</v>
      </c>
      <c r="C963">
        <f t="shared" ca="1" si="131"/>
        <v>-40.002766941059598</v>
      </c>
      <c r="D963" s="22">
        <f t="shared" ca="1" si="128"/>
        <v>0.39404106229986097</v>
      </c>
      <c r="F963">
        <f t="shared" si="129"/>
        <v>0.95700000000000074</v>
      </c>
      <c r="G963">
        <f t="shared" ca="1" si="130"/>
        <v>-0.10266497977867935</v>
      </c>
      <c r="H963">
        <f t="shared" ca="1" si="132"/>
        <v>-0.10267038222847934</v>
      </c>
      <c r="I963">
        <f t="shared" ca="1" si="133"/>
        <v>9.6533737100049938E-3</v>
      </c>
      <c r="J963" s="5">
        <f t="shared" ca="1" si="134"/>
        <v>0.11232375593848433</v>
      </c>
    </row>
    <row r="964" spans="1:10" x14ac:dyDescent="0.2">
      <c r="A964">
        <f t="shared" ca="1" si="126"/>
        <v>0.58627281286217181</v>
      </c>
      <c r="B964">
        <f t="shared" ca="1" si="127"/>
        <v>0.21796757645835135</v>
      </c>
      <c r="C964">
        <f t="shared" ca="1" si="131"/>
        <v>-39.784799364601248</v>
      </c>
      <c r="D964" s="22">
        <f t="shared" ca="1" si="128"/>
        <v>0.38957710848386545</v>
      </c>
      <c r="F964">
        <f t="shared" si="129"/>
        <v>0.95800000000000074</v>
      </c>
      <c r="G964">
        <f t="shared" ca="1" si="130"/>
        <v>-0.10314191418930424</v>
      </c>
      <c r="H964">
        <f t="shared" ca="1" si="132"/>
        <v>-0.10314733994577006</v>
      </c>
      <c r="I964">
        <f t="shared" ca="1" si="133"/>
        <v>9.649491664904265E-3</v>
      </c>
      <c r="J964" s="5">
        <f t="shared" ca="1" si="134"/>
        <v>0.11279683161067433</v>
      </c>
    </row>
    <row r="965" spans="1:10" x14ac:dyDescent="0.2">
      <c r="A965">
        <f t="shared" ca="1" si="126"/>
        <v>0.32741213790019885</v>
      </c>
      <c r="B965">
        <f t="shared" ca="1" si="127"/>
        <v>-0.44707033677395919</v>
      </c>
      <c r="C965">
        <f t="shared" ca="1" si="131"/>
        <v>-40.23186970137521</v>
      </c>
      <c r="D965" s="22">
        <f t="shared" ca="1" si="128"/>
        <v>0.36100102684177082</v>
      </c>
      <c r="F965">
        <f t="shared" si="129"/>
        <v>0.95900000000000074</v>
      </c>
      <c r="G965">
        <f t="shared" ca="1" si="130"/>
        <v>-0.10243236147814969</v>
      </c>
      <c r="H965">
        <f t="shared" ca="1" si="132"/>
        <v>-0.10243775121410019</v>
      </c>
      <c r="I965">
        <f t="shared" ca="1" si="133"/>
        <v>9.657062478715981E-3</v>
      </c>
      <c r="J965" s="5">
        <f t="shared" ca="1" si="134"/>
        <v>0.11209481369281617</v>
      </c>
    </row>
    <row r="966" spans="1:10" x14ac:dyDescent="0.2">
      <c r="A966">
        <f t="shared" ca="1" si="126"/>
        <v>0.78340270497192321</v>
      </c>
      <c r="B966">
        <f t="shared" ca="1" si="127"/>
        <v>0.78373675657194397</v>
      </c>
      <c r="C966">
        <f t="shared" ca="1" si="131"/>
        <v>-39.448132944803262</v>
      </c>
      <c r="D966" s="22">
        <f t="shared" ca="1" si="128"/>
        <v>0.29344642784672398</v>
      </c>
      <c r="F966">
        <f t="shared" si="129"/>
        <v>0.96000000000000074</v>
      </c>
      <c r="G966">
        <f t="shared" ca="1" si="130"/>
        <v>-0.10382580910755247</v>
      </c>
      <c r="H966">
        <f t="shared" ca="1" si="132"/>
        <v>-0.10383126797748302</v>
      </c>
      <c r="I966">
        <f t="shared" ca="1" si="133"/>
        <v>9.6443355195514266E-3</v>
      </c>
      <c r="J966" s="5">
        <f t="shared" ca="1" si="134"/>
        <v>0.11347560349703445</v>
      </c>
    </row>
    <row r="967" spans="1:10" x14ac:dyDescent="0.2">
      <c r="A967">
        <f t="shared" ref="A967:A1005" ca="1" si="135">RAND()</f>
        <v>0.1788894847082233</v>
      </c>
      <c r="B967">
        <f t="shared" ref="B967:B1005" ca="1" si="136">NORMSINV(A967)</f>
        <v>-0.9196054657857643</v>
      </c>
      <c r="C967">
        <f t="shared" ca="1" si="131"/>
        <v>-40.367738410589027</v>
      </c>
      <c r="D967" s="22">
        <f t="shared" ref="D967:D1005" ca="1" si="137">_xlfn.NORM.DIST(B967,0,1,FALSE)</f>
        <v>0.26138113759542281</v>
      </c>
      <c r="F967">
        <f t="shared" ref="F967:F1005" si="138">F966+$M$2/$N$2</f>
        <v>0.96100000000000074</v>
      </c>
      <c r="G967">
        <f t="shared" ref="G967:G1005" ca="1" si="139">G966*EXP(-$M$4*$O$2) + $O$4*(1-EXP(-$M$4*$O$2)) + $N$4* SQRT((1-EXP(-2*$M$4*$O$2))/(2*$M$4)) *B966</f>
        <v>-0.10132715822347525</v>
      </c>
      <c r="H967">
        <f t="shared" ca="1" si="132"/>
        <v>-0.10133249161392498</v>
      </c>
      <c r="I967">
        <f t="shared" ca="1" si="133"/>
        <v>9.6691861488570445E-3</v>
      </c>
      <c r="J967" s="5">
        <f t="shared" ca="1" si="134"/>
        <v>0.11100167776278203</v>
      </c>
    </row>
    <row r="968" spans="1:10" x14ac:dyDescent="0.2">
      <c r="A968">
        <f t="shared" ca="1" si="135"/>
        <v>0.18574491657720771</v>
      </c>
      <c r="B968">
        <f t="shared" ca="1" si="136"/>
        <v>-0.8936861586068342</v>
      </c>
      <c r="C968">
        <f t="shared" ref="C968:C1005" ca="1" si="140">B968+C967</f>
        <v>-41.26142456919586</v>
      </c>
      <c r="D968" s="22">
        <f t="shared" ca="1" si="137"/>
        <v>0.2675962382342682</v>
      </c>
      <c r="F968">
        <f t="shared" si="138"/>
        <v>0.96200000000000074</v>
      </c>
      <c r="G968">
        <f t="shared" ca="1" si="139"/>
        <v>-0.10421492893854534</v>
      </c>
      <c r="H968">
        <f t="shared" ref="H968:H1005" ca="1" si="141">H967+($M$6 + $N$6*H967)*$O$2 + $O$6*H967^$P$6*SQRT($O$2)*B967</f>
        <v>-0.10422040618538664</v>
      </c>
      <c r="I968">
        <f t="shared" ref="I968:I1005" ca="1" si="142">I967*EXP(($M$8-0.5*($N$8^2))*$O$2 + $N$8*SQRT($O$2)*B967)</f>
        <v>9.6420244872716561E-3</v>
      </c>
      <c r="J968" s="5">
        <f t="shared" ref="J968:J1005" ca="1" si="143">ABS(H968-I968)</f>
        <v>0.11386243067265829</v>
      </c>
    </row>
    <row r="969" spans="1:10" x14ac:dyDescent="0.2">
      <c r="A969">
        <f t="shared" ca="1" si="135"/>
        <v>0.50414711604714157</v>
      </c>
      <c r="B969">
        <f t="shared" ca="1" si="136"/>
        <v>1.0395465571124377E-2</v>
      </c>
      <c r="C969">
        <f t="shared" ca="1" si="140"/>
        <v>-41.251029103624738</v>
      </c>
      <c r="D969" s="22">
        <f t="shared" ca="1" si="137"/>
        <v>0.3989207249945067</v>
      </c>
      <c r="F969">
        <f t="shared" si="138"/>
        <v>0.96300000000000074</v>
      </c>
      <c r="G969">
        <f t="shared" ca="1" si="139"/>
        <v>-0.10702045094295487</v>
      </c>
      <c r="H969">
        <f t="shared" ca="1" si="141"/>
        <v>-0.10702606791933218</v>
      </c>
      <c r="I969">
        <f t="shared" ca="1" si="142"/>
        <v>9.6157272369828406E-3</v>
      </c>
      <c r="J969" s="5">
        <f t="shared" ca="1" si="143"/>
        <v>0.11664179515631502</v>
      </c>
    </row>
    <row r="970" spans="1:10" x14ac:dyDescent="0.2">
      <c r="A970">
        <f t="shared" ca="1" si="135"/>
        <v>0.15142466673486255</v>
      </c>
      <c r="B970">
        <f t="shared" ca="1" si="136"/>
        <v>-1.0303423327967922</v>
      </c>
      <c r="C970">
        <f t="shared" ca="1" si="140"/>
        <v>-42.28137143642153</v>
      </c>
      <c r="D970" s="22">
        <f t="shared" ca="1" si="137"/>
        <v>0.23463100401190173</v>
      </c>
      <c r="F970">
        <f t="shared" si="138"/>
        <v>0.96400000000000075</v>
      </c>
      <c r="G970">
        <f t="shared" ca="1" si="139"/>
        <v>-0.10696687822798465</v>
      </c>
      <c r="H970">
        <f t="shared" ca="1" si="141"/>
        <v>-0.10697249196399763</v>
      </c>
      <c r="I970">
        <f t="shared" ca="1" si="142"/>
        <v>9.6169569108428866E-3</v>
      </c>
      <c r="J970" s="5">
        <f t="shared" ca="1" si="143"/>
        <v>0.11658944887484052</v>
      </c>
    </row>
    <row r="971" spans="1:10" x14ac:dyDescent="0.2">
      <c r="A971">
        <f t="shared" ca="1" si="135"/>
        <v>0.26595805257667626</v>
      </c>
      <c r="B971">
        <f t="shared" ca="1" si="136"/>
        <v>-0.62508373083225077</v>
      </c>
      <c r="C971">
        <f t="shared" ca="1" si="140"/>
        <v>-42.906455167253782</v>
      </c>
      <c r="D971" s="22">
        <f t="shared" ca="1" si="137"/>
        <v>0.32814379460505594</v>
      </c>
      <c r="F971">
        <f t="shared" si="138"/>
        <v>0.96500000000000075</v>
      </c>
      <c r="G971">
        <f t="shared" ca="1" si="139"/>
        <v>-0.11020424821165142</v>
      </c>
      <c r="H971">
        <f t="shared" ca="1" si="141"/>
        <v>-0.1102100232561303</v>
      </c>
      <c r="I971">
        <f t="shared" ca="1" si="142"/>
        <v>9.5865843412769342E-3</v>
      </c>
      <c r="J971" s="5">
        <f t="shared" ca="1" si="143"/>
        <v>0.11979660759740723</v>
      </c>
    </row>
    <row r="972" spans="1:10" x14ac:dyDescent="0.2">
      <c r="A972">
        <f t="shared" ca="1" si="135"/>
        <v>0.85032729267561169</v>
      </c>
      <c r="B972">
        <f t="shared" ca="1" si="136"/>
        <v>1.0378381451127272</v>
      </c>
      <c r="C972">
        <f t="shared" ca="1" si="140"/>
        <v>-41.868617022141052</v>
      </c>
      <c r="D972" s="22">
        <f t="shared" ca="1" si="137"/>
        <v>0.23281932836924957</v>
      </c>
      <c r="F972">
        <f t="shared" si="138"/>
        <v>0.96600000000000075</v>
      </c>
      <c r="G972">
        <f t="shared" ca="1" si="139"/>
        <v>-0.11215981832526403</v>
      </c>
      <c r="H972">
        <f t="shared" ca="1" si="141"/>
        <v>-0.11216569057155022</v>
      </c>
      <c r="I972">
        <f t="shared" ca="1" si="142"/>
        <v>9.5685623387283189E-3</v>
      </c>
      <c r="J972" s="5">
        <f t="shared" ca="1" si="143"/>
        <v>0.12173425291027853</v>
      </c>
    </row>
    <row r="973" spans="1:10" x14ac:dyDescent="0.2">
      <c r="A973">
        <f t="shared" ca="1" si="135"/>
        <v>0.78192546238662319</v>
      </c>
      <c r="B973">
        <f t="shared" ca="1" si="136"/>
        <v>0.77871252688798687</v>
      </c>
      <c r="C973">
        <f t="shared" ca="1" si="140"/>
        <v>-41.089904495253066</v>
      </c>
      <c r="D973" s="22">
        <f t="shared" ca="1" si="137"/>
        <v>0.29460048372852932</v>
      </c>
      <c r="F973">
        <f t="shared" si="138"/>
        <v>0.96700000000000075</v>
      </c>
      <c r="G973">
        <f t="shared" ca="1" si="139"/>
        <v>-0.10885683511281667</v>
      </c>
      <c r="H973">
        <f t="shared" ca="1" si="141"/>
        <v>-0.10886254162133251</v>
      </c>
      <c r="I973">
        <f t="shared" ca="1" si="142"/>
        <v>9.6009293465709987E-3</v>
      </c>
      <c r="J973" s="5">
        <f t="shared" ca="1" si="143"/>
        <v>0.11846347096790351</v>
      </c>
    </row>
    <row r="974" spans="1:10" x14ac:dyDescent="0.2">
      <c r="A974">
        <f t="shared" ca="1" si="135"/>
        <v>0.13327459536580244</v>
      </c>
      <c r="B974">
        <f t="shared" ca="1" si="136"/>
        <v>-1.1110445105762132</v>
      </c>
      <c r="C974">
        <f t="shared" ca="1" si="140"/>
        <v>-42.20094900582928</v>
      </c>
      <c r="D974" s="22">
        <f t="shared" ca="1" si="137"/>
        <v>0.21520838548496929</v>
      </c>
      <c r="F974">
        <f t="shared" si="138"/>
        <v>0.96800000000000075</v>
      </c>
      <c r="G974">
        <f t="shared" ca="1" si="139"/>
        <v>-0.10637356836621499</v>
      </c>
      <c r="H974">
        <f t="shared" ca="1" si="141"/>
        <v>-0.10637915013969923</v>
      </c>
      <c r="I974">
        <f t="shared" ca="1" si="142"/>
        <v>9.625515199385988E-3</v>
      </c>
      <c r="J974" s="5">
        <f t="shared" ca="1" si="143"/>
        <v>0.11600466533908521</v>
      </c>
    </row>
    <row r="975" spans="1:10" x14ac:dyDescent="0.2">
      <c r="A975">
        <f t="shared" ca="1" si="135"/>
        <v>7.9039653597065107E-2</v>
      </c>
      <c r="B975">
        <f t="shared" ca="1" si="136"/>
        <v>-1.4115608485233737</v>
      </c>
      <c r="C975">
        <f t="shared" ca="1" si="140"/>
        <v>-43.612509854352652</v>
      </c>
      <c r="D975" s="22">
        <f t="shared" ca="1" si="137"/>
        <v>0.14731375960667648</v>
      </c>
      <c r="F975">
        <f t="shared" si="138"/>
        <v>0.96900000000000075</v>
      </c>
      <c r="G975">
        <f t="shared" ca="1" si="139"/>
        <v>-0.10986618761221725</v>
      </c>
      <c r="H975">
        <f t="shared" ca="1" si="141"/>
        <v>-0.10987194345993313</v>
      </c>
      <c r="I975">
        <f t="shared" ca="1" si="142"/>
        <v>9.592667213850499E-3</v>
      </c>
      <c r="J975" s="5">
        <f t="shared" ca="1" si="143"/>
        <v>0.11946461067378364</v>
      </c>
    </row>
    <row r="976" spans="1:10" x14ac:dyDescent="0.2">
      <c r="A976">
        <f t="shared" ca="1" si="135"/>
        <v>0.42431263816438813</v>
      </c>
      <c r="B976">
        <f t="shared" ca="1" si="136"/>
        <v>-0.19087276744187665</v>
      </c>
      <c r="C976">
        <f t="shared" ca="1" si="140"/>
        <v>-43.803382621794526</v>
      </c>
      <c r="D976" s="22">
        <f t="shared" ca="1" si="137"/>
        <v>0.39174085582567875</v>
      </c>
      <c r="F976">
        <f t="shared" si="138"/>
        <v>0.97000000000000075</v>
      </c>
      <c r="G976">
        <f t="shared" ca="1" si="139"/>
        <v>-0.11430872620193799</v>
      </c>
      <c r="H976">
        <f t="shared" ca="1" si="141"/>
        <v>-0.11431470360284092</v>
      </c>
      <c r="I976">
        <f t="shared" ca="1" si="142"/>
        <v>9.5508506839386883E-3</v>
      </c>
      <c r="J976" s="5">
        <f t="shared" ca="1" si="143"/>
        <v>0.1238655542867796</v>
      </c>
    </row>
    <row r="977" spans="1:10" x14ac:dyDescent="0.2">
      <c r="A977">
        <f t="shared" ca="1" si="135"/>
        <v>0.65706937250840713</v>
      </c>
      <c r="B977">
        <f t="shared" ca="1" si="136"/>
        <v>0.40447799667753953</v>
      </c>
      <c r="C977">
        <f t="shared" ca="1" si="140"/>
        <v>-43.398904625116984</v>
      </c>
      <c r="D977" s="22">
        <f t="shared" ca="1" si="137"/>
        <v>0.36760740000871162</v>
      </c>
      <c r="F977">
        <f t="shared" si="138"/>
        <v>0.97100000000000075</v>
      </c>
      <c r="G977">
        <f t="shared" ca="1" si="139"/>
        <v>-0.11489085891086469</v>
      </c>
      <c r="H977">
        <f t="shared" ca="1" si="141"/>
        <v>-0.1148968648208966</v>
      </c>
      <c r="I977">
        <f t="shared" ca="1" si="142"/>
        <v>9.5459944261459678E-3</v>
      </c>
      <c r="J977" s="5">
        <f t="shared" ca="1" si="143"/>
        <v>0.12444285924704257</v>
      </c>
    </row>
    <row r="978" spans="1:10" x14ac:dyDescent="0.2">
      <c r="A978">
        <f t="shared" ca="1" si="135"/>
        <v>0.95152045480588032</v>
      </c>
      <c r="B978">
        <f t="shared" ca="1" si="136"/>
        <v>1.6597781526610074</v>
      </c>
      <c r="C978">
        <f t="shared" ca="1" si="140"/>
        <v>-41.739126472455979</v>
      </c>
      <c r="D978" s="22">
        <f t="shared" ca="1" si="137"/>
        <v>0.10062341537132009</v>
      </c>
      <c r="F978">
        <f t="shared" si="138"/>
        <v>0.97200000000000075</v>
      </c>
      <c r="G978">
        <f t="shared" ca="1" si="139"/>
        <v>-0.11359036311739107</v>
      </c>
      <c r="H978">
        <f t="shared" ca="1" si="141"/>
        <v>-0.11359630340149146</v>
      </c>
      <c r="I978">
        <f t="shared" ca="1" si="142"/>
        <v>9.5591203231463733E-3</v>
      </c>
      <c r="J978" s="5">
        <f t="shared" ca="1" si="143"/>
        <v>0.12315542372463784</v>
      </c>
    </row>
    <row r="979" spans="1:10" x14ac:dyDescent="0.2">
      <c r="A979">
        <f t="shared" ca="1" si="135"/>
        <v>0.52491267304960154</v>
      </c>
      <c r="B979">
        <f t="shared" ca="1" si="136"/>
        <v>6.2487452458069886E-2</v>
      </c>
      <c r="C979">
        <f t="shared" ca="1" si="140"/>
        <v>-41.676639019997907</v>
      </c>
      <c r="D979" s="22">
        <f t="shared" ca="1" si="137"/>
        <v>0.39816416890427081</v>
      </c>
      <c r="F979">
        <f t="shared" si="138"/>
        <v>0.97300000000000075</v>
      </c>
      <c r="G979">
        <f t="shared" ca="1" si="139"/>
        <v>-0.10832058819903448</v>
      </c>
      <c r="H979">
        <f t="shared" ca="1" si="141"/>
        <v>-0.10832626439815586</v>
      </c>
      <c r="I979">
        <f t="shared" ca="1" si="142"/>
        <v>9.6103379205745125E-3</v>
      </c>
      <c r="J979" s="5">
        <f t="shared" ca="1" si="143"/>
        <v>0.11793660231873038</v>
      </c>
    </row>
    <row r="980" spans="1:10" x14ac:dyDescent="0.2">
      <c r="A980">
        <f t="shared" ca="1" si="135"/>
        <v>0.6698658377902077</v>
      </c>
      <c r="B980">
        <f t="shared" ca="1" si="136"/>
        <v>0.43954273420318635</v>
      </c>
      <c r="C980">
        <f t="shared" ca="1" si="140"/>
        <v>-41.237096285794721</v>
      </c>
      <c r="D980" s="22">
        <f t="shared" ca="1" si="137"/>
        <v>0.362207712309908</v>
      </c>
      <c r="F980">
        <f t="shared" si="138"/>
        <v>0.97400000000000075</v>
      </c>
      <c r="G980">
        <f t="shared" ca="1" si="139"/>
        <v>-0.1081021643865559</v>
      </c>
      <c r="H980">
        <f t="shared" ca="1" si="141"/>
        <v>-0.10810782909676706</v>
      </c>
      <c r="I980">
        <f t="shared" ca="1" si="142"/>
        <v>9.6131503425982753E-3</v>
      </c>
      <c r="J980" s="5">
        <f t="shared" ca="1" si="143"/>
        <v>0.11772097943936533</v>
      </c>
    </row>
    <row r="981" spans="1:10" x14ac:dyDescent="0.2">
      <c r="A981">
        <f t="shared" ca="1" si="135"/>
        <v>0.27881230191933237</v>
      </c>
      <c r="B981">
        <f t="shared" ca="1" si="136"/>
        <v>-0.58637341749922378</v>
      </c>
      <c r="C981">
        <f t="shared" ca="1" si="140"/>
        <v>-41.823469703293945</v>
      </c>
      <c r="D981" s="22">
        <f t="shared" ca="1" si="137"/>
        <v>0.33592900849638802</v>
      </c>
      <c r="F981">
        <f t="shared" si="138"/>
        <v>0.97500000000000075</v>
      </c>
      <c r="G981">
        <f t="shared" ca="1" si="139"/>
        <v>-0.10669146853644615</v>
      </c>
      <c r="H981">
        <f t="shared" ca="1" si="141"/>
        <v>-0.10669706214479731</v>
      </c>
      <c r="I981">
        <f t="shared" ca="1" si="142"/>
        <v>9.6274360537059248E-3</v>
      </c>
      <c r="J981" s="5">
        <f t="shared" ca="1" si="143"/>
        <v>0.11632449819850324</v>
      </c>
    </row>
    <row r="982" spans="1:10" x14ac:dyDescent="0.2">
      <c r="A982">
        <f t="shared" ca="1" si="135"/>
        <v>0.61913869377953845</v>
      </c>
      <c r="B982">
        <f t="shared" ca="1" si="136"/>
        <v>0.3032194696090828</v>
      </c>
      <c r="C982">
        <f t="shared" ca="1" si="140"/>
        <v>-41.520250233684862</v>
      </c>
      <c r="D982" s="22">
        <f t="shared" ca="1" si="137"/>
        <v>0.38101765872127696</v>
      </c>
      <c r="F982">
        <f t="shared" si="138"/>
        <v>0.97600000000000076</v>
      </c>
      <c r="G982">
        <f t="shared" ca="1" si="139"/>
        <v>-0.10852498327177475</v>
      </c>
      <c r="H982">
        <f t="shared" ca="1" si="141"/>
        <v>-0.10853066799725722</v>
      </c>
      <c r="I982">
        <f t="shared" ca="1" si="142"/>
        <v>9.6105136307311524E-3</v>
      </c>
      <c r="J982" s="5">
        <f t="shared" ca="1" si="143"/>
        <v>0.11814118162798837</v>
      </c>
    </row>
    <row r="983" spans="1:10" x14ac:dyDescent="0.2">
      <c r="A983">
        <f t="shared" ca="1" si="135"/>
        <v>0.38193433954929568</v>
      </c>
      <c r="B983">
        <f t="shared" ca="1" si="136"/>
        <v>-0.3004044377320379</v>
      </c>
      <c r="C983">
        <f t="shared" ca="1" si="140"/>
        <v>-41.820654671416904</v>
      </c>
      <c r="D983" s="22">
        <f t="shared" ca="1" si="137"/>
        <v>0.38134151279274336</v>
      </c>
      <c r="F983">
        <f t="shared" si="138"/>
        <v>0.97700000000000076</v>
      </c>
      <c r="G983">
        <f t="shared" ca="1" si="139"/>
        <v>-0.10754531560237503</v>
      </c>
      <c r="H983">
        <f t="shared" ca="1" si="141"/>
        <v>-0.10755095077558459</v>
      </c>
      <c r="I983">
        <f t="shared" ca="1" si="142"/>
        <v>9.6206471452924963E-3</v>
      </c>
      <c r="J983" s="5">
        <f t="shared" ca="1" si="143"/>
        <v>0.11717159792087709</v>
      </c>
    </row>
    <row r="984" spans="1:10" x14ac:dyDescent="0.2">
      <c r="A984">
        <f t="shared" ca="1" si="135"/>
        <v>0.72793460873668525</v>
      </c>
      <c r="B984">
        <f t="shared" ca="1" si="136"/>
        <v>0.60657833359441959</v>
      </c>
      <c r="C984">
        <f t="shared" ca="1" si="140"/>
        <v>-41.214076337822483</v>
      </c>
      <c r="D984" s="22">
        <f t="shared" ca="1" si="137"/>
        <v>0.33190477596199969</v>
      </c>
      <c r="F984">
        <f t="shared" si="138"/>
        <v>0.97800000000000076</v>
      </c>
      <c r="G984">
        <f t="shared" ca="1" si="139"/>
        <v>-0.10847447685482912</v>
      </c>
      <c r="H984">
        <f t="shared" ca="1" si="141"/>
        <v>-0.10848015792296251</v>
      </c>
      <c r="I984">
        <f t="shared" ca="1" si="142"/>
        <v>9.6124253703896538E-3</v>
      </c>
      <c r="J984" s="5">
        <f t="shared" ca="1" si="143"/>
        <v>0.11809258329335216</v>
      </c>
    </row>
    <row r="985" spans="1:10" x14ac:dyDescent="0.2">
      <c r="A985">
        <f t="shared" ca="1" si="135"/>
        <v>0.94797996091136372</v>
      </c>
      <c r="B985">
        <f t="shared" ca="1" si="136"/>
        <v>1.6255750886570439</v>
      </c>
      <c r="C985">
        <f t="shared" ca="1" si="140"/>
        <v>-39.588501249165439</v>
      </c>
      <c r="D985" s="22">
        <f t="shared" ca="1" si="137"/>
        <v>0.10643873499332192</v>
      </c>
      <c r="F985">
        <f t="shared" si="138"/>
        <v>0.97900000000000076</v>
      </c>
      <c r="G985">
        <f t="shared" ca="1" si="139"/>
        <v>-0.10653555724047314</v>
      </c>
      <c r="H985">
        <f t="shared" ca="1" si="141"/>
        <v>-0.1065411407937024</v>
      </c>
      <c r="I985">
        <f t="shared" ca="1" si="142"/>
        <v>9.6317963001873313E-3</v>
      </c>
      <c r="J985" s="5">
        <f t="shared" ca="1" si="143"/>
        <v>0.11617293709388973</v>
      </c>
    </row>
    <row r="986" spans="1:10" x14ac:dyDescent="0.2">
      <c r="A986">
        <f t="shared" ca="1" si="135"/>
        <v>0.68104822709648705</v>
      </c>
      <c r="B986">
        <f t="shared" ca="1" si="136"/>
        <v>0.47063200844545289</v>
      </c>
      <c r="C986">
        <f t="shared" ca="1" si="140"/>
        <v>-39.117869240719983</v>
      </c>
      <c r="D986" s="22">
        <f t="shared" ca="1" si="137"/>
        <v>0.35711915803269362</v>
      </c>
      <c r="F986">
        <f t="shared" si="138"/>
        <v>0.98000000000000076</v>
      </c>
      <c r="G986">
        <f t="shared" ca="1" si="139"/>
        <v>-0.10137464194488649</v>
      </c>
      <c r="H986">
        <f t="shared" ca="1" si="141"/>
        <v>-0.10137996689183663</v>
      </c>
      <c r="I986">
        <f t="shared" ca="1" si="142"/>
        <v>9.6823559979684528E-3</v>
      </c>
      <c r="J986" s="5">
        <f t="shared" ca="1" si="143"/>
        <v>0.11106232288980508</v>
      </c>
    </row>
    <row r="987" spans="1:10" x14ac:dyDescent="0.2">
      <c r="A987">
        <f t="shared" ca="1" si="135"/>
        <v>0.89488938124671646</v>
      </c>
      <c r="B987">
        <f t="shared" ca="1" si="136"/>
        <v>1.2529573257838365</v>
      </c>
      <c r="C987">
        <f t="shared" ca="1" si="140"/>
        <v>-37.864911914936144</v>
      </c>
      <c r="D987" s="22">
        <f t="shared" ca="1" si="137"/>
        <v>0.18197434501045454</v>
      </c>
      <c r="F987">
        <f t="shared" si="138"/>
        <v>0.98100000000000076</v>
      </c>
      <c r="G987">
        <f t="shared" ca="1" si="139"/>
        <v>-9.9866310811418321E-2</v>
      </c>
      <c r="H987">
        <f t="shared" ca="1" si="141"/>
        <v>-9.9871559808680219E-2</v>
      </c>
      <c r="I987">
        <f t="shared" ca="1" si="142"/>
        <v>9.6976979148907516E-3</v>
      </c>
      <c r="J987" s="5">
        <f t="shared" ca="1" si="143"/>
        <v>0.10956925772357097</v>
      </c>
    </row>
    <row r="988" spans="1:10" x14ac:dyDescent="0.2">
      <c r="A988">
        <f t="shared" ca="1" si="135"/>
        <v>0.11301144605518287</v>
      </c>
      <c r="B988">
        <f t="shared" ca="1" si="136"/>
        <v>-1.2106674240981752</v>
      </c>
      <c r="C988">
        <f t="shared" ca="1" si="140"/>
        <v>-39.07557933903432</v>
      </c>
      <c r="D988" s="22">
        <f t="shared" ca="1" si="137"/>
        <v>0.19170523153363681</v>
      </c>
      <c r="F988">
        <f t="shared" si="138"/>
        <v>0.98200000000000076</v>
      </c>
      <c r="G988">
        <f t="shared" ca="1" si="139"/>
        <v>-9.5884324320858694E-2</v>
      </c>
      <c r="H988">
        <f t="shared" ca="1" si="141"/>
        <v>-9.5889373692228816E-2</v>
      </c>
      <c r="I988">
        <f t="shared" ca="1" si="142"/>
        <v>9.7371233290833945E-3</v>
      </c>
      <c r="J988" s="5">
        <f t="shared" ca="1" si="143"/>
        <v>0.10562649702131222</v>
      </c>
    </row>
    <row r="989" spans="1:10" x14ac:dyDescent="0.2">
      <c r="A989">
        <f t="shared" ca="1" si="135"/>
        <v>0.77432855291062141</v>
      </c>
      <c r="B989">
        <f t="shared" ca="1" si="136"/>
        <v>0.75317810569531596</v>
      </c>
      <c r="C989">
        <f t="shared" ca="1" si="140"/>
        <v>-38.322401233339001</v>
      </c>
      <c r="D989" s="22">
        <f t="shared" ca="1" si="137"/>
        <v>0.30041898480988283</v>
      </c>
      <c r="F989">
        <f t="shared" si="138"/>
        <v>0.98300000000000076</v>
      </c>
      <c r="G989">
        <f t="shared" ca="1" si="139"/>
        <v>-9.9693012001583009E-2</v>
      </c>
      <c r="H989">
        <f t="shared" ca="1" si="141"/>
        <v>-9.9698251303978844E-2</v>
      </c>
      <c r="I989">
        <f t="shared" ca="1" si="142"/>
        <v>9.7008378822484743E-3</v>
      </c>
      <c r="J989" s="5">
        <f t="shared" ca="1" si="143"/>
        <v>0.10939908918622732</v>
      </c>
    </row>
    <row r="990" spans="1:10" x14ac:dyDescent="0.2">
      <c r="A990">
        <f t="shared" ca="1" si="135"/>
        <v>0.85553471233324052</v>
      </c>
      <c r="B990">
        <f t="shared" ca="1" si="136"/>
        <v>1.0604705625571067</v>
      </c>
      <c r="C990">
        <f t="shared" ca="1" si="140"/>
        <v>-37.261930670781894</v>
      </c>
      <c r="D990" s="22">
        <f t="shared" ca="1" si="137"/>
        <v>0.22735617456458079</v>
      </c>
      <c r="F990">
        <f t="shared" si="138"/>
        <v>0.98400000000000076</v>
      </c>
      <c r="G990">
        <f t="shared" ca="1" si="139"/>
        <v>-9.7291404483999505E-2</v>
      </c>
      <c r="H990">
        <f t="shared" ca="1" si="141"/>
        <v>-9.7296523181080202E-2</v>
      </c>
      <c r="I990">
        <f t="shared" ca="1" si="142"/>
        <v>9.7248942916269114E-3</v>
      </c>
      <c r="J990" s="5">
        <f t="shared" ca="1" si="143"/>
        <v>0.10702141747270712</v>
      </c>
    </row>
    <row r="991" spans="1:10" x14ac:dyDescent="0.2">
      <c r="A991">
        <f t="shared" ca="1" si="135"/>
        <v>0.82430321680147323</v>
      </c>
      <c r="B991">
        <f t="shared" ca="1" si="136"/>
        <v>0.93188963184723062</v>
      </c>
      <c r="C991">
        <f t="shared" ca="1" si="140"/>
        <v>-36.33004103893466</v>
      </c>
      <c r="D991" s="22">
        <f t="shared" ca="1" si="137"/>
        <v>0.25842553916575045</v>
      </c>
      <c r="F991">
        <f t="shared" si="138"/>
        <v>0.98500000000000076</v>
      </c>
      <c r="G991">
        <f t="shared" ca="1" si="139"/>
        <v>-9.3918341628867016E-2</v>
      </c>
      <c r="H991">
        <f t="shared" ca="1" si="141"/>
        <v>-9.3923291159521555E-2</v>
      </c>
      <c r="I991">
        <f t="shared" ca="1" si="142"/>
        <v>9.758488504200696E-3</v>
      </c>
      <c r="J991" s="5">
        <f t="shared" ca="1" si="143"/>
        <v>0.10368177966372225</v>
      </c>
    </row>
    <row r="992" spans="1:10" x14ac:dyDescent="0.2">
      <c r="A992">
        <f t="shared" ca="1" si="135"/>
        <v>0.542488817495689</v>
      </c>
      <c r="B992">
        <f t="shared" ca="1" si="136"/>
        <v>0.10670582034197307</v>
      </c>
      <c r="C992">
        <f t="shared" ca="1" si="140"/>
        <v>-36.223335218592688</v>
      </c>
      <c r="D992" s="22">
        <f t="shared" ca="1" si="137"/>
        <v>0.39667752845809667</v>
      </c>
      <c r="F992">
        <f t="shared" si="138"/>
        <v>0.98600000000000076</v>
      </c>
      <c r="G992">
        <f t="shared" ca="1" si="139"/>
        <v>-9.0952204338279621E-2</v>
      </c>
      <c r="H992">
        <f t="shared" ca="1" si="141"/>
        <v>-9.0957005065872579E-2</v>
      </c>
      <c r="I992">
        <f t="shared" ca="1" si="142"/>
        <v>9.788217983567651E-3</v>
      </c>
      <c r="J992" s="5">
        <f t="shared" ca="1" si="143"/>
        <v>0.10074522304944022</v>
      </c>
    </row>
    <row r="993" spans="1:10" x14ac:dyDescent="0.2">
      <c r="A993">
        <f t="shared" ca="1" si="135"/>
        <v>0.10723144829758025</v>
      </c>
      <c r="B993">
        <f t="shared" ca="1" si="136"/>
        <v>-1.2413867904094982</v>
      </c>
      <c r="C993">
        <f t="shared" ca="1" si="140"/>
        <v>-37.464722009002188</v>
      </c>
      <c r="D993" s="22">
        <f t="shared" ca="1" si="137"/>
        <v>0.18461935484909631</v>
      </c>
      <c r="F993">
        <f t="shared" si="138"/>
        <v>0.98700000000000077</v>
      </c>
      <c r="G993">
        <f t="shared" ca="1" si="139"/>
        <v>-9.059569351166627E-2</v>
      </c>
      <c r="H993">
        <f t="shared" ca="1" si="141"/>
        <v>-9.0600475933488619E-2</v>
      </c>
      <c r="I993">
        <f t="shared" ca="1" si="142"/>
        <v>9.7924516515860704E-3</v>
      </c>
      <c r="J993" s="5">
        <f t="shared" ca="1" si="143"/>
        <v>0.10039292758507469</v>
      </c>
    </row>
    <row r="994" spans="1:10" x14ac:dyDescent="0.2">
      <c r="A994">
        <f t="shared" ca="1" si="135"/>
        <v>0.23045663911244374</v>
      </c>
      <c r="B994">
        <f t="shared" ca="1" si="136"/>
        <v>-0.73734384024855182</v>
      </c>
      <c r="C994">
        <f t="shared" ca="1" si="140"/>
        <v>-38.202065849250737</v>
      </c>
      <c r="D994" s="22">
        <f t="shared" ca="1" si="137"/>
        <v>0.30398512716231035</v>
      </c>
      <c r="F994">
        <f t="shared" si="138"/>
        <v>0.98800000000000077</v>
      </c>
      <c r="G994">
        <f t="shared" ca="1" si="139"/>
        <v>-9.4502048337894148E-2</v>
      </c>
      <c r="H994">
        <f t="shared" ca="1" si="141"/>
        <v>-9.4507025600835348E-2</v>
      </c>
      <c r="I994">
        <f t="shared" ca="1" si="142"/>
        <v>9.7550123446235922E-3</v>
      </c>
      <c r="J994" s="5">
        <f t="shared" ca="1" si="143"/>
        <v>0.10426203794545894</v>
      </c>
    </row>
    <row r="995" spans="1:10" x14ac:dyDescent="0.2">
      <c r="A995">
        <f t="shared" ca="1" si="135"/>
        <v>0.92897514206938292</v>
      </c>
      <c r="B995">
        <f t="shared" ca="1" si="136"/>
        <v>1.4682006938546928</v>
      </c>
      <c r="C995">
        <f t="shared" ca="1" si="140"/>
        <v>-36.733865155396046</v>
      </c>
      <c r="D995" s="22">
        <f t="shared" ca="1" si="137"/>
        <v>0.13577649395939714</v>
      </c>
      <c r="F995">
        <f t="shared" si="138"/>
        <v>0.98900000000000077</v>
      </c>
      <c r="G995">
        <f t="shared" ca="1" si="139"/>
        <v>-9.6814168479978716E-2</v>
      </c>
      <c r="H995">
        <f t="shared" ca="1" si="141"/>
        <v>-9.6819260852156017E-2</v>
      </c>
      <c r="I995">
        <f t="shared" ca="1" si="142"/>
        <v>9.7332178283627037E-3</v>
      </c>
      <c r="J995" s="5">
        <f t="shared" ca="1" si="143"/>
        <v>0.10655247868051872</v>
      </c>
    </row>
    <row r="996" spans="1:10" x14ac:dyDescent="0.2">
      <c r="A996">
        <f t="shared" ca="1" si="135"/>
        <v>0.43016910684238951</v>
      </c>
      <c r="B996">
        <f t="shared" ca="1" si="136"/>
        <v>-0.17594364845785795</v>
      </c>
      <c r="C996">
        <f t="shared" ca="1" si="140"/>
        <v>-36.909808803853906</v>
      </c>
      <c r="D996" s="22">
        <f t="shared" ca="1" si="137"/>
        <v>0.39281496030103108</v>
      </c>
      <c r="F996">
        <f t="shared" si="138"/>
        <v>0.99000000000000077</v>
      </c>
      <c r="G996">
        <f t="shared" ca="1" si="139"/>
        <v>-9.2151861925588899E-2</v>
      </c>
      <c r="H996">
        <f t="shared" ca="1" si="141"/>
        <v>-9.2156720671250386E-2</v>
      </c>
      <c r="I996">
        <f t="shared" ca="1" si="142"/>
        <v>9.7794418497604424E-3</v>
      </c>
      <c r="J996" s="5">
        <f t="shared" ca="1" si="143"/>
        <v>0.10193616252101083</v>
      </c>
    </row>
    <row r="997" spans="1:10" x14ac:dyDescent="0.2">
      <c r="A997">
        <f t="shared" ca="1" si="135"/>
        <v>0.95807516561918116</v>
      </c>
      <c r="B997">
        <f t="shared" ca="1" si="136"/>
        <v>1.728773343522312</v>
      </c>
      <c r="C997">
        <f t="shared" ca="1" si="140"/>
        <v>-35.181035460331593</v>
      </c>
      <c r="D997" s="22">
        <f t="shared" ca="1" si="137"/>
        <v>8.9522331591039728E-2</v>
      </c>
      <c r="F997">
        <f t="shared" si="138"/>
        <v>0.99100000000000077</v>
      </c>
      <c r="G997">
        <f t="shared" ca="1" si="139"/>
        <v>-9.2689002551116062E-2</v>
      </c>
      <c r="H997">
        <f t="shared" ca="1" si="141"/>
        <v>-9.2693887668150066E-2</v>
      </c>
      <c r="I997">
        <f t="shared" ca="1" si="142"/>
        <v>9.7749308255130219E-3</v>
      </c>
      <c r="J997" s="5">
        <f t="shared" ca="1" si="143"/>
        <v>0.10246881849366309</v>
      </c>
    </row>
    <row r="998" spans="1:10" x14ac:dyDescent="0.2">
      <c r="A998">
        <f t="shared" ca="1" si="135"/>
        <v>0.76136142247321414</v>
      </c>
      <c r="B998">
        <f t="shared" ca="1" si="136"/>
        <v>0.71068871374958142</v>
      </c>
      <c r="C998">
        <f t="shared" ca="1" si="140"/>
        <v>-34.47034674658201</v>
      </c>
      <c r="D998" s="22">
        <f t="shared" ca="1" si="137"/>
        <v>0.30990863302259475</v>
      </c>
      <c r="F998">
        <f t="shared" si="138"/>
        <v>0.99200000000000077</v>
      </c>
      <c r="G998">
        <f t="shared" ca="1" si="139"/>
        <v>-8.720314662223605E-2</v>
      </c>
      <c r="H998">
        <f t="shared" ca="1" si="141"/>
        <v>-8.7207756955668056E-2</v>
      </c>
      <c r="I998">
        <f t="shared" ca="1" si="142"/>
        <v>9.8294491062315779E-3</v>
      </c>
      <c r="J998" s="5">
        <f t="shared" ca="1" si="143"/>
        <v>9.7037206061899639E-2</v>
      </c>
    </row>
    <row r="999" spans="1:10" x14ac:dyDescent="0.2">
      <c r="A999">
        <f t="shared" ca="1" si="135"/>
        <v>0.47290984919921786</v>
      </c>
      <c r="B999">
        <f t="shared" ca="1" si="136"/>
        <v>-6.7957208208011391E-2</v>
      </c>
      <c r="C999">
        <f t="shared" ca="1" si="140"/>
        <v>-34.538303954790024</v>
      </c>
      <c r="D999" s="22">
        <f t="shared" ca="1" si="137"/>
        <v>0.39802214908517281</v>
      </c>
      <c r="F999">
        <f t="shared" si="138"/>
        <v>0.99300000000000077</v>
      </c>
      <c r="G999">
        <f t="shared" ca="1" si="139"/>
        <v>-8.4937144565804534E-2</v>
      </c>
      <c r="H999">
        <f t="shared" ca="1" si="141"/>
        <v>-8.4941641137148388E-2</v>
      </c>
      <c r="I999">
        <f t="shared" ca="1" si="142"/>
        <v>9.8525005463413143E-3</v>
      </c>
      <c r="J999" s="5">
        <f t="shared" ca="1" si="143"/>
        <v>9.4794141683489708E-2</v>
      </c>
    </row>
    <row r="1000" spans="1:10" x14ac:dyDescent="0.2">
      <c r="A1000">
        <f t="shared" ca="1" si="135"/>
        <v>0.34380884622365371</v>
      </c>
      <c r="B1000">
        <f t="shared" ca="1" si="136"/>
        <v>-0.40209013526222881</v>
      </c>
      <c r="C1000">
        <f t="shared" ca="1" si="140"/>
        <v>-34.940394090052251</v>
      </c>
      <c r="D1000" s="22">
        <f t="shared" ca="1" si="137"/>
        <v>0.36796157146150094</v>
      </c>
      <c r="F1000">
        <f t="shared" si="138"/>
        <v>0.99400000000000077</v>
      </c>
      <c r="G1000">
        <f t="shared" ca="1" si="139"/>
        <v>-8.5133540592836079E-2</v>
      </c>
      <c r="H1000">
        <f t="shared" ca="1" si="141"/>
        <v>-8.5138046534398271E-2</v>
      </c>
      <c r="I1000">
        <f t="shared" ca="1" si="142"/>
        <v>9.8513193066639484E-3</v>
      </c>
      <c r="J1000" s="5">
        <f t="shared" ca="1" si="143"/>
        <v>9.4989365841062212E-2</v>
      </c>
    </row>
    <row r="1001" spans="1:10" x14ac:dyDescent="0.2">
      <c r="A1001">
        <f t="shared" ca="1" si="135"/>
        <v>0.483064164162476</v>
      </c>
      <c r="B1001">
        <f t="shared" ca="1" si="136"/>
        <v>-4.2464603843847266E-2</v>
      </c>
      <c r="C1001">
        <f t="shared" ca="1" si="140"/>
        <v>-34.982858693896098</v>
      </c>
      <c r="D1001" s="22">
        <f t="shared" ca="1" si="137"/>
        <v>0.39858274765356438</v>
      </c>
      <c r="F1001">
        <f t="shared" si="138"/>
        <v>0.99500000000000077</v>
      </c>
      <c r="G1001">
        <f t="shared" ca="1" si="139"/>
        <v>-8.6386485243143754E-2</v>
      </c>
      <c r="H1001">
        <f t="shared" ca="1" si="141"/>
        <v>-8.6391053381858665E-2</v>
      </c>
      <c r="I1001">
        <f t="shared" ca="1" si="142"/>
        <v>9.8397358414782522E-3</v>
      </c>
      <c r="J1001" s="5">
        <f t="shared" ca="1" si="143"/>
        <v>9.6230789223336916E-2</v>
      </c>
    </row>
    <row r="1002" spans="1:10" x14ac:dyDescent="0.2">
      <c r="A1002">
        <f t="shared" ca="1" si="135"/>
        <v>0.14365882375203065</v>
      </c>
      <c r="B1002">
        <f t="shared" ca="1" si="136"/>
        <v>-1.0640243971744638</v>
      </c>
      <c r="C1002">
        <f t="shared" ca="1" si="140"/>
        <v>-36.046883091070562</v>
      </c>
      <c r="D1002" s="22">
        <f t="shared" ca="1" si="137"/>
        <v>0.2264995112051775</v>
      </c>
      <c r="F1002">
        <f t="shared" si="138"/>
        <v>0.99600000000000077</v>
      </c>
      <c r="G1002">
        <f t="shared" ca="1" si="139"/>
        <v>-8.650212568064046E-2</v>
      </c>
      <c r="H1002">
        <f t="shared" ca="1" si="141"/>
        <v>-8.650669914460378E-2</v>
      </c>
      <c r="I1002">
        <f t="shared" ca="1" si="142"/>
        <v>9.8393492963464828E-3</v>
      </c>
      <c r="J1002" s="5">
        <f t="shared" ca="1" si="143"/>
        <v>9.6346048440950266E-2</v>
      </c>
    </row>
    <row r="1003" spans="1:10" x14ac:dyDescent="0.2">
      <c r="A1003">
        <f t="shared" ca="1" si="135"/>
        <v>0.90473174773809284</v>
      </c>
      <c r="B1003">
        <f t="shared" ca="1" si="136"/>
        <v>1.3089936417303503</v>
      </c>
      <c r="C1003">
        <f t="shared" ca="1" si="140"/>
        <v>-34.737889449340209</v>
      </c>
      <c r="D1003" s="22">
        <f t="shared" ca="1" si="137"/>
        <v>0.16936981332543313</v>
      </c>
      <c r="F1003">
        <f t="shared" si="138"/>
        <v>0.99700000000000077</v>
      </c>
      <c r="G1003">
        <f t="shared" ca="1" si="139"/>
        <v>-8.98480487515914E-2</v>
      </c>
      <c r="H1003">
        <f t="shared" ca="1" si="141"/>
        <v>-8.9852789055748242E-2</v>
      </c>
      <c r="I1003">
        <f t="shared" ca="1" si="142"/>
        <v>9.8072297166240455E-3</v>
      </c>
      <c r="J1003" s="5">
        <f t="shared" ca="1" si="143"/>
        <v>9.9660018772372294E-2</v>
      </c>
    </row>
    <row r="1004" spans="1:10" x14ac:dyDescent="0.2">
      <c r="A1004">
        <f t="shared" ca="1" si="135"/>
        <v>0.97823940494591188</v>
      </c>
      <c r="B1004">
        <f t="shared" ca="1" si="136"/>
        <v>2.0186732688976079</v>
      </c>
      <c r="C1004">
        <f t="shared" ca="1" si="140"/>
        <v>-32.719216180442601</v>
      </c>
      <c r="D1004" s="22">
        <f t="shared" ca="1" si="137"/>
        <v>5.200271155428323E-2</v>
      </c>
      <c r="F1004">
        <f t="shared" si="138"/>
        <v>0.99800000000000078</v>
      </c>
      <c r="G1004">
        <f t="shared" ca="1" si="139"/>
        <v>-8.5689870506822668E-2</v>
      </c>
      <c r="H1004">
        <f t="shared" ca="1" si="141"/>
        <v>-8.5694402426296321E-2</v>
      </c>
      <c r="I1004">
        <f t="shared" ca="1" si="142"/>
        <v>9.8488455101860186E-3</v>
      </c>
      <c r="J1004" s="5">
        <f t="shared" ca="1" si="143"/>
        <v>9.5543247936482334E-2</v>
      </c>
    </row>
    <row r="1005" spans="1:10" x14ac:dyDescent="0.2">
      <c r="A1005">
        <f t="shared" ca="1" si="135"/>
        <v>0.39625645209363769</v>
      </c>
      <c r="B1005">
        <f t="shared" ca="1" si="136"/>
        <v>-0.26304888042965918</v>
      </c>
      <c r="C1005">
        <f t="shared" ca="1" si="140"/>
        <v>-32.982265060872258</v>
      </c>
      <c r="D1005" s="22">
        <f t="shared" ca="1" si="137"/>
        <v>0.38537596452681389</v>
      </c>
      <c r="F1005">
        <f t="shared" si="138"/>
        <v>0.99900000000000078</v>
      </c>
      <c r="G1005">
        <f t="shared" ca="1" si="139"/>
        <v>-7.9288016233746886E-2</v>
      </c>
      <c r="H1005">
        <f t="shared" ca="1" si="141"/>
        <v>-7.9292227604639706E-2</v>
      </c>
      <c r="I1005">
        <f t="shared" ca="1" si="142"/>
        <v>9.9128594302716547E-3</v>
      </c>
      <c r="J1005" s="5">
        <f t="shared" ca="1" si="143"/>
        <v>8.9205087034911368E-2</v>
      </c>
    </row>
  </sheetData>
  <hyperlinks>
    <hyperlink ref="L48" r:id="rId1" xr:uid="{4A4C7A7A-0300-1B44-80DD-58E0DBB2ECD9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test_area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racheljanedance@googlemail.com</dc:creator>
  <cp:lastModifiedBy>racheljanedance@googlemail.com</cp:lastModifiedBy>
  <dcterms:created xsi:type="dcterms:W3CDTF">2021-06-29T21:05:05Z</dcterms:created>
  <dcterms:modified xsi:type="dcterms:W3CDTF">2021-07-27T07:41:23Z</dcterms:modified>
</cp:coreProperties>
</file>